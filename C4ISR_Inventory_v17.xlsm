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 tabRatio="515"/>
  </bookViews>
  <sheets>
    <sheet name="Scan" sheetId="1" r:id="rId1"/>
    <sheet name="Inventory" sheetId="3" r:id="rId2"/>
    <sheet name="Full Inventory" sheetId="2" r:id="rId3"/>
    <sheet name="Full Inventory (2)" sheetId="11" r:id="rId4"/>
    <sheet name="Stat" sheetId="5" r:id="rId5"/>
    <sheet name="Munka1" sheetId="6" r:id="rId6"/>
    <sheet name="Munka1 (4)" sheetId="9" r:id="rId7"/>
    <sheet name="Munka1 (3)" sheetId="8" r:id="rId8"/>
    <sheet name="Munka1 (2)" sheetId="7" r:id="rId9"/>
  </sheets>
  <functionGroups builtInGroupCount="18"/>
  <definedNames>
    <definedName name="_xlnm._FilterDatabase" localSheetId="2" hidden="1">'Full Inventory'!$A$1:$K$2134</definedName>
    <definedName name="_xlnm._FilterDatabase" localSheetId="3" hidden="1">'Full Inventory (2)'!$A$1:$K$2134</definedName>
    <definedName name="_xlnm._FilterDatabase" localSheetId="1" hidden="1">Inventory!$A$1:$K$500</definedName>
  </definedNames>
  <calcPr calcId="162913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" i="1"/>
  <c r="J2134" i="11" l="1"/>
  <c r="J2133" i="11"/>
  <c r="J2132" i="11"/>
  <c r="J2131" i="11"/>
  <c r="J2130" i="11"/>
  <c r="J2129" i="11"/>
  <c r="J2128" i="11"/>
  <c r="J2127" i="11"/>
  <c r="J2126" i="11"/>
  <c r="J2125" i="11"/>
  <c r="J2124" i="11"/>
  <c r="K2123" i="11"/>
  <c r="J2123" i="11"/>
  <c r="K2122" i="11"/>
  <c r="J2122" i="11"/>
  <c r="K2121" i="11"/>
  <c r="J2121" i="11"/>
  <c r="K2120" i="11"/>
  <c r="J2120" i="11"/>
  <c r="K2119" i="11"/>
  <c r="J2119" i="11"/>
  <c r="K2118" i="11"/>
  <c r="J2118" i="11"/>
  <c r="K2117" i="11"/>
  <c r="J2117" i="11"/>
  <c r="K2116" i="11"/>
  <c r="J2116" i="11"/>
  <c r="K2115" i="11"/>
  <c r="J2115" i="11"/>
  <c r="K2114" i="11"/>
  <c r="J2114" i="11"/>
  <c r="K2113" i="11"/>
  <c r="J2113" i="11"/>
  <c r="K2112" i="11"/>
  <c r="J2112" i="11"/>
  <c r="K2111" i="11"/>
  <c r="J2111" i="11"/>
  <c r="K2110" i="11"/>
  <c r="J2110" i="11"/>
  <c r="K2109" i="11"/>
  <c r="J2109" i="11"/>
  <c r="K2108" i="11"/>
  <c r="J2108" i="11"/>
  <c r="K2107" i="11"/>
  <c r="J2107" i="11"/>
  <c r="K2106" i="11"/>
  <c r="J2106" i="11"/>
  <c r="K2105" i="11"/>
  <c r="J2105" i="11"/>
  <c r="K2104" i="11"/>
  <c r="J2104" i="11"/>
  <c r="K2103" i="11"/>
  <c r="J2103" i="11"/>
  <c r="K2102" i="11"/>
  <c r="J2102" i="11"/>
  <c r="K2101" i="11"/>
  <c r="J2101" i="11"/>
  <c r="K2100" i="11"/>
  <c r="J2100" i="11"/>
  <c r="K2099" i="11"/>
  <c r="J2099" i="11"/>
  <c r="K2098" i="11"/>
  <c r="J2098" i="11"/>
  <c r="K2097" i="11"/>
  <c r="J2097" i="11"/>
  <c r="K2096" i="11"/>
  <c r="J2096" i="11"/>
  <c r="K2095" i="11"/>
  <c r="J2095" i="11"/>
  <c r="K2094" i="11"/>
  <c r="J2094" i="11"/>
  <c r="K2093" i="11"/>
  <c r="J2093" i="11"/>
  <c r="K2092" i="11"/>
  <c r="J2092" i="11"/>
  <c r="K2091" i="11"/>
  <c r="J2091" i="11"/>
  <c r="K2090" i="11"/>
  <c r="J2090" i="11"/>
  <c r="K2089" i="11"/>
  <c r="J2089" i="11"/>
  <c r="K2088" i="11"/>
  <c r="J2088" i="11"/>
  <c r="K2087" i="11"/>
  <c r="J2087" i="11"/>
  <c r="K2086" i="11"/>
  <c r="J2086" i="11"/>
  <c r="K2085" i="11"/>
  <c r="J2085" i="11"/>
  <c r="K2084" i="11"/>
  <c r="J2084" i="11"/>
  <c r="K2083" i="11"/>
  <c r="J2083" i="11"/>
  <c r="K2082" i="11"/>
  <c r="J2082" i="11"/>
  <c r="K2081" i="11"/>
  <c r="J2081" i="11"/>
  <c r="K2080" i="11"/>
  <c r="J2080" i="11"/>
  <c r="K2079" i="11"/>
  <c r="J2079" i="11"/>
  <c r="K2078" i="11"/>
  <c r="J2078" i="11"/>
  <c r="K2077" i="11"/>
  <c r="J2077" i="11"/>
  <c r="K2076" i="11"/>
  <c r="J2076" i="11"/>
  <c r="K2075" i="11"/>
  <c r="J2075" i="11"/>
  <c r="K2074" i="11"/>
  <c r="J2074" i="11"/>
  <c r="K2073" i="11"/>
  <c r="J2073" i="11"/>
  <c r="K2072" i="11"/>
  <c r="J2072" i="11"/>
  <c r="K2071" i="11"/>
  <c r="J2071" i="11"/>
  <c r="K2070" i="11"/>
  <c r="J2070" i="11"/>
  <c r="K2069" i="11"/>
  <c r="J2069" i="11"/>
  <c r="K2068" i="11"/>
  <c r="J2068" i="11"/>
  <c r="K2067" i="11"/>
  <c r="J2067" i="11"/>
  <c r="K2066" i="11"/>
  <c r="J2066" i="11"/>
  <c r="K2065" i="11"/>
  <c r="J2065" i="11"/>
  <c r="K2064" i="11"/>
  <c r="J2064" i="11"/>
  <c r="K2063" i="11"/>
  <c r="J2063" i="11"/>
  <c r="K2062" i="11"/>
  <c r="J2062" i="11"/>
  <c r="K2061" i="11"/>
  <c r="J2061" i="11"/>
  <c r="K2060" i="11"/>
  <c r="J2060" i="11"/>
  <c r="K2059" i="11"/>
  <c r="J2059" i="11"/>
  <c r="K2058" i="11"/>
  <c r="J2058" i="11"/>
  <c r="K2057" i="11"/>
  <c r="J2057" i="11"/>
  <c r="K2056" i="11"/>
  <c r="J2056" i="11"/>
  <c r="K2055" i="11"/>
  <c r="J2055" i="11"/>
  <c r="K2054" i="11"/>
  <c r="J2054" i="11"/>
  <c r="K2053" i="11"/>
  <c r="J2053" i="11"/>
  <c r="K2052" i="11"/>
  <c r="J2052" i="11"/>
  <c r="K2051" i="11"/>
  <c r="J2051" i="11"/>
  <c r="K2050" i="11"/>
  <c r="J2050" i="11"/>
  <c r="K2049" i="11"/>
  <c r="J2049" i="11"/>
  <c r="K2048" i="11"/>
  <c r="J2048" i="11"/>
  <c r="K2047" i="11"/>
  <c r="J2047" i="11"/>
  <c r="K2046" i="11"/>
  <c r="J2046" i="11"/>
  <c r="K2045" i="11"/>
  <c r="J2045" i="11"/>
  <c r="K2044" i="11"/>
  <c r="J2044" i="11"/>
  <c r="K2043" i="11"/>
  <c r="J2043" i="11"/>
  <c r="K2042" i="11"/>
  <c r="J2042" i="11"/>
  <c r="K2041" i="11"/>
  <c r="J2041" i="11"/>
  <c r="K2040" i="11"/>
  <c r="J2040" i="11"/>
  <c r="K2039" i="11"/>
  <c r="J2039" i="11"/>
  <c r="K2038" i="11"/>
  <c r="J2038" i="11"/>
  <c r="K2037" i="11"/>
  <c r="J2037" i="11"/>
  <c r="K2036" i="11"/>
  <c r="J2036" i="11"/>
  <c r="K2035" i="11"/>
  <c r="J2035" i="11"/>
  <c r="K2034" i="11"/>
  <c r="J2034" i="11"/>
  <c r="K2033" i="11"/>
  <c r="J2033" i="11"/>
  <c r="K2032" i="11"/>
  <c r="J2032" i="11"/>
  <c r="K2031" i="11"/>
  <c r="J2031" i="11"/>
  <c r="K2030" i="11"/>
  <c r="J2030" i="11"/>
  <c r="K2029" i="11"/>
  <c r="J2029" i="11"/>
  <c r="K2028" i="11"/>
  <c r="J2028" i="11"/>
  <c r="K2027" i="11"/>
  <c r="J2027" i="11"/>
  <c r="K2026" i="11"/>
  <c r="J2026" i="11"/>
  <c r="K2025" i="11"/>
  <c r="J2025" i="11"/>
  <c r="K2024" i="11"/>
  <c r="J2024" i="11"/>
  <c r="K2023" i="11"/>
  <c r="J2023" i="11"/>
  <c r="K2022" i="11"/>
  <c r="J2022" i="11"/>
  <c r="K2021" i="11"/>
  <c r="J2021" i="11"/>
  <c r="K2020" i="11"/>
  <c r="J2020" i="11"/>
  <c r="K2019" i="11"/>
  <c r="J2019" i="11"/>
  <c r="K2018" i="11"/>
  <c r="J2018" i="11"/>
  <c r="K2017" i="11"/>
  <c r="J2017" i="11"/>
  <c r="K2016" i="11"/>
  <c r="J2016" i="11"/>
  <c r="K2015" i="11"/>
  <c r="J2015" i="11"/>
  <c r="K2014" i="11"/>
  <c r="J2014" i="11"/>
  <c r="K2013" i="11"/>
  <c r="J2013" i="11"/>
  <c r="K2012" i="11"/>
  <c r="J2012" i="11"/>
  <c r="K2011" i="11"/>
  <c r="J2011" i="11"/>
  <c r="K2010" i="11"/>
  <c r="J2010" i="11"/>
  <c r="K2009" i="11"/>
  <c r="J2009" i="11"/>
  <c r="K2008" i="11"/>
  <c r="J2008" i="11"/>
  <c r="K2007" i="11"/>
  <c r="J2007" i="11"/>
  <c r="K2006" i="11"/>
  <c r="J2006" i="11"/>
  <c r="K2005" i="11"/>
  <c r="J2005" i="11"/>
  <c r="K2004" i="11"/>
  <c r="J2004" i="11"/>
  <c r="K2003" i="11"/>
  <c r="J2003" i="11"/>
  <c r="K2002" i="11"/>
  <c r="J2002" i="11"/>
  <c r="K2001" i="11"/>
  <c r="J2001" i="11"/>
  <c r="K2000" i="11"/>
  <c r="J2000" i="11"/>
  <c r="K1999" i="11"/>
  <c r="J1999" i="11"/>
  <c r="K1998" i="11"/>
  <c r="J1998" i="11"/>
  <c r="K1997" i="11"/>
  <c r="J1997" i="11"/>
  <c r="K1996" i="11"/>
  <c r="J1996" i="11"/>
  <c r="K1995" i="11"/>
  <c r="J1995" i="11"/>
  <c r="K1994" i="11"/>
  <c r="J1994" i="11"/>
  <c r="K1993" i="11"/>
  <c r="J1993" i="11"/>
  <c r="K1992" i="11"/>
  <c r="J1992" i="11"/>
  <c r="K1991" i="11"/>
  <c r="J1991" i="11"/>
  <c r="K1990" i="11"/>
  <c r="J1990" i="11"/>
  <c r="K1989" i="11"/>
  <c r="J1989" i="11"/>
  <c r="K1988" i="11"/>
  <c r="J1988" i="11"/>
  <c r="K1987" i="11"/>
  <c r="J1987" i="11"/>
  <c r="K1986" i="11"/>
  <c r="J1986" i="11"/>
  <c r="K1985" i="11"/>
  <c r="J1985" i="11"/>
  <c r="K1984" i="11"/>
  <c r="J1984" i="11"/>
  <c r="K1983" i="11"/>
  <c r="J1983" i="11"/>
  <c r="K1982" i="11"/>
  <c r="J1982" i="11"/>
  <c r="K1981" i="11"/>
  <c r="J1981" i="11"/>
  <c r="K1980" i="11"/>
  <c r="J1980" i="11"/>
  <c r="K1979" i="11"/>
  <c r="J1979" i="11"/>
  <c r="K1978" i="11"/>
  <c r="J1978" i="11"/>
  <c r="K1977" i="11"/>
  <c r="J1977" i="11"/>
  <c r="K1976" i="11"/>
  <c r="J1976" i="11"/>
  <c r="K1975" i="11"/>
  <c r="J1975" i="11"/>
  <c r="K1974" i="11"/>
  <c r="J1974" i="11"/>
  <c r="K1973" i="11"/>
  <c r="J1973" i="11"/>
  <c r="K1972" i="11"/>
  <c r="J1972" i="11"/>
  <c r="K1971" i="11"/>
  <c r="J1971" i="11"/>
  <c r="K1970" i="11"/>
  <c r="J1970" i="11"/>
  <c r="K1969" i="11"/>
  <c r="J1969" i="11"/>
  <c r="K1968" i="11"/>
  <c r="J1968" i="11"/>
  <c r="K1967" i="11"/>
  <c r="J1967" i="11"/>
  <c r="K1966" i="11"/>
  <c r="J1966" i="11"/>
  <c r="K1965" i="11"/>
  <c r="J1965" i="11"/>
  <c r="K1964" i="11"/>
  <c r="J1964" i="11"/>
  <c r="K1963" i="11"/>
  <c r="J1963" i="11"/>
  <c r="K1962" i="11"/>
  <c r="J1962" i="11"/>
  <c r="K1961" i="11"/>
  <c r="J1961" i="11"/>
  <c r="K1960" i="11"/>
  <c r="J1960" i="11"/>
  <c r="K1959" i="11"/>
  <c r="J1959" i="11"/>
  <c r="K1958" i="11"/>
  <c r="J1958" i="11"/>
  <c r="K1957" i="11"/>
  <c r="J1957" i="11"/>
  <c r="K1956" i="11"/>
  <c r="J1956" i="11"/>
  <c r="K1955" i="11"/>
  <c r="J1955" i="11"/>
  <c r="K1954" i="11"/>
  <c r="J1954" i="11"/>
  <c r="K1953" i="11"/>
  <c r="J1953" i="11"/>
  <c r="K1952" i="11"/>
  <c r="J1952" i="11"/>
  <c r="K1951" i="11"/>
  <c r="J1951" i="11"/>
  <c r="K1950" i="11"/>
  <c r="J1950" i="11"/>
  <c r="K1949" i="11"/>
  <c r="J1949" i="11"/>
  <c r="K1948" i="11"/>
  <c r="J1948" i="11"/>
  <c r="K1947" i="11"/>
  <c r="J1947" i="11"/>
  <c r="K1946" i="11"/>
  <c r="J1946" i="11"/>
  <c r="K1945" i="11"/>
  <c r="J1945" i="11"/>
  <c r="K1944" i="11"/>
  <c r="J1944" i="11"/>
  <c r="K1943" i="11"/>
  <c r="J1943" i="11"/>
  <c r="K1942" i="11"/>
  <c r="J1942" i="11"/>
  <c r="K1941" i="11"/>
  <c r="J1941" i="11"/>
  <c r="K1940" i="11"/>
  <c r="J1940" i="11"/>
  <c r="K1939" i="11"/>
  <c r="J1939" i="11"/>
  <c r="K1938" i="11"/>
  <c r="J1938" i="11"/>
  <c r="K1937" i="11"/>
  <c r="J1937" i="11"/>
  <c r="K1936" i="11"/>
  <c r="J1936" i="11"/>
  <c r="K1935" i="11"/>
  <c r="J1935" i="11"/>
  <c r="K1934" i="11"/>
  <c r="J1934" i="11"/>
  <c r="K1933" i="11"/>
  <c r="J1933" i="11"/>
  <c r="K1932" i="11"/>
  <c r="J1932" i="11"/>
  <c r="K1931" i="11"/>
  <c r="J1931" i="11"/>
  <c r="K1930" i="11"/>
  <c r="J1930" i="11"/>
  <c r="K1929" i="11"/>
  <c r="J1929" i="11"/>
  <c r="K1928" i="11"/>
  <c r="J1928" i="11"/>
  <c r="K1927" i="11"/>
  <c r="J1927" i="11"/>
  <c r="K1926" i="11"/>
  <c r="J1926" i="11"/>
  <c r="K1925" i="11"/>
  <c r="J1925" i="11"/>
  <c r="K1924" i="11"/>
  <c r="J1924" i="11"/>
  <c r="K1923" i="11"/>
  <c r="J1923" i="11"/>
  <c r="K1922" i="11"/>
  <c r="J1922" i="11"/>
  <c r="K1921" i="11"/>
  <c r="J1921" i="11"/>
  <c r="K1920" i="11"/>
  <c r="J1920" i="11"/>
  <c r="K1919" i="11"/>
  <c r="J1919" i="11"/>
  <c r="K1918" i="11"/>
  <c r="J1918" i="11"/>
  <c r="K1917" i="11"/>
  <c r="J1917" i="11"/>
  <c r="K1916" i="11"/>
  <c r="J1916" i="11"/>
  <c r="K1915" i="11"/>
  <c r="J1915" i="11"/>
  <c r="K1914" i="11"/>
  <c r="J1914" i="11"/>
  <c r="K1913" i="11"/>
  <c r="J1913" i="11"/>
  <c r="K1912" i="11"/>
  <c r="J1912" i="11"/>
  <c r="K1911" i="11"/>
  <c r="J1911" i="11"/>
  <c r="K1910" i="11"/>
  <c r="J1910" i="11"/>
  <c r="K1909" i="11"/>
  <c r="J1909" i="11"/>
  <c r="K1908" i="11"/>
  <c r="J1908" i="11"/>
  <c r="K1907" i="11"/>
  <c r="J1907" i="11"/>
  <c r="K1906" i="11"/>
  <c r="J1906" i="11"/>
  <c r="K1905" i="11"/>
  <c r="J1905" i="11"/>
  <c r="K1904" i="11"/>
  <c r="J1904" i="11"/>
  <c r="K1903" i="11"/>
  <c r="J1903" i="11"/>
  <c r="K1902" i="11"/>
  <c r="J1902" i="11"/>
  <c r="K1901" i="11"/>
  <c r="J1901" i="11"/>
  <c r="K1900" i="11"/>
  <c r="J1900" i="11"/>
  <c r="K1899" i="11"/>
  <c r="J1899" i="11"/>
  <c r="K1898" i="11"/>
  <c r="J1898" i="11"/>
  <c r="K1897" i="11"/>
  <c r="J1897" i="11"/>
  <c r="K1896" i="11"/>
  <c r="J1896" i="11"/>
  <c r="K1895" i="11"/>
  <c r="J1895" i="11"/>
  <c r="K1894" i="11"/>
  <c r="J1894" i="11"/>
  <c r="K1893" i="11"/>
  <c r="J1893" i="11"/>
  <c r="K1892" i="11"/>
  <c r="J1892" i="11"/>
  <c r="K1891" i="11"/>
  <c r="J1891" i="11"/>
  <c r="K1890" i="11"/>
  <c r="J1890" i="11"/>
  <c r="K1889" i="11"/>
  <c r="J1889" i="11"/>
  <c r="K1888" i="11"/>
  <c r="J1888" i="11"/>
  <c r="K1887" i="11"/>
  <c r="J1887" i="11"/>
  <c r="K1886" i="11"/>
  <c r="J1886" i="11"/>
  <c r="K1885" i="11"/>
  <c r="J1885" i="11"/>
  <c r="K1884" i="11"/>
  <c r="J1884" i="11"/>
  <c r="K1883" i="11"/>
  <c r="J1883" i="11"/>
  <c r="K1882" i="11"/>
  <c r="J1882" i="11"/>
  <c r="K1881" i="11"/>
  <c r="J1881" i="11"/>
  <c r="K1880" i="11"/>
  <c r="J1880" i="11"/>
  <c r="K1879" i="11"/>
  <c r="J1879" i="11"/>
  <c r="K1878" i="11"/>
  <c r="J1878" i="11"/>
  <c r="K1877" i="11"/>
  <c r="J1877" i="11"/>
  <c r="K1876" i="11"/>
  <c r="J1876" i="11"/>
  <c r="K1875" i="11"/>
  <c r="J1875" i="11"/>
  <c r="K1874" i="11"/>
  <c r="J1874" i="11"/>
  <c r="K1873" i="11"/>
  <c r="J1873" i="11"/>
  <c r="K1872" i="11"/>
  <c r="J1872" i="11"/>
  <c r="K1871" i="11"/>
  <c r="J1871" i="11"/>
  <c r="K1870" i="11"/>
  <c r="J1870" i="11"/>
  <c r="K1869" i="11"/>
  <c r="J1869" i="11"/>
  <c r="K1868" i="11"/>
  <c r="J1868" i="11"/>
  <c r="K1867" i="11"/>
  <c r="J1867" i="11"/>
  <c r="K1866" i="11"/>
  <c r="J1866" i="11"/>
  <c r="K1865" i="11"/>
  <c r="J1865" i="11"/>
  <c r="K1864" i="11"/>
  <c r="J1864" i="11"/>
  <c r="K1863" i="11"/>
  <c r="J1863" i="11"/>
  <c r="K1862" i="11"/>
  <c r="J1862" i="11"/>
  <c r="K1861" i="11"/>
  <c r="J1861" i="11"/>
  <c r="K1860" i="11"/>
  <c r="J1860" i="11"/>
  <c r="K1859" i="11"/>
  <c r="J1859" i="11"/>
  <c r="K1858" i="11"/>
  <c r="J1858" i="11"/>
  <c r="K1857" i="11"/>
  <c r="J1857" i="11"/>
  <c r="K1856" i="11"/>
  <c r="J1856" i="11"/>
  <c r="K1855" i="11"/>
  <c r="J1855" i="11"/>
  <c r="K1854" i="11"/>
  <c r="J1854" i="11"/>
  <c r="K1853" i="11"/>
  <c r="J1853" i="11"/>
  <c r="K1852" i="11"/>
  <c r="J1852" i="11"/>
  <c r="K1851" i="11"/>
  <c r="J1851" i="11"/>
  <c r="K1850" i="11"/>
  <c r="J1850" i="11"/>
  <c r="K1849" i="11"/>
  <c r="J1849" i="11"/>
  <c r="K1848" i="11"/>
  <c r="J1848" i="11"/>
  <c r="K1847" i="11"/>
  <c r="J1847" i="11"/>
  <c r="K1846" i="11"/>
  <c r="J1846" i="11"/>
  <c r="K1845" i="11"/>
  <c r="J1845" i="11"/>
  <c r="K1844" i="11"/>
  <c r="J1844" i="11"/>
  <c r="K1843" i="11"/>
  <c r="J1843" i="11"/>
  <c r="K1842" i="11"/>
  <c r="J1842" i="11"/>
  <c r="K1841" i="11"/>
  <c r="J1841" i="11"/>
  <c r="K1840" i="11"/>
  <c r="J1840" i="11"/>
  <c r="K1839" i="11"/>
  <c r="J1839" i="11"/>
  <c r="K1838" i="11"/>
  <c r="J1838" i="11"/>
  <c r="K1837" i="11"/>
  <c r="J1837" i="11"/>
  <c r="K1836" i="11"/>
  <c r="J1836" i="11"/>
  <c r="K1835" i="11"/>
  <c r="J1835" i="11"/>
  <c r="K1834" i="11"/>
  <c r="J1834" i="11"/>
  <c r="K1833" i="11"/>
  <c r="J1833" i="11"/>
  <c r="K1832" i="11"/>
  <c r="J1832" i="11"/>
  <c r="K1831" i="11"/>
  <c r="J1831" i="11"/>
  <c r="K1830" i="11"/>
  <c r="J1830" i="11"/>
  <c r="K1829" i="11"/>
  <c r="J1829" i="11"/>
  <c r="K1828" i="11"/>
  <c r="J1828" i="11"/>
  <c r="K1827" i="11"/>
  <c r="J1827" i="11"/>
  <c r="K1826" i="11"/>
  <c r="J1826" i="11"/>
  <c r="K1825" i="11"/>
  <c r="J1825" i="11"/>
  <c r="K1824" i="11"/>
  <c r="J1824" i="11"/>
  <c r="K1823" i="11"/>
  <c r="J1823" i="11"/>
  <c r="K1822" i="11"/>
  <c r="J1822" i="11"/>
  <c r="K1821" i="11"/>
  <c r="J1821" i="11"/>
  <c r="K1820" i="11"/>
  <c r="J1820" i="11"/>
  <c r="K1819" i="11"/>
  <c r="J1819" i="11"/>
  <c r="K1818" i="11"/>
  <c r="J1818" i="11"/>
  <c r="K1817" i="11"/>
  <c r="J1817" i="11"/>
  <c r="K1816" i="11"/>
  <c r="J1816" i="11"/>
  <c r="K1815" i="11"/>
  <c r="J1815" i="11"/>
  <c r="K1814" i="11"/>
  <c r="J1814" i="11"/>
  <c r="K1813" i="11"/>
  <c r="J1813" i="11"/>
  <c r="K1812" i="11"/>
  <c r="J1812" i="11"/>
  <c r="K1811" i="11"/>
  <c r="J1811" i="11"/>
  <c r="K1810" i="11"/>
  <c r="J1810" i="11"/>
  <c r="K1809" i="11"/>
  <c r="J1809" i="11"/>
  <c r="K1808" i="11"/>
  <c r="J1808" i="11"/>
  <c r="K1807" i="11"/>
  <c r="J1807" i="11"/>
  <c r="K1806" i="11"/>
  <c r="J1806" i="11"/>
  <c r="K1805" i="11"/>
  <c r="J1805" i="11"/>
  <c r="K1804" i="11"/>
  <c r="J1804" i="11"/>
  <c r="K1803" i="11"/>
  <c r="J1803" i="11"/>
  <c r="K1802" i="11"/>
  <c r="J1802" i="11"/>
  <c r="K1801" i="11"/>
  <c r="J1801" i="11"/>
  <c r="K1800" i="11"/>
  <c r="J1800" i="11"/>
  <c r="K1799" i="11"/>
  <c r="J1799" i="11"/>
  <c r="K1798" i="11"/>
  <c r="J1798" i="11"/>
  <c r="K1797" i="11"/>
  <c r="J1797" i="11"/>
  <c r="K1796" i="11"/>
  <c r="J1796" i="11"/>
  <c r="K1795" i="11"/>
  <c r="J1795" i="11"/>
  <c r="K1794" i="11"/>
  <c r="J1794" i="11"/>
  <c r="K1793" i="11"/>
  <c r="J1793" i="11"/>
  <c r="K1792" i="11"/>
  <c r="J1792" i="11"/>
  <c r="K1791" i="11"/>
  <c r="J1791" i="11"/>
  <c r="K1790" i="11"/>
  <c r="J1790" i="11"/>
  <c r="K1789" i="11"/>
  <c r="J1789" i="11"/>
  <c r="K1788" i="11"/>
  <c r="J1788" i="11"/>
  <c r="K1787" i="11"/>
  <c r="J1787" i="11"/>
  <c r="K1786" i="11"/>
  <c r="J1786" i="11"/>
  <c r="K1785" i="11"/>
  <c r="J1785" i="11"/>
  <c r="K1784" i="11"/>
  <c r="J1784" i="11"/>
  <c r="K1783" i="11"/>
  <c r="J1783" i="11"/>
  <c r="K1782" i="11"/>
  <c r="J1782" i="11"/>
  <c r="K1781" i="11"/>
  <c r="J1781" i="11"/>
  <c r="K1780" i="11"/>
  <c r="J1780" i="11"/>
  <c r="K1779" i="11"/>
  <c r="J1779" i="11"/>
  <c r="K1778" i="11"/>
  <c r="J1778" i="11"/>
  <c r="K1777" i="11"/>
  <c r="J1777" i="11"/>
  <c r="K1776" i="11"/>
  <c r="J1776" i="11"/>
  <c r="K1775" i="11"/>
  <c r="J1775" i="11"/>
  <c r="K1774" i="11"/>
  <c r="J1774" i="11"/>
  <c r="K1773" i="11"/>
  <c r="J1773" i="11"/>
  <c r="K1772" i="11"/>
  <c r="J1772" i="11"/>
  <c r="K1771" i="11"/>
  <c r="J1771" i="11"/>
  <c r="K1770" i="11"/>
  <c r="J1770" i="11"/>
  <c r="K1769" i="11"/>
  <c r="J1769" i="11"/>
  <c r="K1768" i="11"/>
  <c r="J1768" i="11"/>
  <c r="K1767" i="11"/>
  <c r="J1767" i="11"/>
  <c r="K1766" i="11"/>
  <c r="J1766" i="11"/>
  <c r="K1765" i="11"/>
  <c r="J1765" i="11"/>
  <c r="K1764" i="11"/>
  <c r="J1764" i="11"/>
  <c r="K1763" i="11"/>
  <c r="J1763" i="11"/>
  <c r="K1762" i="11"/>
  <c r="J1762" i="11"/>
  <c r="K1761" i="11"/>
  <c r="J1761" i="11"/>
  <c r="K1760" i="11"/>
  <c r="J1760" i="11"/>
  <c r="K1759" i="11"/>
  <c r="J1759" i="11"/>
  <c r="K1758" i="11"/>
  <c r="J1758" i="11"/>
  <c r="K1757" i="11"/>
  <c r="J1757" i="11"/>
  <c r="K1756" i="11"/>
  <c r="J1756" i="11"/>
  <c r="K1755" i="11"/>
  <c r="J1755" i="11"/>
  <c r="K1754" i="11"/>
  <c r="J1754" i="11"/>
  <c r="K1753" i="11"/>
  <c r="J1753" i="11"/>
  <c r="K1752" i="11"/>
  <c r="J1752" i="11"/>
  <c r="K1751" i="11"/>
  <c r="J1751" i="11"/>
  <c r="K1750" i="11"/>
  <c r="J1750" i="11"/>
  <c r="K1749" i="11"/>
  <c r="J1749" i="11"/>
  <c r="K1748" i="11"/>
  <c r="J1748" i="11"/>
  <c r="K1747" i="11"/>
  <c r="J1747" i="11"/>
  <c r="K1746" i="11"/>
  <c r="J1746" i="11"/>
  <c r="K1745" i="11"/>
  <c r="J1745" i="11"/>
  <c r="K1744" i="11"/>
  <c r="J1744" i="11"/>
  <c r="K1743" i="11"/>
  <c r="J1743" i="11"/>
  <c r="K1742" i="11"/>
  <c r="J1742" i="11"/>
  <c r="K1741" i="11"/>
  <c r="J1741" i="11"/>
  <c r="K1740" i="11"/>
  <c r="J1740" i="11"/>
  <c r="K1739" i="11"/>
  <c r="J1739" i="11"/>
  <c r="K1738" i="11"/>
  <c r="J1738" i="11"/>
  <c r="K1737" i="11"/>
  <c r="J1737" i="11"/>
  <c r="K1736" i="11"/>
  <c r="J1736" i="11"/>
  <c r="K1735" i="11"/>
  <c r="J1735" i="11"/>
  <c r="K1734" i="11"/>
  <c r="J1734" i="11"/>
  <c r="K1733" i="11"/>
  <c r="J1733" i="11"/>
  <c r="K1732" i="11"/>
  <c r="J1732" i="11"/>
  <c r="K1731" i="11"/>
  <c r="J1731" i="11"/>
  <c r="K1730" i="11"/>
  <c r="J1730" i="11"/>
  <c r="K1729" i="11"/>
  <c r="J1729" i="11"/>
  <c r="K1728" i="11"/>
  <c r="J1728" i="11"/>
  <c r="K1727" i="11"/>
  <c r="J1727" i="11"/>
  <c r="K1726" i="11"/>
  <c r="J1726" i="11"/>
  <c r="K1725" i="11"/>
  <c r="J1725" i="11"/>
  <c r="K1724" i="11"/>
  <c r="J1724" i="11"/>
  <c r="K1723" i="11"/>
  <c r="J1723" i="11"/>
  <c r="K1722" i="11"/>
  <c r="J1722" i="11"/>
  <c r="K1721" i="11"/>
  <c r="J1721" i="11"/>
  <c r="K1720" i="11"/>
  <c r="J1720" i="11"/>
  <c r="K1719" i="11"/>
  <c r="J1719" i="11"/>
  <c r="K1718" i="11"/>
  <c r="J1718" i="11"/>
  <c r="K1717" i="11"/>
  <c r="J1717" i="11"/>
  <c r="K1716" i="11"/>
  <c r="J1716" i="11"/>
  <c r="K1715" i="11"/>
  <c r="J1715" i="11"/>
  <c r="K1714" i="11"/>
  <c r="J1714" i="11"/>
  <c r="K1713" i="11"/>
  <c r="J1713" i="11"/>
  <c r="K1712" i="11"/>
  <c r="J1712" i="11"/>
  <c r="K1711" i="11"/>
  <c r="J1711" i="11"/>
  <c r="K1710" i="11"/>
  <c r="J1710" i="11"/>
  <c r="K1709" i="11"/>
  <c r="J1709" i="11"/>
  <c r="K1708" i="11"/>
  <c r="J1708" i="11"/>
  <c r="K1707" i="11"/>
  <c r="J1707" i="11"/>
  <c r="K1706" i="11"/>
  <c r="J1706" i="11"/>
  <c r="K1705" i="11"/>
  <c r="J1705" i="11"/>
  <c r="K1704" i="11"/>
  <c r="J1704" i="11"/>
  <c r="K1703" i="11"/>
  <c r="J1703" i="11"/>
  <c r="K1702" i="11"/>
  <c r="J1702" i="11"/>
  <c r="K1701" i="11"/>
  <c r="J1701" i="11"/>
  <c r="K1700" i="11"/>
  <c r="J1700" i="11"/>
  <c r="K1699" i="11"/>
  <c r="J1699" i="11"/>
  <c r="K1698" i="11"/>
  <c r="J1698" i="11"/>
  <c r="K1697" i="11"/>
  <c r="J1697" i="11"/>
  <c r="K1696" i="11"/>
  <c r="J1696" i="11"/>
  <c r="K1695" i="11"/>
  <c r="J1695" i="11"/>
  <c r="K1694" i="11"/>
  <c r="J1694" i="11"/>
  <c r="K1693" i="11"/>
  <c r="J1693" i="11"/>
  <c r="K1692" i="11"/>
  <c r="J1692" i="11"/>
  <c r="K1691" i="11"/>
  <c r="J1691" i="11"/>
  <c r="K1690" i="11"/>
  <c r="J1690" i="11"/>
  <c r="K1689" i="11"/>
  <c r="J1689" i="11"/>
  <c r="K1688" i="11"/>
  <c r="J1688" i="11"/>
  <c r="K1687" i="11"/>
  <c r="J1687" i="11"/>
  <c r="K1686" i="11"/>
  <c r="J1686" i="11"/>
  <c r="K1685" i="11"/>
  <c r="J1685" i="11"/>
  <c r="K1684" i="11"/>
  <c r="J1684" i="11"/>
  <c r="K1683" i="11"/>
  <c r="J1683" i="11"/>
  <c r="K1682" i="11"/>
  <c r="J1682" i="11"/>
  <c r="K1681" i="11"/>
  <c r="J1681" i="11"/>
  <c r="K1680" i="11"/>
  <c r="J1680" i="11"/>
  <c r="K1679" i="11"/>
  <c r="J1679" i="11"/>
  <c r="K1678" i="11"/>
  <c r="J1678" i="11"/>
  <c r="K1677" i="11"/>
  <c r="J1677" i="11"/>
  <c r="K1676" i="11"/>
  <c r="J1676" i="11"/>
  <c r="K1675" i="11"/>
  <c r="J1675" i="11"/>
  <c r="K1674" i="11"/>
  <c r="J1674" i="11"/>
  <c r="K1673" i="11"/>
  <c r="J1673" i="11"/>
  <c r="K1672" i="11"/>
  <c r="J1672" i="11"/>
  <c r="K1671" i="11"/>
  <c r="J1671" i="11"/>
  <c r="K1670" i="11"/>
  <c r="J1670" i="11"/>
  <c r="K1669" i="11"/>
  <c r="J1669" i="11"/>
  <c r="K1668" i="11"/>
  <c r="J1668" i="11"/>
  <c r="K1667" i="11"/>
  <c r="J1667" i="11"/>
  <c r="K1666" i="11"/>
  <c r="J1666" i="11"/>
  <c r="K1665" i="11"/>
  <c r="J1665" i="11"/>
  <c r="K1664" i="11"/>
  <c r="J1664" i="11"/>
  <c r="K1663" i="11"/>
  <c r="J1663" i="11"/>
  <c r="K1662" i="11"/>
  <c r="J1662" i="11"/>
  <c r="K1661" i="11"/>
  <c r="J1661" i="11"/>
  <c r="K1660" i="11"/>
  <c r="J1660" i="11"/>
  <c r="K1659" i="11"/>
  <c r="J1659" i="11"/>
  <c r="K1658" i="11"/>
  <c r="J1658" i="11"/>
  <c r="K1657" i="11"/>
  <c r="J1657" i="11"/>
  <c r="K1656" i="11"/>
  <c r="J1656" i="11"/>
  <c r="K1655" i="11"/>
  <c r="J1655" i="11"/>
  <c r="K1654" i="11"/>
  <c r="J1654" i="11"/>
  <c r="K1653" i="11"/>
  <c r="J1653" i="11"/>
  <c r="K1652" i="11"/>
  <c r="J1652" i="11"/>
  <c r="K1651" i="11"/>
  <c r="J1651" i="11"/>
  <c r="K1650" i="11"/>
  <c r="J1650" i="11"/>
  <c r="K1649" i="11"/>
  <c r="J1649" i="11"/>
  <c r="K1648" i="11"/>
  <c r="J1648" i="11"/>
  <c r="K1647" i="11"/>
  <c r="J1647" i="11"/>
  <c r="K1646" i="11"/>
  <c r="J1646" i="11"/>
  <c r="K1645" i="11"/>
  <c r="J1645" i="11"/>
  <c r="K1644" i="11"/>
  <c r="J1644" i="11"/>
  <c r="K1643" i="11"/>
  <c r="J1643" i="11"/>
  <c r="K1642" i="11"/>
  <c r="J1642" i="11"/>
  <c r="K1641" i="11"/>
  <c r="J1641" i="11"/>
  <c r="K1640" i="11"/>
  <c r="J1640" i="11"/>
  <c r="K1639" i="11"/>
  <c r="J1639" i="11"/>
  <c r="K1638" i="11"/>
  <c r="J1638" i="11"/>
  <c r="K1637" i="11"/>
  <c r="J1637" i="11"/>
  <c r="K1636" i="11"/>
  <c r="J1636" i="11"/>
  <c r="K1635" i="11"/>
  <c r="J1635" i="11"/>
  <c r="K1634" i="11"/>
  <c r="J1634" i="11"/>
  <c r="K1633" i="11"/>
  <c r="J1633" i="11"/>
  <c r="K1632" i="11"/>
  <c r="J1632" i="11"/>
  <c r="K1631" i="11"/>
  <c r="J1631" i="11"/>
  <c r="K1630" i="11"/>
  <c r="J1630" i="11"/>
  <c r="K1629" i="11"/>
  <c r="J1629" i="11"/>
  <c r="K1628" i="11"/>
  <c r="J1628" i="11"/>
  <c r="K1627" i="11"/>
  <c r="J1627" i="11"/>
  <c r="K1626" i="11"/>
  <c r="J1626" i="11"/>
  <c r="K1625" i="11"/>
  <c r="J1625" i="11"/>
  <c r="K1624" i="11"/>
  <c r="J1624" i="11"/>
  <c r="K1623" i="11"/>
  <c r="J1623" i="11"/>
  <c r="K1622" i="11"/>
  <c r="J1622" i="11"/>
  <c r="K1621" i="11"/>
  <c r="J1621" i="11"/>
  <c r="K1620" i="11"/>
  <c r="J1620" i="11"/>
  <c r="K1619" i="11"/>
  <c r="J1619" i="11"/>
  <c r="K1618" i="11"/>
  <c r="J1618" i="11"/>
  <c r="K1617" i="11"/>
  <c r="J1617" i="11"/>
  <c r="K1616" i="11"/>
  <c r="J1616" i="11"/>
  <c r="K1615" i="11"/>
  <c r="J1615" i="11"/>
  <c r="K1614" i="11"/>
  <c r="J1614" i="11"/>
  <c r="K1613" i="11"/>
  <c r="J1613" i="11"/>
  <c r="K1612" i="11"/>
  <c r="J1612" i="11"/>
  <c r="K1611" i="11"/>
  <c r="J1611" i="11"/>
  <c r="K1610" i="11"/>
  <c r="J1610" i="11"/>
  <c r="K1609" i="11"/>
  <c r="J1609" i="11"/>
  <c r="K1608" i="11"/>
  <c r="J1608" i="11"/>
  <c r="K1607" i="11"/>
  <c r="J1607" i="11"/>
  <c r="K1606" i="11"/>
  <c r="J1606" i="11"/>
  <c r="K1605" i="11"/>
  <c r="J1605" i="11"/>
  <c r="K1604" i="11"/>
  <c r="J1604" i="11"/>
  <c r="K1603" i="11"/>
  <c r="J1603" i="11"/>
  <c r="K1602" i="11"/>
  <c r="J1602" i="11"/>
  <c r="K1601" i="11"/>
  <c r="J1601" i="11"/>
  <c r="K1600" i="11"/>
  <c r="J1600" i="11"/>
  <c r="K1599" i="11"/>
  <c r="J1599" i="11"/>
  <c r="K1598" i="11"/>
  <c r="J1598" i="11"/>
  <c r="K1597" i="11"/>
  <c r="J1597" i="11"/>
  <c r="K1596" i="11"/>
  <c r="J1596" i="11"/>
  <c r="K1595" i="11"/>
  <c r="J1595" i="11"/>
  <c r="K1594" i="11"/>
  <c r="J1594" i="11"/>
  <c r="K1593" i="11"/>
  <c r="J1593" i="11"/>
  <c r="K1592" i="11"/>
  <c r="J1592" i="11"/>
  <c r="K1591" i="11"/>
  <c r="J1591" i="11"/>
  <c r="K1590" i="11"/>
  <c r="J1590" i="11"/>
  <c r="K1589" i="11"/>
  <c r="J1589" i="11"/>
  <c r="K1588" i="11"/>
  <c r="J1588" i="11"/>
  <c r="K1587" i="11"/>
  <c r="J1587" i="11"/>
  <c r="K1586" i="11"/>
  <c r="J1586" i="11"/>
  <c r="K1585" i="11"/>
  <c r="J1585" i="11"/>
  <c r="K1584" i="11"/>
  <c r="J1584" i="11"/>
  <c r="K1583" i="11"/>
  <c r="J1583" i="11"/>
  <c r="K1582" i="11"/>
  <c r="J1582" i="11"/>
  <c r="K1581" i="11"/>
  <c r="J1581" i="11"/>
  <c r="K1580" i="11"/>
  <c r="J1580" i="11"/>
  <c r="K1579" i="11"/>
  <c r="J1579" i="11"/>
  <c r="K1578" i="11"/>
  <c r="J1578" i="11"/>
  <c r="K1577" i="11"/>
  <c r="J1577" i="11"/>
  <c r="K1576" i="11"/>
  <c r="J1576" i="11"/>
  <c r="K1575" i="11"/>
  <c r="J1575" i="11"/>
  <c r="K1574" i="11"/>
  <c r="J1574" i="11"/>
  <c r="K1573" i="11"/>
  <c r="J1573" i="11"/>
  <c r="K1572" i="11"/>
  <c r="J1572" i="11"/>
  <c r="K1571" i="11"/>
  <c r="J1571" i="11"/>
  <c r="K1570" i="11"/>
  <c r="J1570" i="11"/>
  <c r="K1569" i="11"/>
  <c r="J1569" i="11"/>
  <c r="K1568" i="11"/>
  <c r="J1568" i="11"/>
  <c r="K1567" i="11"/>
  <c r="J1567" i="11"/>
  <c r="K1566" i="11"/>
  <c r="J1566" i="11"/>
  <c r="K1565" i="11"/>
  <c r="J1565" i="11"/>
  <c r="K1564" i="11"/>
  <c r="J1564" i="11"/>
  <c r="K1563" i="11"/>
  <c r="J1563" i="11"/>
  <c r="K1562" i="11"/>
  <c r="J1562" i="11"/>
  <c r="K1561" i="11"/>
  <c r="J1561" i="11"/>
  <c r="K1560" i="11"/>
  <c r="J1560" i="11"/>
  <c r="K1559" i="11"/>
  <c r="J1559" i="11"/>
  <c r="K1558" i="11"/>
  <c r="J1558" i="11"/>
  <c r="K1557" i="11"/>
  <c r="J1557" i="11"/>
  <c r="K1556" i="11"/>
  <c r="J1556" i="11"/>
  <c r="K1555" i="11"/>
  <c r="J1555" i="11"/>
  <c r="K1554" i="11"/>
  <c r="J1554" i="11"/>
  <c r="K1553" i="11"/>
  <c r="J1553" i="11"/>
  <c r="K1552" i="11"/>
  <c r="J1552" i="11"/>
  <c r="K1551" i="11"/>
  <c r="J1551" i="11"/>
  <c r="K1550" i="11"/>
  <c r="J1550" i="11"/>
  <c r="K1549" i="11"/>
  <c r="J1549" i="11"/>
  <c r="K1548" i="11"/>
  <c r="J1548" i="11"/>
  <c r="K1547" i="11"/>
  <c r="J1547" i="11"/>
  <c r="K1546" i="11"/>
  <c r="J1546" i="11"/>
  <c r="K1545" i="11"/>
  <c r="J1545" i="11"/>
  <c r="K1544" i="11"/>
  <c r="J1544" i="11"/>
  <c r="K1543" i="11"/>
  <c r="J1543" i="11"/>
  <c r="K1542" i="11"/>
  <c r="J1542" i="11"/>
  <c r="K1541" i="11"/>
  <c r="J1541" i="11"/>
  <c r="K1540" i="11"/>
  <c r="J1540" i="11"/>
  <c r="K1539" i="11"/>
  <c r="J1539" i="11"/>
  <c r="K1538" i="11"/>
  <c r="J1538" i="11"/>
  <c r="K1537" i="11"/>
  <c r="J1537" i="11"/>
  <c r="K1536" i="11"/>
  <c r="J1536" i="11"/>
  <c r="K1535" i="11"/>
  <c r="J1535" i="11"/>
  <c r="K1534" i="11"/>
  <c r="J1534" i="11"/>
  <c r="K1533" i="11"/>
  <c r="J1533" i="11"/>
  <c r="K1532" i="11"/>
  <c r="J1532" i="11"/>
  <c r="K1531" i="11"/>
  <c r="J1531" i="11"/>
  <c r="K1530" i="11"/>
  <c r="J1530" i="11"/>
  <c r="K1529" i="11"/>
  <c r="J1529" i="11"/>
  <c r="K1528" i="11"/>
  <c r="J1528" i="11"/>
  <c r="K1527" i="11"/>
  <c r="J1527" i="11"/>
  <c r="K1526" i="11"/>
  <c r="J1526" i="11"/>
  <c r="K1525" i="11"/>
  <c r="J1525" i="11"/>
  <c r="K1524" i="11"/>
  <c r="J1524" i="11"/>
  <c r="K1523" i="11"/>
  <c r="J1523" i="11"/>
  <c r="K1522" i="11"/>
  <c r="J1522" i="11"/>
  <c r="K1521" i="11"/>
  <c r="J1521" i="11"/>
  <c r="K1520" i="11"/>
  <c r="J1520" i="11"/>
  <c r="K1519" i="11"/>
  <c r="J1519" i="11"/>
  <c r="K1518" i="11"/>
  <c r="J1518" i="11"/>
  <c r="K1517" i="11"/>
  <c r="J1517" i="11"/>
  <c r="K1516" i="11"/>
  <c r="J1516" i="11"/>
  <c r="K1515" i="11"/>
  <c r="J1515" i="11"/>
  <c r="K1514" i="11"/>
  <c r="J1514" i="11"/>
  <c r="K1513" i="11"/>
  <c r="J1513" i="11"/>
  <c r="K1512" i="11"/>
  <c r="J1512" i="11"/>
  <c r="K1511" i="11"/>
  <c r="J1511" i="11"/>
  <c r="K1510" i="11"/>
  <c r="J1510" i="11"/>
  <c r="K1509" i="11"/>
  <c r="J1509" i="11"/>
  <c r="K1508" i="11"/>
  <c r="J1508" i="11"/>
  <c r="K1507" i="11"/>
  <c r="J1507" i="11"/>
  <c r="K1506" i="11"/>
  <c r="J1506" i="11"/>
  <c r="K1505" i="11"/>
  <c r="J1505" i="11"/>
  <c r="K1504" i="11"/>
  <c r="J1504" i="11"/>
  <c r="K1503" i="11"/>
  <c r="J1503" i="11"/>
  <c r="K1502" i="11"/>
  <c r="J1502" i="11"/>
  <c r="K1501" i="11"/>
  <c r="J1501" i="11"/>
  <c r="K1500" i="11"/>
  <c r="J1500" i="11"/>
  <c r="K1499" i="11"/>
  <c r="J1499" i="11"/>
  <c r="K1498" i="11"/>
  <c r="J1498" i="11"/>
  <c r="K1497" i="11"/>
  <c r="J1497" i="11"/>
  <c r="K1496" i="11"/>
  <c r="J1496" i="11"/>
  <c r="K1495" i="11"/>
  <c r="J1495" i="11"/>
  <c r="K1494" i="11"/>
  <c r="J1494" i="11"/>
  <c r="K1493" i="11"/>
  <c r="J1493" i="11"/>
  <c r="K1492" i="11"/>
  <c r="J1492" i="11"/>
  <c r="K1491" i="11"/>
  <c r="J1491" i="11"/>
  <c r="K1490" i="11"/>
  <c r="J1490" i="11"/>
  <c r="K1489" i="11"/>
  <c r="J1489" i="11"/>
  <c r="K1488" i="11"/>
  <c r="J1488" i="11"/>
  <c r="K1487" i="11"/>
  <c r="J1487" i="11"/>
  <c r="K1486" i="11"/>
  <c r="J1486" i="11"/>
  <c r="K1485" i="11"/>
  <c r="J1485" i="11"/>
  <c r="K1484" i="11"/>
  <c r="J1484" i="11"/>
  <c r="K1483" i="11"/>
  <c r="J1483" i="11"/>
  <c r="K1482" i="11"/>
  <c r="J1482" i="11"/>
  <c r="K1481" i="11"/>
  <c r="J1481" i="11"/>
  <c r="K1480" i="11"/>
  <c r="J1480" i="11"/>
  <c r="K1479" i="11"/>
  <c r="J1479" i="11"/>
  <c r="K1478" i="11"/>
  <c r="J1478" i="11"/>
  <c r="K1477" i="11"/>
  <c r="J1477" i="11"/>
  <c r="K1476" i="11"/>
  <c r="J1476" i="11"/>
  <c r="K1475" i="11"/>
  <c r="J1475" i="11"/>
  <c r="K1474" i="11"/>
  <c r="J1474" i="11"/>
  <c r="K1473" i="11"/>
  <c r="J1473" i="11"/>
  <c r="K1472" i="11"/>
  <c r="J1472" i="11"/>
  <c r="K1471" i="11"/>
  <c r="J1471" i="11"/>
  <c r="K1470" i="11"/>
  <c r="J1470" i="11"/>
  <c r="K1469" i="11"/>
  <c r="J1469" i="11"/>
  <c r="K1468" i="11"/>
  <c r="J1468" i="11"/>
  <c r="K1467" i="11"/>
  <c r="J1467" i="11"/>
  <c r="K1466" i="11"/>
  <c r="J1466" i="11"/>
  <c r="K1465" i="11"/>
  <c r="J1465" i="11"/>
  <c r="K1464" i="11"/>
  <c r="J1464" i="11"/>
  <c r="K1463" i="11"/>
  <c r="J1463" i="11"/>
  <c r="K1462" i="11"/>
  <c r="J1462" i="11"/>
  <c r="K1461" i="11"/>
  <c r="J1461" i="11"/>
  <c r="K1460" i="11"/>
  <c r="J1460" i="11"/>
  <c r="K1459" i="11"/>
  <c r="J1459" i="11"/>
  <c r="K1458" i="11"/>
  <c r="J1458" i="11"/>
  <c r="K1457" i="11"/>
  <c r="J1457" i="11"/>
  <c r="K1456" i="11"/>
  <c r="J1456" i="11"/>
  <c r="K1455" i="11"/>
  <c r="J1455" i="11"/>
  <c r="K1454" i="11"/>
  <c r="J1454" i="11"/>
  <c r="K1453" i="11"/>
  <c r="J1453" i="11"/>
  <c r="K1452" i="11"/>
  <c r="J1452" i="11"/>
  <c r="K1451" i="11"/>
  <c r="J1451" i="11"/>
  <c r="K1450" i="11"/>
  <c r="J1450" i="11"/>
  <c r="K1449" i="11"/>
  <c r="J1449" i="11"/>
  <c r="K1448" i="11"/>
  <c r="J1448" i="11"/>
  <c r="K1447" i="11"/>
  <c r="J1447" i="11"/>
  <c r="K1446" i="11"/>
  <c r="J1446" i="11"/>
  <c r="K1445" i="11"/>
  <c r="J1445" i="11"/>
  <c r="K1444" i="11"/>
  <c r="J1444" i="11"/>
  <c r="K1443" i="11"/>
  <c r="J1443" i="11"/>
  <c r="K1442" i="11"/>
  <c r="J1442" i="11"/>
  <c r="K1441" i="11"/>
  <c r="J1441" i="11"/>
  <c r="K1440" i="11"/>
  <c r="J1440" i="11"/>
  <c r="K1439" i="11"/>
  <c r="J1439" i="11"/>
  <c r="K1438" i="11"/>
  <c r="J1438" i="11"/>
  <c r="K1437" i="11"/>
  <c r="J1437" i="11"/>
  <c r="K1436" i="11"/>
  <c r="J1436" i="11"/>
  <c r="K1435" i="11"/>
  <c r="J1435" i="11"/>
  <c r="K1434" i="11"/>
  <c r="J1434" i="11"/>
  <c r="K1433" i="11"/>
  <c r="J1433" i="11"/>
  <c r="K1432" i="11"/>
  <c r="J1432" i="11"/>
  <c r="K1431" i="11"/>
  <c r="J1431" i="11"/>
  <c r="K1430" i="11"/>
  <c r="J1430" i="11"/>
  <c r="K1429" i="11"/>
  <c r="J1429" i="11"/>
  <c r="K1428" i="11"/>
  <c r="J1428" i="11"/>
  <c r="K1427" i="11"/>
  <c r="J1427" i="11"/>
  <c r="K1426" i="11"/>
  <c r="J1426" i="11"/>
  <c r="K1425" i="11"/>
  <c r="J1425" i="11"/>
  <c r="K1424" i="11"/>
  <c r="J1424" i="11"/>
  <c r="K1423" i="11"/>
  <c r="J1423" i="11"/>
  <c r="K1422" i="11"/>
  <c r="J1422" i="11"/>
  <c r="K1421" i="11"/>
  <c r="J1421" i="11"/>
  <c r="K1420" i="11"/>
  <c r="J1420" i="11"/>
  <c r="K1419" i="11"/>
  <c r="J1419" i="11"/>
  <c r="K1418" i="11"/>
  <c r="J1418" i="11"/>
  <c r="K1417" i="11"/>
  <c r="J1417" i="11"/>
  <c r="K1416" i="11"/>
  <c r="J1416" i="11"/>
  <c r="K1415" i="11"/>
  <c r="J1415" i="11"/>
  <c r="K1414" i="11"/>
  <c r="J1414" i="11"/>
  <c r="K1413" i="11"/>
  <c r="J1413" i="11"/>
  <c r="K1412" i="11"/>
  <c r="J1412" i="11"/>
  <c r="K1411" i="11"/>
  <c r="J1411" i="11"/>
  <c r="K1410" i="11"/>
  <c r="J1410" i="11"/>
  <c r="K1409" i="11"/>
  <c r="J1409" i="11"/>
  <c r="K1408" i="11"/>
  <c r="J1408" i="11"/>
  <c r="K1407" i="11"/>
  <c r="J1407" i="11"/>
  <c r="K1406" i="11"/>
  <c r="J1406" i="11"/>
  <c r="K1405" i="11"/>
  <c r="J1405" i="11"/>
  <c r="K1404" i="11"/>
  <c r="J1404" i="11"/>
  <c r="K1403" i="11"/>
  <c r="J1403" i="11"/>
  <c r="K1402" i="11"/>
  <c r="J1402" i="11"/>
  <c r="K1401" i="11"/>
  <c r="J1401" i="11"/>
  <c r="K1400" i="11"/>
  <c r="J1400" i="11"/>
  <c r="K1399" i="11"/>
  <c r="J1399" i="11"/>
  <c r="K1398" i="11"/>
  <c r="J1398" i="11"/>
  <c r="K1397" i="11"/>
  <c r="J1397" i="11"/>
  <c r="K1396" i="11"/>
  <c r="J1396" i="11"/>
  <c r="K1395" i="11"/>
  <c r="J1395" i="11"/>
  <c r="K1394" i="11"/>
  <c r="J1394" i="11"/>
  <c r="K1393" i="11"/>
  <c r="J1393" i="11"/>
  <c r="K1392" i="11"/>
  <c r="J1392" i="11"/>
  <c r="K1391" i="11"/>
  <c r="J1391" i="11"/>
  <c r="K1390" i="11"/>
  <c r="J1390" i="11"/>
  <c r="K1389" i="11"/>
  <c r="J1389" i="11"/>
  <c r="K1388" i="11"/>
  <c r="J1388" i="11"/>
  <c r="K1387" i="11"/>
  <c r="J1387" i="11"/>
  <c r="K1386" i="11"/>
  <c r="J1386" i="11"/>
  <c r="K1385" i="11"/>
  <c r="J1385" i="11"/>
  <c r="K1384" i="11"/>
  <c r="J1384" i="11"/>
  <c r="K1383" i="11"/>
  <c r="J1383" i="11"/>
  <c r="K1382" i="11"/>
  <c r="J1382" i="11"/>
  <c r="K1381" i="11"/>
  <c r="J1381" i="11"/>
  <c r="K1380" i="11"/>
  <c r="J1380" i="11"/>
  <c r="K1379" i="11"/>
  <c r="J1379" i="11"/>
  <c r="K1378" i="11"/>
  <c r="J1378" i="11"/>
  <c r="K1377" i="11"/>
  <c r="J1377" i="11"/>
  <c r="K1376" i="11"/>
  <c r="J1376" i="11"/>
  <c r="K1375" i="11"/>
  <c r="J1375" i="11"/>
  <c r="K1374" i="11"/>
  <c r="J1374" i="11"/>
  <c r="K1373" i="11"/>
  <c r="J1373" i="11"/>
  <c r="K1372" i="11"/>
  <c r="J1372" i="11"/>
  <c r="K1371" i="11"/>
  <c r="J1371" i="11"/>
  <c r="K1370" i="11"/>
  <c r="J1370" i="11"/>
  <c r="K1369" i="11"/>
  <c r="J1369" i="11"/>
  <c r="K1368" i="11"/>
  <c r="J1368" i="11"/>
  <c r="K1367" i="11"/>
  <c r="J1367" i="11"/>
  <c r="K1366" i="11"/>
  <c r="J1366" i="11"/>
  <c r="K1365" i="11"/>
  <c r="J1365" i="11"/>
  <c r="K1364" i="11"/>
  <c r="J1364" i="11"/>
  <c r="K1363" i="11"/>
  <c r="J1363" i="11"/>
  <c r="K1362" i="11"/>
  <c r="J1362" i="11"/>
  <c r="K1361" i="11"/>
  <c r="J1361" i="11"/>
  <c r="K1360" i="11"/>
  <c r="J1360" i="11"/>
  <c r="K1359" i="11"/>
  <c r="J1359" i="11"/>
  <c r="K1358" i="11"/>
  <c r="J1358" i="11"/>
  <c r="K1357" i="11"/>
  <c r="J1357" i="11"/>
  <c r="K1356" i="11"/>
  <c r="J1356" i="11"/>
  <c r="K1355" i="11"/>
  <c r="J1355" i="11"/>
  <c r="K1354" i="11"/>
  <c r="J1354" i="11"/>
  <c r="K1353" i="11"/>
  <c r="J1353" i="11"/>
  <c r="K1352" i="11"/>
  <c r="J1352" i="11"/>
  <c r="K1351" i="11"/>
  <c r="J1351" i="11"/>
  <c r="K1350" i="11"/>
  <c r="J1350" i="11"/>
  <c r="K1349" i="11"/>
  <c r="J1349" i="11"/>
  <c r="K1348" i="11"/>
  <c r="J1348" i="11"/>
  <c r="K1347" i="11"/>
  <c r="J1347" i="11"/>
  <c r="K1346" i="11"/>
  <c r="J1346" i="11"/>
  <c r="K1345" i="11"/>
  <c r="J1345" i="11"/>
  <c r="K1344" i="11"/>
  <c r="J1344" i="11"/>
  <c r="K1343" i="11"/>
  <c r="J1343" i="11"/>
  <c r="K1342" i="11"/>
  <c r="J1342" i="11"/>
  <c r="K1341" i="11"/>
  <c r="J1341" i="11"/>
  <c r="K1340" i="11"/>
  <c r="J1340" i="11"/>
  <c r="K1339" i="11"/>
  <c r="J1339" i="11"/>
  <c r="K1338" i="11"/>
  <c r="J1338" i="11"/>
  <c r="K1337" i="11"/>
  <c r="J1337" i="11"/>
  <c r="K1336" i="11"/>
  <c r="J1336" i="11"/>
  <c r="K1335" i="11"/>
  <c r="J1335" i="11"/>
  <c r="K1334" i="11"/>
  <c r="J1334" i="11"/>
  <c r="K1333" i="11"/>
  <c r="J1333" i="11"/>
  <c r="K1332" i="11"/>
  <c r="J1332" i="11"/>
  <c r="K1331" i="11"/>
  <c r="J1331" i="11"/>
  <c r="K1330" i="11"/>
  <c r="J1330" i="11"/>
  <c r="K1329" i="11"/>
  <c r="J1329" i="11"/>
  <c r="K1328" i="11"/>
  <c r="J1328" i="11"/>
  <c r="K1327" i="11"/>
  <c r="J1327" i="11"/>
  <c r="K1326" i="11"/>
  <c r="J1326" i="11"/>
  <c r="K1325" i="11"/>
  <c r="J1325" i="11"/>
  <c r="K1324" i="11"/>
  <c r="J1324" i="11"/>
  <c r="K1323" i="11"/>
  <c r="J1323" i="11"/>
  <c r="K1322" i="11"/>
  <c r="J1322" i="11"/>
  <c r="K1321" i="11"/>
  <c r="J1321" i="11"/>
  <c r="K1320" i="11"/>
  <c r="J1320" i="11"/>
  <c r="K1319" i="11"/>
  <c r="J1319" i="11"/>
  <c r="K1318" i="11"/>
  <c r="J1318" i="11"/>
  <c r="K1317" i="11"/>
  <c r="J1317" i="11"/>
  <c r="K1316" i="11"/>
  <c r="J1316" i="11"/>
  <c r="K1315" i="11"/>
  <c r="J1315" i="11"/>
  <c r="K1314" i="11"/>
  <c r="J1314" i="11"/>
  <c r="K1313" i="11"/>
  <c r="J1313" i="11"/>
  <c r="K1312" i="11"/>
  <c r="J1312" i="11"/>
  <c r="K1311" i="11"/>
  <c r="J1311" i="11"/>
  <c r="K1310" i="11"/>
  <c r="J1310" i="11"/>
  <c r="K1309" i="11"/>
  <c r="J1309" i="11"/>
  <c r="K1308" i="11"/>
  <c r="J1308" i="11"/>
  <c r="K1307" i="11"/>
  <c r="J1307" i="11"/>
  <c r="K1306" i="11"/>
  <c r="J1306" i="11"/>
  <c r="K1305" i="11"/>
  <c r="J1305" i="11"/>
  <c r="K1304" i="11"/>
  <c r="J1304" i="11"/>
  <c r="K1303" i="11"/>
  <c r="J1303" i="11"/>
  <c r="K1302" i="11"/>
  <c r="J1302" i="11"/>
  <c r="K1301" i="11"/>
  <c r="J1301" i="11"/>
  <c r="K1300" i="11"/>
  <c r="J1300" i="11"/>
  <c r="K1299" i="11"/>
  <c r="J1299" i="11"/>
  <c r="K1298" i="11"/>
  <c r="J1298" i="11"/>
  <c r="K1297" i="11"/>
  <c r="J1297" i="11"/>
  <c r="K1296" i="11"/>
  <c r="J1296" i="11"/>
  <c r="K1295" i="11"/>
  <c r="J1295" i="11"/>
  <c r="K1294" i="11"/>
  <c r="J1294" i="11"/>
  <c r="K1293" i="11"/>
  <c r="J1293" i="11"/>
  <c r="K1292" i="11"/>
  <c r="J1292" i="11"/>
  <c r="K1291" i="11"/>
  <c r="J1291" i="11"/>
  <c r="K1290" i="11"/>
  <c r="J1290" i="11"/>
  <c r="K1289" i="11"/>
  <c r="J1289" i="11"/>
  <c r="K1288" i="11"/>
  <c r="J1288" i="11"/>
  <c r="K1287" i="11"/>
  <c r="J1287" i="11"/>
  <c r="K1286" i="11"/>
  <c r="J1286" i="11"/>
  <c r="K1285" i="11"/>
  <c r="J1285" i="11"/>
  <c r="K1284" i="11"/>
  <c r="J1284" i="11"/>
  <c r="K1283" i="11"/>
  <c r="J1283" i="11"/>
  <c r="K1282" i="11"/>
  <c r="J1282" i="11"/>
  <c r="K1281" i="11"/>
  <c r="J1281" i="11"/>
  <c r="K1280" i="11"/>
  <c r="J1280" i="11"/>
  <c r="K1279" i="11"/>
  <c r="J1279" i="11"/>
  <c r="K1278" i="11"/>
  <c r="J1278" i="11"/>
  <c r="K1277" i="11"/>
  <c r="J1277" i="11"/>
  <c r="K1276" i="11"/>
  <c r="J1276" i="11"/>
  <c r="K1275" i="11"/>
  <c r="J1275" i="11"/>
  <c r="K1274" i="11"/>
  <c r="J1274" i="11"/>
  <c r="K1273" i="11"/>
  <c r="J1273" i="11"/>
  <c r="K1272" i="11"/>
  <c r="J1272" i="11"/>
  <c r="K1271" i="11"/>
  <c r="J1271" i="11"/>
  <c r="K1270" i="11"/>
  <c r="J1270" i="11"/>
  <c r="K1269" i="11"/>
  <c r="J1269" i="11"/>
  <c r="K1268" i="11"/>
  <c r="J1268" i="11"/>
  <c r="K1267" i="11"/>
  <c r="J1267" i="11"/>
  <c r="K1266" i="11"/>
  <c r="J1266" i="11"/>
  <c r="K1265" i="11"/>
  <c r="J1265" i="11"/>
  <c r="K1264" i="11"/>
  <c r="J1264" i="11"/>
  <c r="K1263" i="11"/>
  <c r="J1263" i="11"/>
  <c r="K1262" i="11"/>
  <c r="J1262" i="11"/>
  <c r="K1261" i="11"/>
  <c r="J1261" i="11"/>
  <c r="K1260" i="11"/>
  <c r="J1260" i="11"/>
  <c r="K1259" i="11"/>
  <c r="J1259" i="11"/>
  <c r="K1258" i="11"/>
  <c r="J1258" i="11"/>
  <c r="K1257" i="11"/>
  <c r="J1257" i="11"/>
  <c r="K1256" i="11"/>
  <c r="J1256" i="11"/>
  <c r="K1255" i="11"/>
  <c r="J1255" i="11"/>
  <c r="K1254" i="11"/>
  <c r="J1254" i="11"/>
  <c r="K1253" i="11"/>
  <c r="J1253" i="11"/>
  <c r="K1252" i="11"/>
  <c r="J1252" i="11"/>
  <c r="K1251" i="11"/>
  <c r="J1251" i="11"/>
  <c r="K1250" i="11"/>
  <c r="J1250" i="11"/>
  <c r="K1249" i="11"/>
  <c r="J1249" i="11"/>
  <c r="K1248" i="11"/>
  <c r="J1248" i="11"/>
  <c r="K1247" i="11"/>
  <c r="J1247" i="11"/>
  <c r="K1246" i="11"/>
  <c r="J1246" i="11"/>
  <c r="K1245" i="11"/>
  <c r="J1245" i="11"/>
  <c r="K1244" i="11"/>
  <c r="J1244" i="11"/>
  <c r="K1243" i="11"/>
  <c r="J1243" i="11"/>
  <c r="K1242" i="11"/>
  <c r="J1242" i="11"/>
  <c r="K1241" i="11"/>
  <c r="J1241" i="11"/>
  <c r="K1240" i="11"/>
  <c r="J1240" i="11"/>
  <c r="K1239" i="11"/>
  <c r="J1239" i="11"/>
  <c r="K1238" i="11"/>
  <c r="J1238" i="11"/>
  <c r="K1237" i="11"/>
  <c r="J1237" i="11"/>
  <c r="K1236" i="11"/>
  <c r="J1236" i="11"/>
  <c r="K1235" i="11"/>
  <c r="J1235" i="11"/>
  <c r="K1234" i="11"/>
  <c r="J1234" i="11"/>
  <c r="K1233" i="11"/>
  <c r="J1233" i="11"/>
  <c r="K1232" i="11"/>
  <c r="J1232" i="11"/>
  <c r="K1231" i="11"/>
  <c r="J1231" i="11"/>
  <c r="K1230" i="11"/>
  <c r="J1230" i="11"/>
  <c r="K1229" i="11"/>
  <c r="J1229" i="11"/>
  <c r="K1228" i="11"/>
  <c r="J1228" i="11"/>
  <c r="K1227" i="11"/>
  <c r="J1227" i="11"/>
  <c r="K1226" i="11"/>
  <c r="J1226" i="11"/>
  <c r="K1225" i="11"/>
  <c r="J1225" i="11"/>
  <c r="K1224" i="11"/>
  <c r="J1224" i="11"/>
  <c r="K1223" i="11"/>
  <c r="J1223" i="11"/>
  <c r="K1222" i="11"/>
  <c r="J1222" i="11"/>
  <c r="K1221" i="11"/>
  <c r="J1221" i="11"/>
  <c r="K1220" i="11"/>
  <c r="J1220" i="11"/>
  <c r="K1219" i="11"/>
  <c r="J1219" i="11"/>
  <c r="K1218" i="11"/>
  <c r="J1218" i="11"/>
  <c r="K1217" i="11"/>
  <c r="J1217" i="11"/>
  <c r="K1216" i="11"/>
  <c r="J1216" i="11"/>
  <c r="K1215" i="11"/>
  <c r="J1215" i="11"/>
  <c r="K1214" i="11"/>
  <c r="J1214" i="11"/>
  <c r="K1213" i="11"/>
  <c r="J1213" i="11"/>
  <c r="K1212" i="11"/>
  <c r="J1212" i="11"/>
  <c r="K1211" i="11"/>
  <c r="J1211" i="11"/>
  <c r="K1210" i="11"/>
  <c r="J1210" i="11"/>
  <c r="K1209" i="11"/>
  <c r="J1209" i="11"/>
  <c r="K1208" i="11"/>
  <c r="J1208" i="11"/>
  <c r="K1207" i="11"/>
  <c r="J1207" i="11"/>
  <c r="K1206" i="11"/>
  <c r="J1206" i="11"/>
  <c r="K1205" i="11"/>
  <c r="J1205" i="11"/>
  <c r="K1204" i="11"/>
  <c r="J1204" i="11"/>
  <c r="K1203" i="11"/>
  <c r="J1203" i="11"/>
  <c r="K1202" i="11"/>
  <c r="J1202" i="11"/>
  <c r="K1201" i="11"/>
  <c r="J1201" i="11"/>
  <c r="K1200" i="11"/>
  <c r="J1200" i="11"/>
  <c r="K1199" i="11"/>
  <c r="J1199" i="11"/>
  <c r="K1198" i="11"/>
  <c r="J1198" i="11"/>
  <c r="K1197" i="11"/>
  <c r="J1197" i="11"/>
  <c r="K1196" i="11"/>
  <c r="J1196" i="11"/>
  <c r="K1195" i="11"/>
  <c r="J1195" i="11"/>
  <c r="K1194" i="11"/>
  <c r="J1194" i="11"/>
  <c r="K1193" i="11"/>
  <c r="J1193" i="11"/>
  <c r="K1192" i="11"/>
  <c r="J1192" i="11"/>
  <c r="K1191" i="11"/>
  <c r="J1191" i="11"/>
  <c r="K1190" i="11"/>
  <c r="J1190" i="11"/>
  <c r="K1189" i="11"/>
  <c r="J1189" i="11"/>
  <c r="K1188" i="11"/>
  <c r="J1188" i="11"/>
  <c r="K1187" i="11"/>
  <c r="J1187" i="11"/>
  <c r="K1186" i="11"/>
  <c r="J1186" i="11"/>
  <c r="K1185" i="11"/>
  <c r="J1185" i="11"/>
  <c r="K1184" i="11"/>
  <c r="J1184" i="11"/>
  <c r="K1183" i="11"/>
  <c r="J1183" i="11"/>
  <c r="K1182" i="11"/>
  <c r="J1182" i="11"/>
  <c r="K1181" i="11"/>
  <c r="J1181" i="11"/>
  <c r="K1180" i="11"/>
  <c r="J1180" i="11"/>
  <c r="K1179" i="11"/>
  <c r="J1179" i="11"/>
  <c r="K1178" i="11"/>
  <c r="J1178" i="11"/>
  <c r="K1177" i="11"/>
  <c r="J1177" i="11"/>
  <c r="K1176" i="11"/>
  <c r="J1176" i="11"/>
  <c r="K1175" i="11"/>
  <c r="J1175" i="11"/>
  <c r="K1174" i="11"/>
  <c r="J1174" i="11"/>
  <c r="K1173" i="11"/>
  <c r="J1173" i="11"/>
  <c r="K1172" i="11"/>
  <c r="J1172" i="11"/>
  <c r="K1171" i="11"/>
  <c r="J1171" i="11"/>
  <c r="K1170" i="11"/>
  <c r="J1170" i="11"/>
  <c r="K1169" i="11"/>
  <c r="J1169" i="11"/>
  <c r="K1168" i="11"/>
  <c r="J1168" i="11"/>
  <c r="K1167" i="11"/>
  <c r="J1167" i="11"/>
  <c r="K1166" i="11"/>
  <c r="J1166" i="11"/>
  <c r="K1165" i="11"/>
  <c r="J1165" i="11"/>
  <c r="K1164" i="11"/>
  <c r="J1164" i="11"/>
  <c r="K1163" i="11"/>
  <c r="J1163" i="11"/>
  <c r="K1162" i="11"/>
  <c r="J1162" i="11"/>
  <c r="K1161" i="11"/>
  <c r="J1161" i="11"/>
  <c r="K1160" i="11"/>
  <c r="J1160" i="11"/>
  <c r="K1159" i="11"/>
  <c r="J1159" i="11"/>
  <c r="K1158" i="11"/>
  <c r="J1158" i="11"/>
  <c r="K1157" i="11"/>
  <c r="J1157" i="11"/>
  <c r="K1156" i="11"/>
  <c r="J1156" i="11"/>
  <c r="K1155" i="11"/>
  <c r="J1155" i="11"/>
  <c r="K1154" i="11"/>
  <c r="J1154" i="11"/>
  <c r="K1153" i="11"/>
  <c r="J1153" i="11"/>
  <c r="K1152" i="11"/>
  <c r="J1152" i="11"/>
  <c r="K1151" i="11"/>
  <c r="J1151" i="11"/>
  <c r="K1150" i="11"/>
  <c r="J1150" i="11"/>
  <c r="K1149" i="11"/>
  <c r="J1149" i="11"/>
  <c r="K1148" i="11"/>
  <c r="J1148" i="11"/>
  <c r="K1147" i="11"/>
  <c r="J1147" i="11"/>
  <c r="K1146" i="11"/>
  <c r="J1146" i="11"/>
  <c r="K1145" i="11"/>
  <c r="J1145" i="11"/>
  <c r="K1144" i="11"/>
  <c r="J1144" i="11"/>
  <c r="K1143" i="11"/>
  <c r="J1143" i="11"/>
  <c r="K1142" i="11"/>
  <c r="J1142" i="11"/>
  <c r="K1141" i="11"/>
  <c r="J1141" i="11"/>
  <c r="K1140" i="11"/>
  <c r="J1140" i="11"/>
  <c r="K1139" i="11"/>
  <c r="J1139" i="11"/>
  <c r="K1138" i="11"/>
  <c r="J1138" i="11"/>
  <c r="K1137" i="11"/>
  <c r="J1137" i="11"/>
  <c r="K1136" i="11"/>
  <c r="J1136" i="11"/>
  <c r="K1135" i="11"/>
  <c r="J1135" i="11"/>
  <c r="K1134" i="11"/>
  <c r="J1134" i="11"/>
  <c r="K1133" i="11"/>
  <c r="J1133" i="11"/>
  <c r="K1132" i="11"/>
  <c r="J1132" i="11"/>
  <c r="K1131" i="11"/>
  <c r="J1131" i="11"/>
  <c r="K1130" i="11"/>
  <c r="J1130" i="11"/>
  <c r="K1129" i="11"/>
  <c r="J1129" i="11"/>
  <c r="K1128" i="11"/>
  <c r="J1128" i="11"/>
  <c r="K1127" i="11"/>
  <c r="J1127" i="11"/>
  <c r="K1126" i="11"/>
  <c r="J1126" i="11"/>
  <c r="K1125" i="11"/>
  <c r="J1125" i="11"/>
  <c r="K1124" i="11"/>
  <c r="J1124" i="11"/>
  <c r="K1123" i="11"/>
  <c r="J1123" i="11"/>
  <c r="K1122" i="11"/>
  <c r="J1122" i="11"/>
  <c r="K1121" i="11"/>
  <c r="J1121" i="11"/>
  <c r="K1120" i="11"/>
  <c r="J1120" i="11"/>
  <c r="K1119" i="11"/>
  <c r="J1119" i="11"/>
  <c r="K1118" i="11"/>
  <c r="J1118" i="11"/>
  <c r="K1117" i="11"/>
  <c r="J1117" i="11"/>
  <c r="K1116" i="11"/>
  <c r="J1116" i="11"/>
  <c r="K1115" i="11"/>
  <c r="J1115" i="11"/>
  <c r="K1114" i="11"/>
  <c r="J1114" i="11"/>
  <c r="K1113" i="11"/>
  <c r="J1113" i="11"/>
  <c r="K1112" i="11"/>
  <c r="J1112" i="11"/>
  <c r="K1111" i="11"/>
  <c r="J1111" i="11"/>
  <c r="K1110" i="11"/>
  <c r="J1110" i="11"/>
  <c r="K1109" i="11"/>
  <c r="J1109" i="11"/>
  <c r="K1108" i="11"/>
  <c r="J1108" i="11"/>
  <c r="K1107" i="11"/>
  <c r="J1107" i="11"/>
  <c r="K1106" i="11"/>
  <c r="J1106" i="11"/>
  <c r="K1105" i="11"/>
  <c r="J1105" i="11"/>
  <c r="K1104" i="11"/>
  <c r="J1104" i="11"/>
  <c r="K1103" i="11"/>
  <c r="J1103" i="11"/>
  <c r="K1102" i="11"/>
  <c r="J1102" i="11"/>
  <c r="K1101" i="11"/>
  <c r="J1101" i="11"/>
  <c r="K1100" i="11"/>
  <c r="J1100" i="11"/>
  <c r="K1099" i="11"/>
  <c r="J1099" i="11"/>
  <c r="K1098" i="11"/>
  <c r="J1098" i="11"/>
  <c r="K1097" i="11"/>
  <c r="J1097" i="11"/>
  <c r="K1096" i="11"/>
  <c r="J1096" i="11"/>
  <c r="K1095" i="11"/>
  <c r="J1095" i="11"/>
  <c r="K1094" i="11"/>
  <c r="J1094" i="11"/>
  <c r="K1093" i="11"/>
  <c r="J1093" i="11"/>
  <c r="K1092" i="11"/>
  <c r="J1092" i="11"/>
  <c r="K1091" i="11"/>
  <c r="J1091" i="11"/>
  <c r="K1090" i="11"/>
  <c r="J1090" i="11"/>
  <c r="K1089" i="11"/>
  <c r="J1089" i="11"/>
  <c r="K1088" i="11"/>
  <c r="J1088" i="11"/>
  <c r="K1087" i="11"/>
  <c r="J1087" i="11"/>
  <c r="K1086" i="11"/>
  <c r="J1086" i="11"/>
  <c r="K1085" i="11"/>
  <c r="J1085" i="11"/>
  <c r="K1084" i="11"/>
  <c r="J1084" i="11"/>
  <c r="K1083" i="11"/>
  <c r="J1083" i="11"/>
  <c r="K1082" i="11"/>
  <c r="J1082" i="11"/>
  <c r="K1081" i="11"/>
  <c r="J1081" i="11"/>
  <c r="K1080" i="11"/>
  <c r="J1080" i="11"/>
  <c r="K1079" i="11"/>
  <c r="J1079" i="11"/>
  <c r="K1078" i="11"/>
  <c r="J1078" i="11"/>
  <c r="K1077" i="11"/>
  <c r="J1077" i="11"/>
  <c r="K1076" i="11"/>
  <c r="J1076" i="11"/>
  <c r="K1075" i="11"/>
  <c r="J1075" i="11"/>
  <c r="K1074" i="11"/>
  <c r="J1074" i="11"/>
  <c r="K1073" i="11"/>
  <c r="J1073" i="11"/>
  <c r="K1072" i="11"/>
  <c r="J1072" i="11"/>
  <c r="K1071" i="11"/>
  <c r="J1071" i="11"/>
  <c r="K1070" i="11"/>
  <c r="J1070" i="11"/>
  <c r="K1069" i="11"/>
  <c r="J1069" i="11"/>
  <c r="K1068" i="11"/>
  <c r="J1068" i="11"/>
  <c r="K1067" i="11"/>
  <c r="J1067" i="11"/>
  <c r="K1066" i="11"/>
  <c r="J1066" i="11"/>
  <c r="K1065" i="11"/>
  <c r="J1065" i="11"/>
  <c r="K1064" i="11"/>
  <c r="J1064" i="11"/>
  <c r="K1063" i="11"/>
  <c r="J1063" i="11"/>
  <c r="K1062" i="11"/>
  <c r="J1062" i="11"/>
  <c r="K1061" i="11"/>
  <c r="J1061" i="11"/>
  <c r="K1060" i="11"/>
  <c r="J1060" i="11"/>
  <c r="K1059" i="11"/>
  <c r="J1059" i="11"/>
  <c r="K1058" i="11"/>
  <c r="J1058" i="11"/>
  <c r="K1057" i="11"/>
  <c r="J1057" i="11"/>
  <c r="K1056" i="11"/>
  <c r="J1056" i="11"/>
  <c r="K1055" i="11"/>
  <c r="J1055" i="11"/>
  <c r="K1054" i="11"/>
  <c r="J1054" i="11"/>
  <c r="K1053" i="11"/>
  <c r="J1053" i="11"/>
  <c r="K1052" i="11"/>
  <c r="J1052" i="11"/>
  <c r="K1051" i="11"/>
  <c r="J1051" i="11"/>
  <c r="K1050" i="11"/>
  <c r="J1050" i="11"/>
  <c r="K1049" i="11"/>
  <c r="J1049" i="11"/>
  <c r="K1048" i="11"/>
  <c r="J1048" i="11"/>
  <c r="K1047" i="11"/>
  <c r="J1047" i="11"/>
  <c r="K1046" i="11"/>
  <c r="J1046" i="11"/>
  <c r="K1045" i="11"/>
  <c r="J1045" i="11"/>
  <c r="K1044" i="11"/>
  <c r="J1044" i="11"/>
  <c r="K1043" i="11"/>
  <c r="J1043" i="11"/>
  <c r="K1042" i="11"/>
  <c r="J1042" i="11"/>
  <c r="K1041" i="11"/>
  <c r="J1041" i="11"/>
  <c r="K1040" i="11"/>
  <c r="J1040" i="11"/>
  <c r="K1039" i="11"/>
  <c r="J1039" i="11"/>
  <c r="K1038" i="11"/>
  <c r="J1038" i="11"/>
  <c r="K1037" i="11"/>
  <c r="J1037" i="11"/>
  <c r="K1036" i="11"/>
  <c r="J1036" i="11"/>
  <c r="K1035" i="11"/>
  <c r="J1035" i="11"/>
  <c r="K1034" i="11"/>
  <c r="J1034" i="11"/>
  <c r="K1033" i="11"/>
  <c r="J1033" i="11"/>
  <c r="K1032" i="11"/>
  <c r="J1032" i="11"/>
  <c r="K1031" i="11"/>
  <c r="J1031" i="11"/>
  <c r="K1030" i="11"/>
  <c r="J1030" i="11"/>
  <c r="K1029" i="11"/>
  <c r="J1029" i="11"/>
  <c r="K1028" i="11"/>
  <c r="J1028" i="11"/>
  <c r="K1027" i="11"/>
  <c r="J1027" i="11"/>
  <c r="K1026" i="11"/>
  <c r="J1026" i="11"/>
  <c r="K1025" i="11"/>
  <c r="J1025" i="11"/>
  <c r="K1024" i="11"/>
  <c r="J1024" i="11"/>
  <c r="K1023" i="11"/>
  <c r="J1023" i="11"/>
  <c r="K1022" i="11"/>
  <c r="J1022" i="11"/>
  <c r="K1021" i="11"/>
  <c r="J1021" i="11"/>
  <c r="K1020" i="11"/>
  <c r="J1020" i="11"/>
  <c r="K1019" i="11"/>
  <c r="J1019" i="11"/>
  <c r="K1018" i="11"/>
  <c r="J1018" i="11"/>
  <c r="K1017" i="11"/>
  <c r="J1017" i="11"/>
  <c r="K1016" i="11"/>
  <c r="J1016" i="11"/>
  <c r="K1015" i="11"/>
  <c r="J1015" i="11"/>
  <c r="K1014" i="11"/>
  <c r="J1014" i="11"/>
  <c r="K1013" i="11"/>
  <c r="J1013" i="11"/>
  <c r="K1012" i="11"/>
  <c r="J1012" i="11"/>
  <c r="K1011" i="11"/>
  <c r="J1011" i="11"/>
  <c r="K1010" i="11"/>
  <c r="J1010" i="11"/>
  <c r="K1009" i="11"/>
  <c r="J1009" i="11"/>
  <c r="K1008" i="11"/>
  <c r="J1008" i="11"/>
  <c r="K1007" i="11"/>
  <c r="J1007" i="11"/>
  <c r="K1006" i="11"/>
  <c r="J1006" i="11"/>
  <c r="K1005" i="11"/>
  <c r="J1005" i="11"/>
  <c r="K1004" i="11"/>
  <c r="J1004" i="11"/>
  <c r="K1003" i="11"/>
  <c r="J1003" i="11"/>
  <c r="K1002" i="11"/>
  <c r="J1002" i="11"/>
  <c r="K1001" i="11"/>
  <c r="J1001" i="11"/>
  <c r="K1000" i="11"/>
  <c r="J1000" i="11"/>
  <c r="K999" i="11"/>
  <c r="J999" i="11"/>
  <c r="K998" i="11"/>
  <c r="J998" i="11"/>
  <c r="K997" i="11"/>
  <c r="J997" i="11"/>
  <c r="K996" i="11"/>
  <c r="J996" i="11"/>
  <c r="K995" i="11"/>
  <c r="J995" i="11"/>
  <c r="K994" i="11"/>
  <c r="J994" i="11"/>
  <c r="K993" i="11"/>
  <c r="J993" i="11"/>
  <c r="K992" i="11"/>
  <c r="J992" i="11"/>
  <c r="K991" i="11"/>
  <c r="J991" i="11"/>
  <c r="K990" i="11"/>
  <c r="J990" i="11"/>
  <c r="K989" i="11"/>
  <c r="J989" i="11"/>
  <c r="K988" i="11"/>
  <c r="J988" i="11"/>
  <c r="K987" i="11"/>
  <c r="J987" i="11"/>
  <c r="K986" i="11"/>
  <c r="J986" i="11"/>
  <c r="K985" i="11"/>
  <c r="J985" i="11"/>
  <c r="K984" i="11"/>
  <c r="J984" i="11"/>
  <c r="K983" i="11"/>
  <c r="J983" i="11"/>
  <c r="K982" i="11"/>
  <c r="J982" i="11"/>
  <c r="K981" i="11"/>
  <c r="J981" i="11"/>
  <c r="K980" i="11"/>
  <c r="J980" i="11"/>
  <c r="K979" i="11"/>
  <c r="J979" i="11"/>
  <c r="K978" i="11"/>
  <c r="J978" i="11"/>
  <c r="K977" i="11"/>
  <c r="J977" i="11"/>
  <c r="K976" i="11"/>
  <c r="J976" i="11"/>
  <c r="K975" i="11"/>
  <c r="J975" i="11"/>
  <c r="K974" i="11"/>
  <c r="J974" i="11"/>
  <c r="K973" i="11"/>
  <c r="J973" i="11"/>
  <c r="K972" i="11"/>
  <c r="J972" i="11"/>
  <c r="K971" i="11"/>
  <c r="J971" i="11"/>
  <c r="K970" i="11"/>
  <c r="J970" i="11"/>
  <c r="K969" i="11"/>
  <c r="J969" i="11"/>
  <c r="K968" i="11"/>
  <c r="J968" i="11"/>
  <c r="K967" i="11"/>
  <c r="J967" i="11"/>
  <c r="K966" i="11"/>
  <c r="J966" i="11"/>
  <c r="K965" i="11"/>
  <c r="J965" i="11"/>
  <c r="K964" i="11"/>
  <c r="J964" i="11"/>
  <c r="K963" i="11"/>
  <c r="J963" i="11"/>
  <c r="K962" i="11"/>
  <c r="J962" i="11"/>
  <c r="K961" i="11"/>
  <c r="J961" i="11"/>
  <c r="K960" i="11"/>
  <c r="J960" i="11"/>
  <c r="K959" i="11"/>
  <c r="J959" i="11"/>
  <c r="K958" i="11"/>
  <c r="J958" i="11"/>
  <c r="K957" i="11"/>
  <c r="J957" i="11"/>
  <c r="K956" i="11"/>
  <c r="J956" i="11"/>
  <c r="K955" i="11"/>
  <c r="J955" i="11"/>
  <c r="K954" i="11"/>
  <c r="J954" i="11"/>
  <c r="K953" i="11"/>
  <c r="J953" i="11"/>
  <c r="K952" i="11"/>
  <c r="J952" i="11"/>
  <c r="K951" i="11"/>
  <c r="J951" i="11"/>
  <c r="K950" i="11"/>
  <c r="J950" i="11"/>
  <c r="K949" i="11"/>
  <c r="J949" i="11"/>
  <c r="K948" i="11"/>
  <c r="J948" i="11"/>
  <c r="K947" i="11"/>
  <c r="J947" i="11"/>
  <c r="K946" i="11"/>
  <c r="J946" i="11"/>
  <c r="K945" i="11"/>
  <c r="J945" i="11"/>
  <c r="K944" i="11"/>
  <c r="J944" i="11"/>
  <c r="K943" i="11"/>
  <c r="J943" i="11"/>
  <c r="K942" i="11"/>
  <c r="J942" i="11"/>
  <c r="K941" i="11"/>
  <c r="J941" i="11"/>
  <c r="K940" i="11"/>
  <c r="J940" i="11"/>
  <c r="K939" i="11"/>
  <c r="J939" i="11"/>
  <c r="K938" i="11"/>
  <c r="J938" i="11"/>
  <c r="K937" i="11"/>
  <c r="J937" i="11"/>
  <c r="K936" i="11"/>
  <c r="J936" i="11"/>
  <c r="K935" i="11"/>
  <c r="J935" i="11"/>
  <c r="K934" i="11"/>
  <c r="J934" i="11"/>
  <c r="K933" i="11"/>
  <c r="J933" i="11"/>
  <c r="K932" i="11"/>
  <c r="J932" i="11"/>
  <c r="K931" i="11"/>
  <c r="J931" i="11"/>
  <c r="K930" i="11"/>
  <c r="J930" i="11"/>
  <c r="K929" i="11"/>
  <c r="J929" i="11"/>
  <c r="K928" i="11"/>
  <c r="J928" i="11"/>
  <c r="K927" i="11"/>
  <c r="J927" i="11"/>
  <c r="K926" i="11"/>
  <c r="J926" i="11"/>
  <c r="K925" i="11"/>
  <c r="J925" i="11"/>
  <c r="K924" i="11"/>
  <c r="J924" i="11"/>
  <c r="K923" i="11"/>
  <c r="J923" i="11"/>
  <c r="K922" i="11"/>
  <c r="J922" i="11"/>
  <c r="K921" i="11"/>
  <c r="J921" i="11"/>
  <c r="K920" i="11"/>
  <c r="J920" i="11"/>
  <c r="K919" i="11"/>
  <c r="J919" i="11"/>
  <c r="K918" i="11"/>
  <c r="J918" i="11"/>
  <c r="K917" i="11"/>
  <c r="J917" i="11"/>
  <c r="K916" i="11"/>
  <c r="J916" i="11"/>
  <c r="K915" i="11"/>
  <c r="J915" i="11"/>
  <c r="K914" i="11"/>
  <c r="J914" i="11"/>
  <c r="K913" i="11"/>
  <c r="J913" i="11"/>
  <c r="K912" i="11"/>
  <c r="J912" i="11"/>
  <c r="K911" i="11"/>
  <c r="J911" i="11"/>
  <c r="K910" i="11"/>
  <c r="J910" i="11"/>
  <c r="K909" i="11"/>
  <c r="J909" i="11"/>
  <c r="K908" i="11"/>
  <c r="J908" i="11"/>
  <c r="K907" i="11"/>
  <c r="J907" i="11"/>
  <c r="K906" i="11"/>
  <c r="J906" i="11"/>
  <c r="K905" i="11"/>
  <c r="J905" i="11"/>
  <c r="K904" i="11"/>
  <c r="J904" i="11"/>
  <c r="K903" i="11"/>
  <c r="J903" i="11"/>
  <c r="K902" i="11"/>
  <c r="J902" i="11"/>
  <c r="K901" i="11"/>
  <c r="J901" i="11"/>
  <c r="K900" i="11"/>
  <c r="J900" i="11"/>
  <c r="K899" i="11"/>
  <c r="J899" i="11"/>
  <c r="K898" i="11"/>
  <c r="J898" i="11"/>
  <c r="K897" i="11"/>
  <c r="J897" i="11"/>
  <c r="K896" i="11"/>
  <c r="J896" i="11"/>
  <c r="K895" i="11"/>
  <c r="J895" i="11"/>
  <c r="K894" i="11"/>
  <c r="J894" i="11"/>
  <c r="K893" i="11"/>
  <c r="J893" i="11"/>
  <c r="K892" i="11"/>
  <c r="J892" i="11"/>
  <c r="K891" i="11"/>
  <c r="J891" i="11"/>
  <c r="K890" i="11"/>
  <c r="J890" i="11"/>
  <c r="K889" i="11"/>
  <c r="J889" i="11"/>
  <c r="K888" i="11"/>
  <c r="J888" i="11"/>
  <c r="K887" i="11"/>
  <c r="J887" i="11"/>
  <c r="K886" i="11"/>
  <c r="J886" i="11"/>
  <c r="K885" i="11"/>
  <c r="J885" i="11"/>
  <c r="K884" i="11"/>
  <c r="J884" i="11"/>
  <c r="K883" i="11"/>
  <c r="J883" i="11"/>
  <c r="K882" i="11"/>
  <c r="J882" i="11"/>
  <c r="K881" i="11"/>
  <c r="J881" i="11"/>
  <c r="K880" i="11"/>
  <c r="J880" i="11"/>
  <c r="K879" i="11"/>
  <c r="J879" i="11"/>
  <c r="K878" i="11"/>
  <c r="J878" i="11"/>
  <c r="K877" i="11"/>
  <c r="J877" i="11"/>
  <c r="K876" i="11"/>
  <c r="J876" i="11"/>
  <c r="K875" i="11"/>
  <c r="J875" i="11"/>
  <c r="K874" i="11"/>
  <c r="J874" i="11"/>
  <c r="K873" i="11"/>
  <c r="J873" i="11"/>
  <c r="K872" i="11"/>
  <c r="J872" i="11"/>
  <c r="K871" i="11"/>
  <c r="J871" i="11"/>
  <c r="K870" i="11"/>
  <c r="J870" i="11"/>
  <c r="K869" i="11"/>
  <c r="J869" i="11"/>
  <c r="K868" i="11"/>
  <c r="J868" i="11"/>
  <c r="K867" i="11"/>
  <c r="J867" i="11"/>
  <c r="K866" i="11"/>
  <c r="J866" i="11"/>
  <c r="K865" i="11"/>
  <c r="J865" i="11"/>
  <c r="K864" i="11"/>
  <c r="J864" i="11"/>
  <c r="K863" i="11"/>
  <c r="J863" i="11"/>
  <c r="K862" i="11"/>
  <c r="J862" i="11"/>
  <c r="K861" i="11"/>
  <c r="J861" i="11"/>
  <c r="K860" i="11"/>
  <c r="J860" i="11"/>
  <c r="K859" i="11"/>
  <c r="J859" i="11"/>
  <c r="K858" i="11"/>
  <c r="J858" i="11"/>
  <c r="K857" i="11"/>
  <c r="J857" i="11"/>
  <c r="K856" i="11"/>
  <c r="J856" i="11"/>
  <c r="K855" i="11"/>
  <c r="J855" i="11"/>
  <c r="K854" i="11"/>
  <c r="J854" i="11"/>
  <c r="K853" i="11"/>
  <c r="J853" i="11"/>
  <c r="K852" i="11"/>
  <c r="J852" i="11"/>
  <c r="K851" i="11"/>
  <c r="J851" i="11"/>
  <c r="K850" i="11"/>
  <c r="J850" i="11"/>
  <c r="K849" i="11"/>
  <c r="J849" i="11"/>
  <c r="K848" i="11"/>
  <c r="J848" i="11"/>
  <c r="K847" i="11"/>
  <c r="J847" i="11"/>
  <c r="K846" i="11"/>
  <c r="J846" i="11"/>
  <c r="K845" i="11"/>
  <c r="J845" i="11"/>
  <c r="K844" i="11"/>
  <c r="J844" i="11"/>
  <c r="K843" i="11"/>
  <c r="J843" i="11"/>
  <c r="K842" i="11"/>
  <c r="J842" i="11"/>
  <c r="K841" i="11"/>
  <c r="J841" i="11"/>
  <c r="K840" i="11"/>
  <c r="J840" i="11"/>
  <c r="K839" i="11"/>
  <c r="J839" i="11"/>
  <c r="K838" i="11"/>
  <c r="J838" i="11"/>
  <c r="K837" i="11"/>
  <c r="J837" i="11"/>
  <c r="K836" i="11"/>
  <c r="J836" i="11"/>
  <c r="K835" i="11"/>
  <c r="J835" i="11"/>
  <c r="K834" i="11"/>
  <c r="J834" i="11"/>
  <c r="K833" i="11"/>
  <c r="J833" i="11"/>
  <c r="K832" i="11"/>
  <c r="J832" i="11"/>
  <c r="K831" i="11"/>
  <c r="J831" i="11"/>
  <c r="K830" i="11"/>
  <c r="J830" i="11"/>
  <c r="K829" i="11"/>
  <c r="J829" i="11"/>
  <c r="K828" i="11"/>
  <c r="J828" i="11"/>
  <c r="K827" i="11"/>
  <c r="J827" i="11"/>
  <c r="K826" i="11"/>
  <c r="J826" i="11"/>
  <c r="K825" i="11"/>
  <c r="J825" i="11"/>
  <c r="K824" i="11"/>
  <c r="J824" i="11"/>
  <c r="K823" i="11"/>
  <c r="J823" i="11"/>
  <c r="K822" i="11"/>
  <c r="J822" i="11"/>
  <c r="K821" i="11"/>
  <c r="J821" i="11"/>
  <c r="K820" i="11"/>
  <c r="J820" i="11"/>
  <c r="K819" i="11"/>
  <c r="J819" i="11"/>
  <c r="K818" i="11"/>
  <c r="J818" i="11"/>
  <c r="K817" i="11"/>
  <c r="J817" i="11"/>
  <c r="K816" i="11"/>
  <c r="J816" i="11"/>
  <c r="K815" i="11"/>
  <c r="J815" i="11"/>
  <c r="K814" i="11"/>
  <c r="J814" i="11"/>
  <c r="K813" i="11"/>
  <c r="J813" i="11"/>
  <c r="K812" i="11"/>
  <c r="J812" i="11"/>
  <c r="K811" i="11"/>
  <c r="J811" i="11"/>
  <c r="K810" i="11"/>
  <c r="J810" i="11"/>
  <c r="K809" i="11"/>
  <c r="J809" i="11"/>
  <c r="K808" i="11"/>
  <c r="J808" i="11"/>
  <c r="K807" i="11"/>
  <c r="J807" i="11"/>
  <c r="K806" i="11"/>
  <c r="J806" i="11"/>
  <c r="K805" i="11"/>
  <c r="J805" i="11"/>
  <c r="K804" i="11"/>
  <c r="J804" i="11"/>
  <c r="K803" i="11"/>
  <c r="J803" i="11"/>
  <c r="K802" i="11"/>
  <c r="J802" i="11"/>
  <c r="K801" i="11"/>
  <c r="J801" i="11"/>
  <c r="K800" i="11"/>
  <c r="J800" i="11"/>
  <c r="K799" i="11"/>
  <c r="J799" i="11"/>
  <c r="K798" i="11"/>
  <c r="J798" i="11"/>
  <c r="K797" i="11"/>
  <c r="J797" i="11"/>
  <c r="K796" i="11"/>
  <c r="J796" i="11"/>
  <c r="K795" i="11"/>
  <c r="J795" i="11"/>
  <c r="K794" i="11"/>
  <c r="J794" i="11"/>
  <c r="K793" i="11"/>
  <c r="J793" i="11"/>
  <c r="K792" i="11"/>
  <c r="J792" i="11"/>
  <c r="K791" i="11"/>
  <c r="J791" i="11"/>
  <c r="K790" i="11"/>
  <c r="J790" i="11"/>
  <c r="K789" i="11"/>
  <c r="J789" i="11"/>
  <c r="K788" i="11"/>
  <c r="J788" i="11"/>
  <c r="K787" i="11"/>
  <c r="J787" i="11"/>
  <c r="K786" i="11"/>
  <c r="J786" i="11"/>
  <c r="K785" i="11"/>
  <c r="J785" i="11"/>
  <c r="K784" i="11"/>
  <c r="J784" i="11"/>
  <c r="K783" i="11"/>
  <c r="J783" i="11"/>
  <c r="K782" i="11"/>
  <c r="J782" i="11"/>
  <c r="K781" i="11"/>
  <c r="J781" i="11"/>
  <c r="K780" i="11"/>
  <c r="J780" i="11"/>
  <c r="K779" i="11"/>
  <c r="J779" i="11"/>
  <c r="K778" i="11"/>
  <c r="J778" i="11"/>
  <c r="K777" i="11"/>
  <c r="J777" i="11"/>
  <c r="K776" i="11"/>
  <c r="J776" i="11"/>
  <c r="K775" i="11"/>
  <c r="J775" i="11"/>
  <c r="K774" i="11"/>
  <c r="J774" i="11"/>
  <c r="K773" i="11"/>
  <c r="J773" i="11"/>
  <c r="K772" i="11"/>
  <c r="J772" i="11"/>
  <c r="K771" i="11"/>
  <c r="J771" i="11"/>
  <c r="K770" i="11"/>
  <c r="J770" i="11"/>
  <c r="K769" i="11"/>
  <c r="J769" i="11"/>
  <c r="K768" i="11"/>
  <c r="J768" i="11"/>
  <c r="K767" i="11"/>
  <c r="J767" i="11"/>
  <c r="K766" i="11"/>
  <c r="J766" i="11"/>
  <c r="K765" i="11"/>
  <c r="J765" i="11"/>
  <c r="K764" i="11"/>
  <c r="J764" i="11"/>
  <c r="K763" i="11"/>
  <c r="J763" i="11"/>
  <c r="K762" i="11"/>
  <c r="J762" i="11"/>
  <c r="K761" i="11"/>
  <c r="J761" i="11"/>
  <c r="K760" i="11"/>
  <c r="J760" i="11"/>
  <c r="K759" i="11"/>
  <c r="J759" i="11"/>
  <c r="K758" i="11"/>
  <c r="J758" i="11"/>
  <c r="K757" i="11"/>
  <c r="J757" i="11"/>
  <c r="K756" i="11"/>
  <c r="J756" i="11"/>
  <c r="K755" i="11"/>
  <c r="J755" i="11"/>
  <c r="K754" i="11"/>
  <c r="J754" i="11"/>
  <c r="K753" i="11"/>
  <c r="J753" i="11"/>
  <c r="K752" i="11"/>
  <c r="J752" i="11"/>
  <c r="K751" i="11"/>
  <c r="J751" i="11"/>
  <c r="K750" i="11"/>
  <c r="J750" i="11"/>
  <c r="K749" i="11"/>
  <c r="J749" i="11"/>
  <c r="K748" i="11"/>
  <c r="J748" i="11"/>
  <c r="K747" i="11"/>
  <c r="J747" i="11"/>
  <c r="K746" i="11"/>
  <c r="J746" i="11"/>
  <c r="K745" i="11"/>
  <c r="J745" i="11"/>
  <c r="K744" i="11"/>
  <c r="J744" i="11"/>
  <c r="K743" i="11"/>
  <c r="J743" i="11"/>
  <c r="K742" i="11"/>
  <c r="J742" i="11"/>
  <c r="K741" i="11"/>
  <c r="J741" i="11"/>
  <c r="K740" i="11"/>
  <c r="J740" i="11"/>
  <c r="K739" i="11"/>
  <c r="J739" i="11"/>
  <c r="K738" i="11"/>
  <c r="J738" i="11"/>
  <c r="K737" i="11"/>
  <c r="J737" i="11"/>
  <c r="K736" i="11"/>
  <c r="J736" i="11"/>
  <c r="K735" i="11"/>
  <c r="J735" i="11"/>
  <c r="K734" i="11"/>
  <c r="J734" i="11"/>
  <c r="K733" i="11"/>
  <c r="J733" i="11"/>
  <c r="K732" i="11"/>
  <c r="J732" i="11"/>
  <c r="K731" i="11"/>
  <c r="J731" i="11"/>
  <c r="K730" i="11"/>
  <c r="J730" i="11"/>
  <c r="K729" i="11"/>
  <c r="J729" i="11"/>
  <c r="K728" i="11"/>
  <c r="J728" i="11"/>
  <c r="K727" i="11"/>
  <c r="J727" i="11"/>
  <c r="K726" i="11"/>
  <c r="J726" i="11"/>
  <c r="K725" i="11"/>
  <c r="J725" i="11"/>
  <c r="K724" i="11"/>
  <c r="J724" i="11"/>
  <c r="K723" i="11"/>
  <c r="J723" i="11"/>
  <c r="K722" i="11"/>
  <c r="J722" i="11"/>
  <c r="K721" i="11"/>
  <c r="J721" i="11"/>
  <c r="K720" i="11"/>
  <c r="J720" i="11"/>
  <c r="K719" i="11"/>
  <c r="J719" i="11"/>
  <c r="K718" i="11"/>
  <c r="J718" i="11"/>
  <c r="K717" i="11"/>
  <c r="J717" i="11"/>
  <c r="K716" i="11"/>
  <c r="J716" i="11"/>
  <c r="K715" i="11"/>
  <c r="J715" i="11"/>
  <c r="K714" i="11"/>
  <c r="J714" i="11"/>
  <c r="K713" i="11"/>
  <c r="J713" i="11"/>
  <c r="K712" i="11"/>
  <c r="J712" i="11"/>
  <c r="K711" i="11"/>
  <c r="J711" i="11"/>
  <c r="K710" i="11"/>
  <c r="J710" i="11"/>
  <c r="K709" i="11"/>
  <c r="J709" i="11"/>
  <c r="K708" i="11"/>
  <c r="J708" i="11"/>
  <c r="K707" i="11"/>
  <c r="J707" i="11"/>
  <c r="K706" i="11"/>
  <c r="J706" i="11"/>
  <c r="K705" i="11"/>
  <c r="J705" i="11"/>
  <c r="K704" i="11"/>
  <c r="J704" i="11"/>
  <c r="K703" i="11"/>
  <c r="J703" i="11"/>
  <c r="K702" i="11"/>
  <c r="J702" i="11"/>
  <c r="K701" i="11"/>
  <c r="J701" i="11"/>
  <c r="K700" i="11"/>
  <c r="J700" i="11"/>
  <c r="K699" i="11"/>
  <c r="J699" i="11"/>
  <c r="K698" i="11"/>
  <c r="J698" i="11"/>
  <c r="K697" i="11"/>
  <c r="J697" i="11"/>
  <c r="K696" i="11"/>
  <c r="J696" i="11"/>
  <c r="K695" i="11"/>
  <c r="J695" i="11"/>
  <c r="K694" i="11"/>
  <c r="J694" i="11"/>
  <c r="K693" i="11"/>
  <c r="J693" i="11"/>
  <c r="K692" i="11"/>
  <c r="J692" i="11"/>
  <c r="K691" i="11"/>
  <c r="J691" i="11"/>
  <c r="K690" i="11"/>
  <c r="J690" i="11"/>
  <c r="K689" i="11"/>
  <c r="J689" i="11"/>
  <c r="K688" i="11"/>
  <c r="J688" i="11"/>
  <c r="K687" i="11"/>
  <c r="J687" i="11"/>
  <c r="K686" i="11"/>
  <c r="J686" i="11"/>
  <c r="J685" i="11"/>
  <c r="J684" i="11"/>
  <c r="J683" i="11"/>
  <c r="J682" i="11"/>
  <c r="J681" i="11"/>
  <c r="J680" i="11"/>
  <c r="J679" i="11"/>
  <c r="J678" i="11"/>
  <c r="J677" i="11"/>
  <c r="J676" i="11"/>
  <c r="J675" i="11"/>
  <c r="J674" i="11"/>
  <c r="J673" i="11"/>
  <c r="J672" i="11"/>
  <c r="J671" i="11"/>
  <c r="J670" i="11"/>
  <c r="J669" i="11"/>
  <c r="J668" i="11"/>
  <c r="J667" i="11"/>
  <c r="J666" i="11"/>
  <c r="J665" i="11"/>
  <c r="J664" i="11"/>
  <c r="J663" i="11"/>
  <c r="J662" i="11"/>
  <c r="J661" i="11"/>
  <c r="J660" i="11"/>
  <c r="J659" i="11"/>
  <c r="J658" i="11"/>
  <c r="J657" i="11"/>
  <c r="J656" i="11"/>
  <c r="J655" i="11"/>
  <c r="J654" i="11"/>
  <c r="J653" i="11"/>
  <c r="J652" i="11"/>
  <c r="J651" i="11"/>
  <c r="J650" i="11"/>
  <c r="J649" i="11"/>
  <c r="J648" i="11"/>
  <c r="J647" i="11"/>
  <c r="J646" i="11"/>
  <c r="J645" i="11"/>
  <c r="J644" i="11"/>
  <c r="J643" i="11"/>
  <c r="J642" i="11"/>
  <c r="J641" i="11"/>
  <c r="J640" i="11"/>
  <c r="J639" i="11"/>
  <c r="J638" i="11"/>
  <c r="J637" i="11"/>
  <c r="J636" i="11"/>
  <c r="J635" i="11"/>
  <c r="J634" i="11"/>
  <c r="J633" i="11"/>
  <c r="J632" i="11"/>
  <c r="J631" i="11"/>
  <c r="J630" i="11"/>
  <c r="J629" i="11"/>
  <c r="J628" i="11"/>
  <c r="J627" i="11"/>
  <c r="J626" i="11"/>
  <c r="J625" i="11"/>
  <c r="J624" i="11"/>
  <c r="J623" i="11"/>
  <c r="J622" i="11"/>
  <c r="J621" i="11"/>
  <c r="J620" i="11"/>
  <c r="J619" i="11"/>
  <c r="J618" i="11"/>
  <c r="J617" i="11"/>
  <c r="J616" i="11"/>
  <c r="J615" i="11"/>
  <c r="J614" i="11"/>
  <c r="J613" i="11"/>
  <c r="J612" i="11"/>
  <c r="J611" i="11"/>
  <c r="J610" i="11"/>
  <c r="J609" i="11"/>
  <c r="J608" i="11"/>
  <c r="J607" i="11"/>
  <c r="J606" i="11"/>
  <c r="J605" i="11"/>
  <c r="J604" i="11"/>
  <c r="K603" i="11"/>
  <c r="J603" i="11"/>
  <c r="K602" i="11"/>
  <c r="J602" i="11"/>
  <c r="J601" i="11"/>
  <c r="J600" i="11"/>
  <c r="J599" i="11"/>
  <c r="J598" i="11"/>
  <c r="J597" i="11"/>
  <c r="J596" i="11"/>
  <c r="J595" i="11"/>
  <c r="J594" i="11"/>
  <c r="J593" i="11"/>
  <c r="J592" i="11"/>
  <c r="J591" i="11"/>
  <c r="J590" i="11"/>
  <c r="J589" i="11"/>
  <c r="J588" i="11"/>
  <c r="J587" i="11"/>
  <c r="J586" i="11"/>
  <c r="J585" i="11"/>
  <c r="J584" i="11"/>
  <c r="J583" i="11"/>
  <c r="J582" i="11"/>
  <c r="J581" i="11"/>
  <c r="J580" i="11"/>
  <c r="J579" i="11"/>
  <c r="J578" i="11"/>
  <c r="J577" i="11"/>
  <c r="J576" i="11"/>
  <c r="J575" i="11"/>
  <c r="J574" i="11"/>
  <c r="J573" i="11"/>
  <c r="J572" i="11"/>
  <c r="J571" i="11"/>
  <c r="J570" i="11"/>
  <c r="J569" i="11"/>
  <c r="J568" i="11"/>
  <c r="J567" i="11"/>
  <c r="J566" i="11"/>
  <c r="J565" i="11"/>
  <c r="J564" i="11"/>
  <c r="J563" i="11"/>
  <c r="J562" i="11"/>
  <c r="J561" i="11"/>
  <c r="J560" i="11"/>
  <c r="J559" i="11"/>
  <c r="J558" i="11"/>
  <c r="J557" i="11"/>
  <c r="J556" i="11"/>
  <c r="J555" i="11"/>
  <c r="J554" i="11"/>
  <c r="J553" i="11"/>
  <c r="J552" i="11"/>
  <c r="J551" i="11"/>
  <c r="J550" i="11"/>
  <c r="J549" i="11"/>
  <c r="J548" i="11"/>
  <c r="J547" i="11"/>
  <c r="J546" i="11"/>
  <c r="J545" i="11"/>
  <c r="J544" i="11"/>
  <c r="J543" i="11"/>
  <c r="J542" i="11"/>
  <c r="J541" i="11"/>
  <c r="J540" i="11"/>
  <c r="J539" i="11"/>
  <c r="J538" i="11"/>
  <c r="J537" i="11"/>
  <c r="J536" i="11"/>
  <c r="J535" i="11"/>
  <c r="J534" i="11"/>
  <c r="J533" i="11"/>
  <c r="J532" i="11"/>
  <c r="J531" i="11"/>
  <c r="J530" i="11"/>
  <c r="J529" i="11"/>
  <c r="J528" i="11"/>
  <c r="J527" i="11"/>
  <c r="K526" i="11"/>
  <c r="J526" i="11"/>
  <c r="K525" i="11"/>
  <c r="J525" i="11"/>
  <c r="K524" i="11"/>
  <c r="J524" i="11"/>
  <c r="K523" i="11"/>
  <c r="J523" i="11"/>
  <c r="K522" i="11"/>
  <c r="J522" i="11"/>
  <c r="K521" i="11"/>
  <c r="J521" i="11"/>
  <c r="K520" i="11"/>
  <c r="J520" i="11"/>
  <c r="K519" i="11"/>
  <c r="J519" i="11"/>
  <c r="K518" i="11"/>
  <c r="J518" i="11"/>
  <c r="J517" i="11"/>
  <c r="J516" i="11"/>
  <c r="K515" i="11"/>
  <c r="J515" i="11"/>
  <c r="K514" i="11"/>
  <c r="J514" i="11"/>
  <c r="K513" i="11"/>
  <c r="J513" i="11"/>
  <c r="K512" i="11"/>
  <c r="J512" i="11"/>
  <c r="K511" i="11"/>
  <c r="J511" i="11"/>
  <c r="K510" i="11"/>
  <c r="J510" i="11"/>
  <c r="K509" i="11"/>
  <c r="J509" i="11"/>
  <c r="J508" i="11"/>
  <c r="K507" i="11"/>
  <c r="J507" i="11"/>
  <c r="K506" i="11"/>
  <c r="J506" i="11"/>
  <c r="K505" i="11"/>
  <c r="J505" i="11"/>
  <c r="K504" i="11"/>
  <c r="J504" i="11"/>
  <c r="K503" i="11"/>
  <c r="J503" i="11"/>
  <c r="K502" i="11"/>
  <c r="J502" i="11"/>
  <c r="K501" i="11"/>
  <c r="J501" i="11"/>
  <c r="K500" i="11"/>
  <c r="J500" i="11"/>
  <c r="K499" i="11"/>
  <c r="J499" i="11"/>
  <c r="J498" i="11"/>
  <c r="K497" i="11"/>
  <c r="J497" i="11"/>
  <c r="K496" i="11"/>
  <c r="J496" i="11"/>
  <c r="K495" i="11"/>
  <c r="J495" i="11"/>
  <c r="K494" i="11"/>
  <c r="J494" i="11"/>
  <c r="K493" i="11"/>
  <c r="J493" i="11"/>
  <c r="K492" i="11"/>
  <c r="J492" i="11"/>
  <c r="K491" i="11"/>
  <c r="J491" i="11"/>
  <c r="K490" i="11"/>
  <c r="J490" i="11"/>
  <c r="J489" i="11"/>
  <c r="K488" i="11"/>
  <c r="J488" i="11"/>
  <c r="K487" i="11"/>
  <c r="J487" i="11"/>
  <c r="K486" i="11"/>
  <c r="J486" i="11"/>
  <c r="K485" i="11"/>
  <c r="J485" i="11"/>
  <c r="K484" i="11"/>
  <c r="J484" i="11"/>
  <c r="K483" i="11"/>
  <c r="J483" i="11"/>
  <c r="K482" i="11"/>
  <c r="J482" i="11"/>
  <c r="J481" i="11"/>
  <c r="K480" i="11"/>
  <c r="J480" i="11"/>
  <c r="K479" i="11"/>
  <c r="J479" i="11"/>
  <c r="K478" i="11"/>
  <c r="J478" i="11"/>
  <c r="K477" i="11"/>
  <c r="J477" i="11"/>
  <c r="K476" i="11"/>
  <c r="J476" i="11"/>
  <c r="K475" i="11"/>
  <c r="J475" i="11"/>
  <c r="K474" i="11"/>
  <c r="J474" i="11"/>
  <c r="K473" i="11"/>
  <c r="J473" i="11"/>
  <c r="J472" i="11"/>
  <c r="K471" i="11"/>
  <c r="J471" i="11"/>
  <c r="K470" i="11"/>
  <c r="J470" i="11"/>
  <c r="K469" i="11"/>
  <c r="J469" i="11"/>
  <c r="K468" i="11"/>
  <c r="J468" i="11"/>
  <c r="K467" i="11"/>
  <c r="J467" i="11"/>
  <c r="K466" i="11"/>
  <c r="J466" i="11"/>
  <c r="K465" i="11"/>
  <c r="J465" i="11"/>
  <c r="J464" i="11"/>
  <c r="K463" i="11"/>
  <c r="J463" i="11"/>
  <c r="K462" i="11"/>
  <c r="J462" i="11"/>
  <c r="K461" i="11"/>
  <c r="J461" i="11"/>
  <c r="K460" i="11"/>
  <c r="J460" i="11"/>
  <c r="K459" i="11"/>
  <c r="J459" i="11"/>
  <c r="K458" i="11"/>
  <c r="J458" i="11"/>
  <c r="K457" i="11"/>
  <c r="J457" i="11"/>
  <c r="K456" i="11"/>
  <c r="J456" i="11"/>
  <c r="J455" i="11"/>
  <c r="K454" i="11"/>
  <c r="J454" i="11"/>
  <c r="K453" i="11"/>
  <c r="J453" i="11"/>
  <c r="K452" i="11"/>
  <c r="J452" i="11"/>
  <c r="K451" i="11"/>
  <c r="J451" i="11"/>
  <c r="K450" i="11"/>
  <c r="J450" i="11"/>
  <c r="K449" i="11"/>
  <c r="J449" i="11"/>
  <c r="K448" i="11"/>
  <c r="J448" i="11"/>
  <c r="K447" i="11"/>
  <c r="J447" i="11"/>
  <c r="J446" i="11"/>
  <c r="K445" i="11"/>
  <c r="J445" i="11"/>
  <c r="K444" i="11"/>
  <c r="J444" i="11"/>
  <c r="K443" i="11"/>
  <c r="J443" i="11"/>
  <c r="K442" i="11"/>
  <c r="J442" i="11"/>
  <c r="J441" i="11"/>
  <c r="J440" i="11"/>
  <c r="K439" i="11"/>
  <c r="J439" i="11"/>
  <c r="K438" i="11"/>
  <c r="J438" i="11"/>
  <c r="K437" i="11"/>
  <c r="J437" i="11"/>
  <c r="K436" i="11"/>
  <c r="J436" i="11"/>
  <c r="K435" i="11"/>
  <c r="J435" i="11"/>
  <c r="K434" i="11"/>
  <c r="J434" i="11"/>
  <c r="K433" i="11"/>
  <c r="J433" i="11"/>
  <c r="K432" i="11"/>
  <c r="J432" i="11"/>
  <c r="K431" i="11"/>
  <c r="J431" i="11"/>
  <c r="K430" i="11"/>
  <c r="J430" i="11"/>
  <c r="K429" i="11"/>
  <c r="J429" i="11"/>
  <c r="K428" i="11"/>
  <c r="J428" i="11"/>
  <c r="K427" i="11"/>
  <c r="J427" i="11"/>
  <c r="K426" i="11"/>
  <c r="J426" i="11"/>
  <c r="K425" i="11"/>
  <c r="J425" i="11"/>
  <c r="K424" i="11"/>
  <c r="J424" i="11"/>
  <c r="K423" i="11"/>
  <c r="J423" i="11"/>
  <c r="K422" i="11"/>
  <c r="J422" i="11"/>
  <c r="K421" i="11"/>
  <c r="J421" i="11"/>
  <c r="K420" i="11"/>
  <c r="J420" i="11"/>
  <c r="K419" i="11"/>
  <c r="J419" i="11"/>
  <c r="K418" i="11"/>
  <c r="J418" i="11"/>
  <c r="K417" i="11"/>
  <c r="J417" i="11"/>
  <c r="K416" i="11"/>
  <c r="J416" i="11"/>
  <c r="K415" i="11"/>
  <c r="J415" i="11"/>
  <c r="K414" i="11"/>
  <c r="J414" i="11"/>
  <c r="K413" i="11"/>
  <c r="J413" i="11"/>
  <c r="K412" i="11"/>
  <c r="J412" i="11"/>
  <c r="K411" i="11"/>
  <c r="J411" i="11"/>
  <c r="K410" i="11"/>
  <c r="J410" i="11"/>
  <c r="K409" i="11"/>
  <c r="J409" i="11"/>
  <c r="K408" i="11"/>
  <c r="J408" i="11"/>
  <c r="K407" i="11"/>
  <c r="J407" i="11"/>
  <c r="K406" i="11"/>
  <c r="J406" i="11"/>
  <c r="K405" i="11"/>
  <c r="J405" i="11"/>
  <c r="K404" i="11"/>
  <c r="J404" i="11"/>
  <c r="K403" i="11"/>
  <c r="J403" i="11"/>
  <c r="K402" i="11"/>
  <c r="J402" i="11"/>
  <c r="K401" i="11"/>
  <c r="J401" i="11"/>
  <c r="K400" i="11"/>
  <c r="J400" i="11"/>
  <c r="K399" i="11"/>
  <c r="J399" i="11"/>
  <c r="K398" i="11"/>
  <c r="J398" i="11"/>
  <c r="K397" i="11"/>
  <c r="J397" i="11"/>
  <c r="K396" i="11"/>
  <c r="J396" i="11"/>
  <c r="K395" i="11"/>
  <c r="J395" i="11"/>
  <c r="K394" i="11"/>
  <c r="J394" i="11"/>
  <c r="K393" i="11"/>
  <c r="J393" i="11"/>
  <c r="K392" i="11"/>
  <c r="J392" i="11"/>
  <c r="K391" i="11"/>
  <c r="J391" i="11"/>
  <c r="K390" i="11"/>
  <c r="J390" i="11"/>
  <c r="K389" i="11"/>
  <c r="J389" i="11"/>
  <c r="K388" i="11"/>
  <c r="J388" i="11"/>
  <c r="K387" i="11"/>
  <c r="J387" i="11"/>
  <c r="K386" i="11"/>
  <c r="J386" i="11"/>
  <c r="K385" i="11"/>
  <c r="J385" i="11"/>
  <c r="K384" i="11"/>
  <c r="J384" i="11"/>
  <c r="K383" i="11"/>
  <c r="J383" i="11"/>
  <c r="K382" i="11"/>
  <c r="J382" i="11"/>
  <c r="K381" i="11"/>
  <c r="J381" i="11"/>
  <c r="K380" i="11"/>
  <c r="J380" i="11"/>
  <c r="K379" i="11"/>
  <c r="J379" i="11"/>
  <c r="K378" i="11"/>
  <c r="J378" i="11"/>
  <c r="K377" i="11"/>
  <c r="J377" i="11"/>
  <c r="K376" i="11"/>
  <c r="J376" i="11"/>
  <c r="K375" i="11"/>
  <c r="J375" i="11"/>
  <c r="K374" i="11"/>
  <c r="J374" i="11"/>
  <c r="K373" i="11"/>
  <c r="J373" i="11"/>
  <c r="K372" i="11"/>
  <c r="J372" i="11"/>
  <c r="K371" i="11"/>
  <c r="J371" i="11"/>
  <c r="K370" i="11"/>
  <c r="J370" i="11"/>
  <c r="K369" i="11"/>
  <c r="J369" i="11"/>
  <c r="K368" i="11"/>
  <c r="J368" i="11"/>
  <c r="K367" i="11"/>
  <c r="J367" i="11"/>
  <c r="K366" i="11"/>
  <c r="J366" i="11"/>
  <c r="K365" i="11"/>
  <c r="J365" i="11"/>
  <c r="K364" i="11"/>
  <c r="J364" i="11"/>
  <c r="K363" i="11"/>
  <c r="J363" i="11"/>
  <c r="K362" i="11"/>
  <c r="J362" i="11"/>
  <c r="K361" i="11"/>
  <c r="J361" i="11"/>
  <c r="K360" i="11"/>
  <c r="J360" i="11"/>
  <c r="K359" i="11"/>
  <c r="J359" i="11"/>
  <c r="K358" i="11"/>
  <c r="J358" i="11"/>
  <c r="K357" i="11"/>
  <c r="J357" i="11"/>
  <c r="K356" i="11"/>
  <c r="J356" i="11"/>
  <c r="K355" i="11"/>
  <c r="J355" i="11"/>
  <c r="K354" i="11"/>
  <c r="J354" i="11"/>
  <c r="K353" i="11"/>
  <c r="J353" i="11"/>
  <c r="K352" i="11"/>
  <c r="J352" i="11"/>
  <c r="K351" i="11"/>
  <c r="J351" i="11"/>
  <c r="K350" i="11"/>
  <c r="J350" i="11"/>
  <c r="K349" i="11"/>
  <c r="J349" i="11"/>
  <c r="K348" i="11"/>
  <c r="J348" i="11"/>
  <c r="K347" i="11"/>
  <c r="J347" i="11"/>
  <c r="K346" i="11"/>
  <c r="J346" i="11"/>
  <c r="K345" i="11"/>
  <c r="J345" i="11"/>
  <c r="K344" i="11"/>
  <c r="J344" i="11"/>
  <c r="K343" i="11"/>
  <c r="J343" i="11"/>
  <c r="K342" i="11"/>
  <c r="J342" i="11"/>
  <c r="K341" i="11"/>
  <c r="J341" i="11"/>
  <c r="K340" i="11"/>
  <c r="J340" i="11"/>
  <c r="K339" i="11"/>
  <c r="J339" i="11"/>
  <c r="K338" i="11"/>
  <c r="J338" i="11"/>
  <c r="K337" i="11"/>
  <c r="J337" i="11"/>
  <c r="K336" i="11"/>
  <c r="J336" i="11"/>
  <c r="K335" i="11"/>
  <c r="J335" i="11"/>
  <c r="K334" i="11"/>
  <c r="J334" i="11"/>
  <c r="K333" i="11"/>
  <c r="J333" i="11"/>
  <c r="K332" i="11"/>
  <c r="J332" i="11"/>
  <c r="K331" i="11"/>
  <c r="J331" i="11"/>
  <c r="K330" i="11"/>
  <c r="J330" i="11"/>
  <c r="K329" i="11"/>
  <c r="J329" i="11"/>
  <c r="K328" i="11"/>
  <c r="J328" i="11"/>
  <c r="K327" i="11"/>
  <c r="J327" i="11"/>
  <c r="K326" i="11"/>
  <c r="J326" i="11"/>
  <c r="K325" i="11"/>
  <c r="J325" i="11"/>
  <c r="K324" i="11"/>
  <c r="J324" i="11"/>
  <c r="K323" i="11"/>
  <c r="J323" i="11"/>
  <c r="K322" i="11"/>
  <c r="J322" i="11"/>
  <c r="K321" i="11"/>
  <c r="J321" i="11"/>
  <c r="K320" i="11"/>
  <c r="J320" i="11"/>
  <c r="K319" i="11"/>
  <c r="J319" i="11"/>
  <c r="K318" i="11"/>
  <c r="J318" i="11"/>
  <c r="K317" i="11"/>
  <c r="J317" i="11"/>
  <c r="K316" i="11"/>
  <c r="J316" i="11"/>
  <c r="K315" i="11"/>
  <c r="J315" i="11"/>
  <c r="K314" i="11"/>
  <c r="J314" i="11"/>
  <c r="K313" i="11"/>
  <c r="J313" i="11"/>
  <c r="K312" i="11"/>
  <c r="J312" i="11"/>
  <c r="K311" i="11"/>
  <c r="J311" i="11"/>
  <c r="K310" i="11"/>
  <c r="J310" i="11"/>
  <c r="K309" i="11"/>
  <c r="J309" i="11"/>
  <c r="K308" i="11"/>
  <c r="J308" i="11"/>
  <c r="K307" i="11"/>
  <c r="J307" i="11"/>
  <c r="K306" i="11"/>
  <c r="J306" i="11"/>
  <c r="K305" i="11"/>
  <c r="J305" i="11"/>
  <c r="K304" i="11"/>
  <c r="J304" i="11"/>
  <c r="K303" i="11"/>
  <c r="J303" i="11"/>
  <c r="K302" i="11"/>
  <c r="J302" i="11"/>
  <c r="K301" i="11"/>
  <c r="J301" i="11"/>
  <c r="K300" i="11"/>
  <c r="J300" i="11"/>
  <c r="K299" i="11"/>
  <c r="J299" i="11"/>
  <c r="K298" i="11"/>
  <c r="J298" i="11"/>
  <c r="K297" i="11"/>
  <c r="J297" i="11"/>
  <c r="K296" i="11"/>
  <c r="J296" i="11"/>
  <c r="K295" i="11"/>
  <c r="J295" i="11"/>
  <c r="K294" i="11"/>
  <c r="J294" i="11"/>
  <c r="K293" i="11"/>
  <c r="J293" i="11"/>
  <c r="K292" i="11"/>
  <c r="J292" i="11"/>
  <c r="K291" i="11"/>
  <c r="J291" i="11"/>
  <c r="K290" i="11"/>
  <c r="J290" i="11"/>
  <c r="K289" i="11"/>
  <c r="J289" i="11"/>
  <c r="K288" i="11"/>
  <c r="J288" i="11"/>
  <c r="K287" i="11"/>
  <c r="J287" i="11"/>
  <c r="K286" i="11"/>
  <c r="J286" i="11"/>
  <c r="K285" i="11"/>
  <c r="J285" i="11"/>
  <c r="K284" i="11"/>
  <c r="J284" i="11"/>
  <c r="K283" i="11"/>
  <c r="J283" i="11"/>
  <c r="K282" i="11"/>
  <c r="J282" i="11"/>
  <c r="K281" i="11"/>
  <c r="J281" i="11"/>
  <c r="K280" i="11"/>
  <c r="J280" i="11"/>
  <c r="K279" i="11"/>
  <c r="J279" i="11"/>
  <c r="K278" i="11"/>
  <c r="J278" i="11"/>
  <c r="K277" i="11"/>
  <c r="J277" i="11"/>
  <c r="K276" i="11"/>
  <c r="J276" i="11"/>
  <c r="K275" i="11"/>
  <c r="J275" i="11"/>
  <c r="K274" i="11"/>
  <c r="J274" i="11"/>
  <c r="K273" i="11"/>
  <c r="J273" i="11"/>
  <c r="K272" i="11"/>
  <c r="J272" i="11"/>
  <c r="K271" i="11"/>
  <c r="J271" i="11"/>
  <c r="K270" i="11"/>
  <c r="J270" i="11"/>
  <c r="K269" i="11"/>
  <c r="J269" i="11"/>
  <c r="K268" i="11"/>
  <c r="J268" i="11"/>
  <c r="K267" i="11"/>
  <c r="J267" i="11"/>
  <c r="K266" i="11"/>
  <c r="J266" i="11"/>
  <c r="K265" i="11"/>
  <c r="J265" i="11"/>
  <c r="K264" i="11"/>
  <c r="J264" i="11"/>
  <c r="K263" i="11"/>
  <c r="J263" i="11"/>
  <c r="K262" i="11"/>
  <c r="J262" i="11"/>
  <c r="K261" i="11"/>
  <c r="J261" i="11"/>
  <c r="K260" i="11"/>
  <c r="J260" i="11"/>
  <c r="K259" i="11"/>
  <c r="J259" i="11"/>
  <c r="K258" i="11"/>
  <c r="J258" i="11"/>
  <c r="K257" i="11"/>
  <c r="J257" i="11"/>
  <c r="K256" i="11"/>
  <c r="J256" i="11"/>
  <c r="K255" i="11"/>
  <c r="J255" i="11"/>
  <c r="K254" i="11"/>
  <c r="J254" i="11"/>
  <c r="J253" i="11"/>
  <c r="K252" i="11"/>
  <c r="J252" i="11"/>
  <c r="K251" i="11"/>
  <c r="J251" i="11"/>
  <c r="K250" i="11"/>
  <c r="J250" i="11"/>
  <c r="K249" i="11"/>
  <c r="J249" i="11"/>
  <c r="K248" i="11"/>
  <c r="J248" i="11"/>
  <c r="K247" i="11"/>
  <c r="J247" i="11"/>
  <c r="K246" i="11"/>
  <c r="J246" i="11"/>
  <c r="K245" i="11"/>
  <c r="J245" i="11"/>
  <c r="K244" i="11"/>
  <c r="J244" i="11"/>
  <c r="J243" i="11"/>
  <c r="J242" i="11"/>
  <c r="K241" i="11"/>
  <c r="J241" i="11"/>
  <c r="K240" i="11"/>
  <c r="J240" i="11"/>
  <c r="K239" i="11"/>
  <c r="J239" i="11"/>
  <c r="K238" i="11"/>
  <c r="J238" i="11"/>
  <c r="K237" i="11"/>
  <c r="J237" i="11"/>
  <c r="K236" i="11"/>
  <c r="J236" i="11"/>
  <c r="K235" i="11"/>
  <c r="J235" i="11"/>
  <c r="K234" i="11"/>
  <c r="J234" i="11"/>
  <c r="K233" i="11"/>
  <c r="J233" i="11"/>
  <c r="K232" i="11"/>
  <c r="J232" i="11"/>
  <c r="K231" i="11"/>
  <c r="J231" i="11"/>
  <c r="K230" i="11"/>
  <c r="J230" i="11"/>
  <c r="K229" i="11"/>
  <c r="J229" i="11"/>
  <c r="K228" i="11"/>
  <c r="J228" i="11"/>
  <c r="K227" i="11"/>
  <c r="J227" i="11"/>
  <c r="K226" i="11"/>
  <c r="J226" i="11"/>
  <c r="K225" i="11"/>
  <c r="J225" i="11"/>
  <c r="K224" i="11"/>
  <c r="J224" i="11"/>
  <c r="K223" i="11"/>
  <c r="J223" i="11"/>
  <c r="K222" i="11"/>
  <c r="J222" i="11"/>
  <c r="K221" i="11"/>
  <c r="J221" i="11"/>
  <c r="K220" i="11"/>
  <c r="J220" i="11"/>
  <c r="K219" i="11"/>
  <c r="J219" i="11"/>
  <c r="K218" i="11"/>
  <c r="J218" i="11"/>
  <c r="K217" i="11"/>
  <c r="J217" i="11"/>
  <c r="K216" i="11"/>
  <c r="J216" i="11"/>
  <c r="K215" i="11"/>
  <c r="J215" i="11"/>
  <c r="K214" i="11"/>
  <c r="J214" i="11"/>
  <c r="K213" i="11"/>
  <c r="J213" i="11"/>
  <c r="K212" i="11"/>
  <c r="J212" i="11"/>
  <c r="K211" i="11"/>
  <c r="J211" i="11"/>
  <c r="K210" i="11"/>
  <c r="J210" i="11"/>
  <c r="K209" i="11"/>
  <c r="J209" i="11"/>
  <c r="K208" i="11"/>
  <c r="J208" i="11"/>
  <c r="K207" i="11"/>
  <c r="J207" i="11"/>
  <c r="K206" i="11"/>
  <c r="J206" i="11"/>
  <c r="K205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2125" i="2" l="1"/>
  <c r="J2126" i="2"/>
  <c r="J2127" i="2"/>
  <c r="J2128" i="2"/>
  <c r="J2129" i="2"/>
  <c r="J2130" i="2"/>
  <c r="J2131" i="2"/>
  <c r="J2132" i="2"/>
  <c r="J2133" i="2"/>
  <c r="J2134" i="2"/>
  <c r="J2124" i="2"/>
  <c r="J929" i="2" l="1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B414" i="9" l="1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414" i="8" l="1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B414" i="7" l="1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2" i="6"/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I2" i="3" l="1"/>
  <c r="J2" i="3" s="1"/>
  <c r="I3" i="3"/>
  <c r="J3" i="3" s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I110" i="3" l="1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337" i="1"/>
  <c r="E1695" i="1"/>
  <c r="E1799" i="1"/>
  <c r="E86" i="1"/>
  <c r="E309" i="1"/>
  <c r="E854" i="1"/>
  <c r="E681" i="1"/>
  <c r="E817" i="1"/>
  <c r="E428" i="1"/>
  <c r="E1689" i="1"/>
  <c r="E1484" i="1"/>
  <c r="E1831" i="1"/>
  <c r="E1806" i="1"/>
  <c r="E1850" i="1"/>
  <c r="E120" i="1"/>
  <c r="E1952" i="1"/>
  <c r="E1766" i="1"/>
  <c r="E1603" i="1"/>
  <c r="E1714" i="1"/>
  <c r="E200" i="1"/>
  <c r="E575" i="1"/>
  <c r="E1168" i="1"/>
  <c r="E598" i="1"/>
  <c r="E1127" i="1"/>
  <c r="E412" i="1"/>
  <c r="E40" i="1"/>
  <c r="E12" i="1"/>
  <c r="E704" i="1"/>
  <c r="E735" i="1"/>
  <c r="E129" i="1"/>
  <c r="E1205" i="1"/>
  <c r="E124" i="1"/>
  <c r="E1996" i="1"/>
  <c r="E339" i="1"/>
  <c r="E1035" i="1"/>
  <c r="E655" i="1"/>
  <c r="E695" i="1"/>
  <c r="E1003" i="1"/>
  <c r="E94" i="1"/>
  <c r="E304" i="1"/>
  <c r="E1793" i="1"/>
  <c r="E402" i="1"/>
  <c r="E1899" i="1"/>
  <c r="E284" i="1"/>
  <c r="E1172" i="1"/>
  <c r="E1018" i="1"/>
  <c r="E99" i="1"/>
  <c r="E1511" i="1"/>
  <c r="E788" i="1"/>
  <c r="E413" i="1"/>
  <c r="E1501" i="1"/>
  <c r="E1932" i="1"/>
  <c r="E743" i="1"/>
  <c r="E594" i="1"/>
  <c r="E1710" i="1"/>
  <c r="E150" i="1"/>
  <c r="E126" i="1"/>
  <c r="E1775" i="1"/>
  <c r="E1467" i="1"/>
  <c r="E1654" i="1"/>
  <c r="E709" i="1"/>
  <c r="E1553" i="1"/>
  <c r="E1220" i="1"/>
  <c r="E1631" i="1"/>
  <c r="E891" i="1"/>
  <c r="E356" i="1"/>
  <c r="E794" i="1"/>
  <c r="E1610" i="1"/>
  <c r="E1116" i="1"/>
  <c r="E1374" i="1"/>
  <c r="E1171" i="1"/>
  <c r="E408" i="1"/>
  <c r="E810" i="1"/>
  <c r="E513" i="1"/>
  <c r="E1024" i="1"/>
  <c r="E1550" i="1"/>
  <c r="E1191" i="1"/>
  <c r="E728" i="1"/>
  <c r="E1761" i="1"/>
  <c r="E844" i="1"/>
  <c r="E1495" i="1"/>
  <c r="E939" i="1"/>
  <c r="E1332" i="1"/>
  <c r="E806" i="1"/>
  <c r="E394" i="1"/>
  <c r="E1020" i="1"/>
  <c r="E1605" i="1"/>
  <c r="E718" i="1"/>
  <c r="E858" i="1"/>
  <c r="E1576" i="1"/>
  <c r="E409" i="1"/>
  <c r="E795" i="1"/>
  <c r="E748" i="1"/>
  <c r="E1436" i="1"/>
  <c r="E1040" i="1"/>
  <c r="E1310" i="1"/>
  <c r="E1663" i="1"/>
  <c r="E1394" i="1"/>
  <c r="E1468" i="1"/>
  <c r="E235" i="1"/>
  <c r="E131" i="1"/>
  <c r="E789" i="1"/>
  <c r="E850" i="1"/>
  <c r="E518" i="1"/>
  <c r="E1326" i="1"/>
  <c r="E1251" i="1"/>
  <c r="E549" i="1"/>
  <c r="E359" i="1"/>
  <c r="E832" i="1"/>
  <c r="E497" i="1"/>
  <c r="E1590" i="1"/>
  <c r="E1415" i="1"/>
  <c r="E1142" i="1"/>
  <c r="E597" i="1"/>
  <c r="E212" i="1"/>
  <c r="E975" i="1"/>
  <c r="E20" i="1"/>
  <c r="E114" i="1"/>
  <c r="E1910" i="1"/>
  <c r="E265" i="1"/>
  <c r="E1954" i="1"/>
  <c r="E1485" i="1"/>
  <c r="E459" i="1"/>
  <c r="E628" i="1"/>
  <c r="E615" i="1"/>
  <c r="E242" i="1"/>
  <c r="E1248" i="1"/>
  <c r="E1802" i="1"/>
  <c r="E1207" i="1"/>
  <c r="E1515" i="1"/>
  <c r="E1896" i="1"/>
  <c r="E1247" i="1"/>
  <c r="E909" i="1"/>
  <c r="E1025" i="1"/>
  <c r="E492" i="1"/>
  <c r="E457" i="1"/>
  <c r="E1216" i="1"/>
  <c r="E663" i="1"/>
  <c r="E570" i="1"/>
  <c r="E714" i="1"/>
  <c r="E1841" i="1"/>
  <c r="E721" i="1"/>
  <c r="E1390" i="1"/>
  <c r="E1113" i="1"/>
  <c r="E1720" i="1"/>
  <c r="E1217" i="1"/>
  <c r="E667" i="1"/>
  <c r="E613" i="1"/>
  <c r="E91" i="1"/>
  <c r="E277" i="1"/>
  <c r="E555" i="1"/>
  <c r="E1903" i="1"/>
  <c r="E578" i="1"/>
  <c r="E1931" i="1"/>
  <c r="E1488" i="1"/>
  <c r="E576" i="1"/>
  <c r="E818" i="1"/>
  <c r="E1851" i="1"/>
  <c r="E1430" i="1"/>
  <c r="E1586" i="1"/>
  <c r="E1284" i="1"/>
  <c r="E630" i="1"/>
  <c r="E1135" i="1"/>
  <c r="E1474" i="1"/>
  <c r="E328" i="1"/>
  <c r="E1032" i="1"/>
  <c r="E463" i="1"/>
  <c r="E683" i="1"/>
  <c r="E348" i="1"/>
  <c r="E1664" i="1"/>
  <c r="E1936" i="1"/>
  <c r="E892" i="1"/>
  <c r="E226" i="1"/>
  <c r="E702" i="1"/>
  <c r="E38" i="1"/>
  <c r="E1665" i="1"/>
  <c r="E720" i="1"/>
  <c r="E916" i="1"/>
  <c r="E1776" i="1"/>
  <c r="E829" i="1"/>
  <c r="E676" i="1"/>
  <c r="E1376" i="1"/>
  <c r="E1855" i="1"/>
  <c r="E1868" i="1"/>
  <c r="E1356" i="1"/>
  <c r="E1719" i="1"/>
  <c r="E1312" i="1"/>
  <c r="E1466" i="1"/>
  <c r="E115" i="1"/>
  <c r="E1222" i="1"/>
  <c r="E1746" i="1"/>
  <c r="E321" i="1"/>
  <c r="E1362" i="1"/>
  <c r="E1916" i="1"/>
  <c r="E98" i="1"/>
  <c r="E372" i="1"/>
  <c r="E1638" i="1"/>
  <c r="E1859" i="1"/>
  <c r="E1065" i="1"/>
  <c r="E1448" i="1"/>
  <c r="E684" i="1"/>
  <c r="E1031" i="1"/>
  <c r="E1999" i="1"/>
  <c r="E1091" i="1"/>
  <c r="E643" i="1"/>
  <c r="E619" i="1"/>
  <c r="E539" i="1"/>
  <c r="E66" i="1"/>
  <c r="E1659" i="1"/>
  <c r="E875" i="1"/>
  <c r="E1037" i="1"/>
  <c r="E531" i="1"/>
  <c r="E801" i="1"/>
  <c r="E1237" i="1"/>
  <c r="E132" i="1"/>
  <c r="E1067" i="1"/>
  <c r="E1743" i="1"/>
  <c r="E679" i="1"/>
  <c r="E1304" i="1"/>
  <c r="E554" i="1"/>
  <c r="E511" i="1"/>
  <c r="E803" i="1"/>
  <c r="E1595" i="1"/>
  <c r="E1475" i="1"/>
  <c r="E871" i="1"/>
  <c r="E787" i="1"/>
  <c r="E1639" i="1"/>
  <c r="E819" i="1"/>
  <c r="E565" i="1"/>
  <c r="E448" i="1"/>
  <c r="E1308" i="1"/>
  <c r="E824" i="1"/>
  <c r="E1138" i="1"/>
  <c r="E1627" i="1"/>
  <c r="E609" i="1"/>
  <c r="E1549" i="1"/>
  <c r="E11" i="1"/>
  <c r="E1911" i="1"/>
  <c r="E27" i="1"/>
  <c r="E483" i="1"/>
  <c r="E1343" i="1"/>
  <c r="E1153" i="1"/>
  <c r="E701" i="1"/>
  <c r="E1233" i="1"/>
  <c r="E843" i="1"/>
  <c r="E1001" i="1"/>
  <c r="E960" i="1"/>
  <c r="E486" i="1"/>
  <c r="E1193" i="1"/>
  <c r="E671" i="1"/>
  <c r="E1987" i="1"/>
  <c r="E1481" i="1"/>
  <c r="E1573" i="1"/>
  <c r="E5" i="1"/>
  <c r="E431" i="1"/>
  <c r="E880" i="1"/>
  <c r="E877" i="1"/>
  <c r="E1616" i="1"/>
  <c r="E660" i="1"/>
  <c r="E1491" i="1"/>
  <c r="E923" i="1"/>
  <c r="E793" i="1"/>
  <c r="E1883" i="1"/>
  <c r="E664" i="1"/>
  <c r="E324" i="1"/>
  <c r="E847" i="1"/>
  <c r="E1149" i="1"/>
  <c r="E1985" i="1"/>
  <c r="E1311" i="1"/>
  <c r="E657" i="1"/>
  <c r="E1476" i="1"/>
  <c r="E604" i="1"/>
  <c r="E1285" i="1"/>
  <c r="E1437" i="1"/>
  <c r="E731" i="1"/>
  <c r="E255" i="1"/>
  <c r="E81" i="1"/>
  <c r="E1367" i="1"/>
  <c r="E220" i="1"/>
  <c r="E1122" i="1"/>
  <c r="E833" i="1"/>
  <c r="E842" i="1"/>
  <c r="E834" i="1"/>
  <c r="E1017" i="1"/>
  <c r="E780" i="1"/>
  <c r="E1357" i="1"/>
  <c r="E1836" i="1"/>
  <c r="E58" i="1"/>
  <c r="E503" i="1"/>
  <c r="E1196" i="1"/>
  <c r="E1016" i="1"/>
  <c r="E515" i="1"/>
  <c r="E1456" i="1"/>
  <c r="E1042" i="1"/>
  <c r="E1567" i="1"/>
  <c r="E1392" i="1"/>
  <c r="E1170" i="1"/>
  <c r="E1289" i="1"/>
  <c r="E649" i="1"/>
  <c r="E932" i="1"/>
  <c r="E1604" i="1"/>
  <c r="E1112" i="1"/>
  <c r="E293" i="1"/>
  <c r="E1545" i="1"/>
  <c r="E510" i="1"/>
  <c r="E865" i="1"/>
  <c r="E90" i="1"/>
  <c r="E1043" i="1"/>
  <c r="E45" i="1"/>
  <c r="E796" i="1"/>
  <c r="E1551" i="1"/>
  <c r="E530" i="1"/>
  <c r="E1309" i="1"/>
  <c r="E1460" i="1"/>
  <c r="E992" i="1"/>
  <c r="E1508" i="1"/>
  <c r="E477" i="1"/>
  <c r="E571" i="1"/>
  <c r="E1667" i="1"/>
  <c r="E1731" i="1"/>
  <c r="E65" i="1"/>
  <c r="E9" i="1"/>
  <c r="E677" i="1"/>
  <c r="E256" i="1"/>
  <c r="E778" i="1"/>
  <c r="E1459" i="1"/>
  <c r="E933" i="1"/>
  <c r="E1901" i="1"/>
  <c r="E76" i="1"/>
  <c r="E573" i="1"/>
  <c r="E1822" i="1"/>
  <c r="E179" i="1"/>
  <c r="E656" i="1"/>
  <c r="E562" i="1"/>
  <c r="E710" i="1"/>
  <c r="E856" i="1"/>
  <c r="E1218" i="1"/>
  <c r="E1902" i="1"/>
  <c r="E1592" i="1"/>
  <c r="E1949" i="1"/>
  <c r="E749" i="1"/>
  <c r="E1572" i="1"/>
  <c r="E122" i="1"/>
  <c r="E1937" i="1"/>
  <c r="E1834" i="1"/>
  <c r="E1141" i="1"/>
  <c r="E673" i="1"/>
  <c r="E550" i="1"/>
  <c r="E546" i="1"/>
  <c r="E48" i="1"/>
  <c r="E396" i="1"/>
  <c r="E668" i="1"/>
  <c r="E1464" i="1"/>
  <c r="E990" i="1"/>
  <c r="E1803" i="1"/>
  <c r="E474" i="1"/>
  <c r="E1907" i="1"/>
  <c r="E488" i="1"/>
  <c r="E278" i="1"/>
  <c r="E836" i="1"/>
  <c r="E1679" i="1"/>
  <c r="E1260" i="1"/>
  <c r="E157" i="1"/>
  <c r="E189" i="1"/>
  <c r="E248" i="1"/>
  <c r="E218" i="1"/>
  <c r="E130" i="1"/>
  <c r="E524" i="1"/>
  <c r="E1085" i="1"/>
  <c r="E1947" i="1"/>
  <c r="E1119" i="1"/>
  <c r="E1801" i="1"/>
  <c r="E1856" i="1"/>
  <c r="E1443" i="1"/>
  <c r="E902" i="1"/>
  <c r="E1749" i="1"/>
  <c r="E1741" i="1"/>
  <c r="E8" i="1"/>
  <c r="E1716" i="1"/>
  <c r="E1068" i="1"/>
  <c r="E542" i="1"/>
  <c r="E1246" i="1"/>
  <c r="E1699" i="1"/>
  <c r="E621" i="1"/>
  <c r="E141" i="1"/>
  <c r="E1353" i="1"/>
  <c r="E17" i="1"/>
  <c r="E1554" i="1"/>
  <c r="E1056" i="1"/>
  <c r="E1126" i="1"/>
  <c r="E329" i="1"/>
  <c r="E982" i="1"/>
  <c r="E1156" i="1"/>
  <c r="E352" i="1"/>
  <c r="E32" i="1"/>
  <c r="E1835" i="1"/>
  <c r="E1602" i="1"/>
  <c r="E1243" i="1"/>
  <c r="E1298" i="1"/>
  <c r="E1759" i="1"/>
  <c r="E1079" i="1"/>
  <c r="E642" i="1"/>
  <c r="E190" i="1"/>
  <c r="E1656" i="1"/>
  <c r="E1402" i="1"/>
  <c r="E1898" i="1"/>
  <c r="E645" i="1"/>
  <c r="E1074" i="1"/>
  <c r="E109" i="1"/>
  <c r="E1041" i="1"/>
  <c r="E1533" i="1"/>
  <c r="E887" i="1"/>
  <c r="E1307" i="1"/>
  <c r="E1019" i="1"/>
  <c r="E506" i="1"/>
  <c r="E1812" i="1"/>
  <c r="E1858" i="1"/>
  <c r="E1033" i="1"/>
  <c r="E1760" i="1"/>
  <c r="E414" i="1"/>
  <c r="E1915" i="1"/>
  <c r="E283" i="1"/>
  <c r="E1800" i="1"/>
  <c r="E334" i="1"/>
  <c r="E1892" i="1"/>
  <c r="E1669" i="1"/>
  <c r="E1182" i="1"/>
  <c r="E269" i="1"/>
  <c r="E1677" i="1"/>
  <c r="E46" i="1"/>
  <c r="E1169" i="1"/>
  <c r="E971" i="1"/>
  <c r="E1398" i="1"/>
  <c r="E391" i="1"/>
  <c r="E335" i="1"/>
  <c r="E493" i="1"/>
  <c r="E786" i="1"/>
  <c r="E34" i="1"/>
  <c r="E192" i="1"/>
  <c r="E888" i="1"/>
  <c r="E737" i="1"/>
  <c r="E1633" i="1"/>
  <c r="E1582" i="1"/>
  <c r="E1413" i="1"/>
  <c r="E1608" i="1"/>
  <c r="E1791" i="1"/>
  <c r="E205" i="1"/>
  <c r="E999" i="1"/>
  <c r="E1275" i="1"/>
  <c r="E1986" i="1"/>
  <c r="E1779" i="1"/>
  <c r="E1838" i="1"/>
  <c r="E1297" i="1"/>
  <c r="E482" i="1"/>
  <c r="E553" i="1"/>
  <c r="E1214" i="1"/>
  <c r="E1727" i="1"/>
  <c r="E266" i="1"/>
  <c r="E1547" i="1"/>
  <c r="E165" i="1"/>
  <c r="E590" i="1"/>
  <c r="E1301" i="1"/>
  <c r="E1984" i="1"/>
  <c r="E1008" i="1"/>
  <c r="E1280" i="1"/>
  <c r="E956" i="1"/>
  <c r="E593" i="1"/>
  <c r="E991" i="1"/>
  <c r="E1026" i="1"/>
  <c r="E274" i="1"/>
  <c r="E1049" i="1"/>
  <c r="E1359" i="1"/>
  <c r="E1927" i="1"/>
  <c r="E419" i="1"/>
  <c r="E338" i="1"/>
  <c r="E1518" i="1"/>
  <c r="E940" i="1"/>
  <c r="E1306" i="1"/>
  <c r="E1132" i="1"/>
  <c r="E1653" i="1"/>
  <c r="E288" i="1"/>
  <c r="E295" i="1"/>
  <c r="E208" i="1"/>
  <c r="E522" i="1"/>
  <c r="E586" i="1"/>
  <c r="E22" i="1"/>
  <c r="E1414" i="1"/>
  <c r="E1742" i="1"/>
  <c r="E1992" i="1"/>
  <c r="E1154" i="1"/>
  <c r="E1014" i="1"/>
  <c r="E1939" i="1"/>
  <c r="E1369" i="1"/>
  <c r="E637" i="1"/>
  <c r="E55" i="1"/>
  <c r="E442" i="1"/>
  <c r="E1148" i="1"/>
  <c r="E1165" i="1"/>
  <c r="E708" i="1"/>
  <c r="E215" i="1"/>
  <c r="E983" i="1"/>
  <c r="E1381" i="1"/>
  <c r="E1628" i="1"/>
  <c r="E1358" i="1"/>
  <c r="E1366" i="1"/>
  <c r="E1852" i="1"/>
  <c r="E1465" i="1"/>
  <c r="E1895" i="1"/>
  <c r="E830" i="1"/>
  <c r="E1728" i="1"/>
  <c r="E873" i="1"/>
  <c r="E1470" i="1"/>
  <c r="E1543" i="1"/>
  <c r="E473" i="1"/>
  <c r="E1509" i="1"/>
  <c r="E1613" i="1"/>
  <c r="E1794" i="1"/>
  <c r="E1409" i="1"/>
  <c r="E1073" i="1"/>
  <c r="E468" i="1"/>
  <c r="E563" i="1"/>
  <c r="E1579" i="1"/>
  <c r="E73" i="1"/>
  <c r="E26" i="1"/>
  <c r="E19" i="1"/>
  <c r="E1900" i="1"/>
  <c r="E1637" i="1"/>
  <c r="E765" i="1"/>
  <c r="E732" i="1"/>
  <c r="E1152" i="1"/>
  <c r="E1036" i="1"/>
  <c r="E688" i="1"/>
  <c r="E648" i="1"/>
  <c r="E693" i="1"/>
  <c r="E1629" i="1"/>
  <c r="E389" i="1"/>
  <c r="E1552" i="1"/>
  <c r="E1254" i="1"/>
  <c r="E43" i="1"/>
  <c r="E1101" i="1"/>
  <c r="E1396" i="1"/>
  <c r="E142" i="1"/>
  <c r="E1862" i="1"/>
  <c r="E1114" i="1"/>
  <c r="E374" i="1"/>
  <c r="E1693" i="1"/>
  <c r="E1568" i="1"/>
  <c r="E1845" i="1"/>
  <c r="E751" i="1"/>
  <c r="E1678" i="1"/>
  <c r="E965" i="1"/>
  <c r="E116" i="1"/>
  <c r="E237" i="1"/>
  <c r="E779" i="1"/>
  <c r="E1528" i="1"/>
  <c r="E1780" i="1"/>
  <c r="E1064" i="1"/>
  <c r="E193" i="1"/>
  <c r="E100" i="1"/>
  <c r="E849" i="1"/>
  <c r="E1510" i="1"/>
  <c r="E1240" i="1"/>
  <c r="E852" i="1"/>
  <c r="E947" i="1"/>
  <c r="E108" i="1"/>
  <c r="E690" i="1"/>
  <c r="E1295" i="1"/>
  <c r="E1807" i="1"/>
  <c r="E1490" i="1"/>
  <c r="E1060" i="1"/>
  <c r="E1279" i="1"/>
  <c r="E763" i="1"/>
  <c r="E1685" i="1"/>
  <c r="E897" i="1"/>
  <c r="E1427" i="1"/>
  <c r="E945" i="1"/>
  <c r="E1211" i="1"/>
  <c r="E1860" i="1"/>
  <c r="E1626" i="1"/>
  <c r="E568" i="1"/>
  <c r="E942" i="1"/>
  <c r="E1814" i="1"/>
  <c r="E1805" i="1"/>
  <c r="E1305" i="1"/>
  <c r="E1336" i="1"/>
  <c r="E1401" i="1"/>
  <c r="E1418" i="1"/>
  <c r="E674" i="1"/>
  <c r="E534" i="1"/>
  <c r="E202" i="1"/>
  <c r="E711" i="1"/>
  <c r="E127" i="1"/>
  <c r="E1989" i="1"/>
  <c r="E183" i="1"/>
  <c r="E1866" i="1"/>
  <c r="E1585" i="1"/>
  <c r="E149" i="1"/>
  <c r="E1223" i="1"/>
  <c r="E567" i="1"/>
  <c r="E1136" i="1"/>
  <c r="E1160" i="1"/>
  <c r="E1575" i="1"/>
  <c r="E1075" i="1"/>
  <c r="E978" i="1"/>
  <c r="E1393" i="1"/>
  <c r="E1151" i="1"/>
  <c r="E706" i="1"/>
  <c r="E1478" i="1"/>
  <c r="E1092" i="1"/>
  <c r="E1083" i="1"/>
  <c r="E1649" i="1"/>
  <c r="E592" i="1"/>
  <c r="E519" i="1"/>
  <c r="E1365" i="1"/>
  <c r="E1750" i="1"/>
  <c r="E491" i="1"/>
  <c r="E54" i="1"/>
  <c r="E1625" i="1"/>
  <c r="E382" i="1"/>
  <c r="E1740" i="1"/>
  <c r="E1583" i="1"/>
  <c r="E1942" i="1"/>
  <c r="E162" i="1"/>
  <c r="E583" i="1"/>
  <c r="E14" i="1"/>
  <c r="E1757" i="1"/>
  <c r="E1708" i="1"/>
  <c r="E87" i="1"/>
  <c r="E1432" i="1"/>
  <c r="E1052" i="1"/>
  <c r="E641" i="1"/>
  <c r="E883" i="1"/>
  <c r="E1269" i="1"/>
  <c r="E686" i="1"/>
  <c r="E342" i="1"/>
  <c r="E771" i="1"/>
  <c r="E1541" i="1"/>
  <c r="E207" i="1"/>
  <c r="E580" i="1"/>
  <c r="E82" i="1"/>
  <c r="E1965" i="1"/>
  <c r="E802" i="1"/>
  <c r="E28" i="1"/>
  <c r="E1029" i="1"/>
  <c r="E107" i="1"/>
  <c r="E318" i="1"/>
  <c r="E987" i="1"/>
  <c r="E607" i="1"/>
  <c r="E1057" i="1"/>
  <c r="E1179" i="1"/>
  <c r="E1864" i="1"/>
  <c r="E900" i="1"/>
  <c r="E15" i="1"/>
  <c r="E56" i="1"/>
  <c r="E177" i="1"/>
  <c r="E306" i="1"/>
  <c r="E1219" i="1"/>
  <c r="E333" i="1"/>
  <c r="E1164" i="1"/>
  <c r="E610" i="1"/>
  <c r="E1236" i="1"/>
  <c r="E1683" i="1"/>
  <c r="E1108" i="1"/>
  <c r="E1061" i="1"/>
  <c r="E464" i="1"/>
  <c r="E1692" i="1"/>
  <c r="E355" i="1"/>
  <c r="E744" i="1"/>
  <c r="E1617" i="1"/>
  <c r="E1021" i="1"/>
  <c r="E639" i="1"/>
  <c r="E1103" i="1"/>
  <c r="E742" i="1"/>
  <c r="E327" i="1"/>
  <c r="E1314" i="1"/>
  <c r="E636" i="1"/>
  <c r="E1245" i="1"/>
  <c r="E874" i="1"/>
  <c r="E1861" i="1"/>
  <c r="E814" i="1"/>
  <c r="E209" i="1"/>
  <c r="E781" i="1"/>
  <c r="E51" i="1"/>
  <c r="E612" i="1"/>
  <c r="E528" i="1"/>
  <c r="E1167" i="1"/>
  <c r="E1274" i="1"/>
  <c r="E1431" i="1"/>
  <c r="E1783" i="1"/>
  <c r="E1327" i="1"/>
  <c r="E1815" i="1"/>
  <c r="E1433" i="1"/>
  <c r="E1531" i="1"/>
  <c r="E1844" i="1"/>
  <c r="E343" i="1"/>
  <c r="E246" i="1"/>
  <c r="E560" i="1"/>
  <c r="E1486" i="1"/>
  <c r="E478" i="1"/>
  <c r="E1578" i="1"/>
  <c r="E2000" i="1"/>
  <c r="E60" i="1"/>
  <c r="E1086" i="1"/>
  <c r="E188" i="1"/>
  <c r="E574" i="1"/>
  <c r="E16" i="1"/>
  <c r="E761" i="1"/>
  <c r="E585" i="1"/>
  <c r="E1611" i="1"/>
  <c r="E1686" i="1"/>
  <c r="E1492" i="1"/>
  <c r="E432" i="1"/>
  <c r="E257" i="1"/>
  <c r="E918" i="1"/>
  <c r="E1751" i="1"/>
  <c r="E1888" i="1"/>
  <c r="E558" i="1"/>
  <c r="E1363" i="1"/>
  <c r="E251" i="1"/>
  <c r="E792" i="1"/>
  <c r="E64" i="1"/>
  <c r="E260" i="1"/>
  <c r="E285" i="1"/>
  <c r="E1321" i="1"/>
  <c r="E784" i="1"/>
  <c r="E490" i="1"/>
  <c r="E1950" i="1"/>
  <c r="E1361" i="1"/>
  <c r="E913" i="1"/>
  <c r="E245" i="1"/>
  <c r="E1421" i="1"/>
  <c r="E1145" i="1"/>
  <c r="E1104" i="1"/>
  <c r="E103" i="1"/>
  <c r="E1781" i="1"/>
  <c r="E1516" i="1"/>
  <c r="E632" i="1"/>
  <c r="E949" i="1"/>
  <c r="E1976" i="1"/>
  <c r="E95" i="1"/>
  <c r="E822" i="1"/>
  <c r="E148" i="1"/>
  <c r="E1964" i="1"/>
  <c r="E1497" i="1"/>
  <c r="E1657" i="1"/>
  <c r="E572" i="1"/>
  <c r="E383" i="1"/>
  <c r="E89" i="1"/>
  <c r="E1081" i="1"/>
  <c r="E769" i="1"/>
  <c r="E489" i="1"/>
  <c r="E1111" i="1"/>
  <c r="E1115" i="1"/>
  <c r="E286" i="1"/>
  <c r="E1047" i="1"/>
  <c r="E444" i="1"/>
  <c r="E1512" i="1"/>
  <c r="E258" i="1"/>
  <c r="E393" i="1"/>
  <c r="E691" i="1"/>
  <c r="E1507" i="1"/>
  <c r="E1338" i="1"/>
  <c r="E512" i="1"/>
  <c r="E626" i="1"/>
  <c r="E254" i="1"/>
  <c r="E1348" i="1"/>
  <c r="E1514" i="1"/>
  <c r="E606" i="1"/>
  <c r="E557" i="1"/>
  <c r="E185" i="1"/>
  <c r="E696" i="1"/>
  <c r="E1948" i="1"/>
  <c r="E1110" i="1"/>
  <c r="E866" i="1"/>
  <c r="E1199" i="1"/>
  <c r="E911" i="1"/>
  <c r="E967" i="1"/>
  <c r="E826" i="1"/>
  <c r="E1287" i="1"/>
  <c r="E1454" i="1"/>
  <c r="E1589" i="1"/>
  <c r="E1914" i="1"/>
  <c r="E680" i="1"/>
  <c r="E1540" i="1"/>
  <c r="E1266" i="1"/>
  <c r="E1450" i="1"/>
  <c r="E271" i="1"/>
  <c r="E292" i="1"/>
  <c r="E1316" i="1"/>
  <c r="E805" i="1"/>
  <c r="E1671" i="1"/>
  <c r="E697" i="1"/>
  <c r="E1747" i="1"/>
  <c r="E1734" i="1"/>
  <c r="E1334" i="1"/>
  <c r="E500" i="1"/>
  <c r="E1370" i="1"/>
  <c r="E1188" i="1"/>
  <c r="E740" i="1"/>
  <c r="E699" i="1"/>
  <c r="E1849" i="1"/>
  <c r="E1905" i="1"/>
  <c r="E1048" i="1"/>
  <c r="E1867" i="1"/>
  <c r="E1729" i="1"/>
  <c r="E1681" i="1"/>
  <c r="E224" i="1"/>
  <c r="E523" i="1"/>
  <c r="E1956" i="1"/>
  <c r="E365" i="1"/>
  <c r="E227" i="1"/>
  <c r="E314" i="1"/>
  <c r="E1283" i="1"/>
  <c r="E1055" i="1"/>
  <c r="E986" i="1"/>
  <c r="E886" i="1"/>
  <c r="E1641" i="1"/>
  <c r="E835" i="1"/>
  <c r="E1715" i="1"/>
  <c r="E143" i="1"/>
  <c r="E1498" i="1"/>
  <c r="E472" i="1"/>
  <c r="E1477" i="1"/>
  <c r="E943" i="1"/>
  <c r="E1087" i="1"/>
  <c r="E1063" i="1"/>
  <c r="E1650" i="1"/>
  <c r="E799" i="1"/>
  <c r="E1190" i="1"/>
  <c r="E7" i="1"/>
  <c r="E221" i="1"/>
  <c r="E1828" i="1"/>
  <c r="E289" i="1"/>
  <c r="E450" i="1"/>
  <c r="E868" i="1"/>
  <c r="E176" i="1"/>
  <c r="E302" i="1"/>
  <c r="E1527" i="1"/>
  <c r="E917" i="1"/>
  <c r="E1797" i="1"/>
  <c r="E1730" i="1"/>
  <c r="E63" i="1"/>
  <c r="E44" i="1"/>
  <c r="E1584" i="1"/>
  <c r="E716" i="1"/>
  <c r="E461" i="1"/>
  <c r="E1227" i="1"/>
  <c r="E138" i="1"/>
  <c r="E1908" i="1"/>
  <c r="E388" i="1"/>
  <c r="E424" i="1"/>
  <c r="E658" i="1"/>
  <c r="E754" i="1"/>
  <c r="E299" i="1"/>
  <c r="E454" i="1"/>
  <c r="E551" i="1"/>
  <c r="E1198" i="1"/>
  <c r="E602" i="1"/>
  <c r="E1894" i="1"/>
  <c r="E1403" i="1"/>
  <c r="E1777" i="1"/>
  <c r="E625" i="1"/>
  <c r="E581" i="1"/>
  <c r="E797" i="1"/>
  <c r="E1224" i="1"/>
  <c r="E1166" i="1"/>
  <c r="E851" i="1"/>
  <c r="E93" i="1"/>
  <c r="E1377" i="1"/>
  <c r="E762" i="1"/>
  <c r="E427" i="1"/>
  <c r="E635" i="1"/>
  <c r="E236" i="1"/>
  <c r="E756" i="1"/>
  <c r="E1823" i="1"/>
  <c r="E1435" i="1"/>
  <c r="E21" i="1"/>
  <c r="E1388" i="1"/>
  <c r="E884" i="1"/>
  <c r="E1473" i="1"/>
  <c r="E140" i="1"/>
  <c r="E1536" i="1"/>
  <c r="E1662" i="1"/>
  <c r="E411" i="1"/>
  <c r="E232" i="1"/>
  <c r="E80" i="1"/>
  <c r="E529" i="1"/>
  <c r="E1444" i="1"/>
  <c r="E746" i="1"/>
  <c r="E1371" i="1"/>
  <c r="E1737" i="1"/>
  <c r="E1736" i="1"/>
  <c r="E1923" i="1"/>
  <c r="E174" i="1"/>
  <c r="E962" i="1"/>
  <c r="E315" i="1"/>
  <c r="E301" i="1"/>
  <c r="E1329" i="1"/>
  <c r="E1702" i="1"/>
  <c r="E417" i="1"/>
  <c r="E1967" i="1"/>
  <c r="E1655" i="1"/>
  <c r="E1593" i="1"/>
  <c r="E290" i="1"/>
  <c r="E952" i="1"/>
  <c r="E1569" i="1"/>
  <c r="E1395" i="1"/>
  <c r="E959" i="1"/>
  <c r="E467" i="1"/>
  <c r="E1674" i="1"/>
  <c r="E1712" i="1"/>
  <c r="E1080" i="1"/>
  <c r="E117" i="1"/>
  <c r="E310" i="1"/>
  <c r="E1230" i="1"/>
  <c r="E1561" i="1"/>
  <c r="E210" i="1"/>
  <c r="E722" i="1"/>
  <c r="E300" i="1"/>
  <c r="E764" i="1"/>
  <c r="E425" i="1"/>
  <c r="E1120" i="1"/>
  <c r="E311" i="1"/>
  <c r="E1599" i="1"/>
  <c r="E694" i="1"/>
  <c r="E1469" i="1"/>
  <c r="E1109" i="1"/>
  <c r="E1340" i="1"/>
  <c r="E723" i="1"/>
  <c r="E325" i="1"/>
  <c r="E1840" i="1"/>
  <c r="E890" i="1"/>
  <c r="E1886" i="1"/>
  <c r="E1278" i="1"/>
  <c r="E169" i="1"/>
  <c r="E268" i="1"/>
  <c r="E1977" i="1"/>
  <c r="E872" i="1"/>
  <c r="E1504" i="1"/>
  <c r="E156" i="1"/>
  <c r="E1606" i="1"/>
  <c r="E1438" i="1"/>
  <c r="E1752" i="1"/>
  <c r="E1577" i="1"/>
  <c r="E1874" i="1"/>
  <c r="E462" i="1"/>
  <c r="E1379" i="1"/>
  <c r="E1204" i="1"/>
  <c r="E1817" i="1"/>
  <c r="E340" i="1"/>
  <c r="E973" i="1"/>
  <c r="E1407" i="1"/>
  <c r="E504" i="1"/>
  <c r="E460" i="1"/>
  <c r="E250" i="1"/>
  <c r="E1676" i="1"/>
  <c r="E146" i="1"/>
  <c r="E23" i="1"/>
  <c r="E1564" i="1"/>
  <c r="E591" i="1"/>
  <c r="E430" i="1"/>
  <c r="E984" i="1"/>
  <c r="E206" i="1"/>
  <c r="E380" i="1"/>
  <c r="E1935" i="1"/>
  <c r="E1739" i="1"/>
  <c r="E915" i="1"/>
  <c r="E261" i="1"/>
  <c r="E1925" i="1"/>
  <c r="E1417" i="1"/>
  <c r="E1322" i="1"/>
  <c r="E498" i="1"/>
  <c r="E453" i="1"/>
  <c r="E377" i="1"/>
  <c r="E811" i="1"/>
  <c r="E1034" i="1"/>
  <c r="E634" i="1"/>
  <c r="E1387" i="1"/>
  <c r="E204" i="1"/>
  <c r="E1961" i="1"/>
  <c r="E926" i="1"/>
  <c r="E745" i="1"/>
  <c r="E2" i="1"/>
  <c r="E1725" i="1"/>
  <c r="E1263" i="1"/>
  <c r="E869" i="1"/>
  <c r="E1813" i="1"/>
  <c r="E1215" i="1"/>
  <c r="E1226" i="1"/>
  <c r="E172" i="1"/>
  <c r="E1268" i="1"/>
  <c r="E197" i="1"/>
  <c r="E533" i="1"/>
  <c r="E1030" i="1"/>
  <c r="E363" i="1"/>
  <c r="E989" i="1"/>
  <c r="E772" i="1"/>
  <c r="E1244" i="1"/>
  <c r="E378" i="1"/>
  <c r="E238" i="1"/>
  <c r="E1382" i="1"/>
  <c r="E536" i="1"/>
  <c r="E1420" i="1"/>
  <c r="E1129" i="1"/>
  <c r="E908" i="1"/>
  <c r="E1181" i="1"/>
  <c r="E1634" i="1"/>
  <c r="E1194" i="1"/>
  <c r="E1428" i="1"/>
  <c r="E74" i="1"/>
  <c r="E1383" i="1"/>
  <c r="E885" i="1"/>
  <c r="E993" i="1"/>
  <c r="E1809" i="1"/>
  <c r="E1480" i="1"/>
  <c r="E1173" i="1"/>
  <c r="E1335" i="1"/>
  <c r="E1619" i="1"/>
  <c r="E1002" i="1"/>
  <c r="E1447" i="1"/>
  <c r="E725" i="1"/>
  <c r="E1707" i="1"/>
  <c r="E418" i="1"/>
  <c r="E782" i="1"/>
  <c r="E517" i="1"/>
  <c r="E1397" i="1"/>
  <c r="E1848" i="1"/>
  <c r="E1077" i="1"/>
  <c r="E812" i="1"/>
  <c r="E1647" i="1"/>
  <c r="E1556" i="1"/>
  <c r="E1265" i="1"/>
  <c r="E1753" i="1"/>
  <c r="E161" i="1"/>
  <c r="E253" i="1"/>
  <c r="E364" i="1"/>
  <c r="E1981" i="1"/>
  <c r="E1666" i="1"/>
  <c r="E1885" i="1"/>
  <c r="E1318" i="1"/>
  <c r="E717" i="1"/>
  <c r="E903" i="1"/>
  <c r="E741" i="1"/>
  <c r="E222" i="1"/>
  <c r="E1571" i="1"/>
  <c r="E1208" i="1"/>
  <c r="E313" i="1"/>
  <c r="E1642" i="1"/>
  <c r="E1973" i="1"/>
  <c r="E437" i="1"/>
  <c r="E726" i="1"/>
  <c r="E1010" i="1"/>
  <c r="E1854" i="1"/>
  <c r="E1682" i="1"/>
  <c r="E298" i="1"/>
  <c r="E1721" i="1"/>
  <c r="E1051" i="1"/>
  <c r="E1095" i="1"/>
  <c r="E1267" i="1"/>
  <c r="E1426" i="1"/>
  <c r="E910" i="1"/>
  <c r="E1022" i="1"/>
  <c r="E1424" i="1"/>
  <c r="E1404" i="1"/>
  <c r="E1612" i="1"/>
  <c r="E1598" i="1"/>
  <c r="E1429" i="1"/>
  <c r="E1286" i="1"/>
  <c r="E1186" i="1"/>
  <c r="E291" i="1"/>
  <c r="E469" i="1"/>
  <c r="E1597" i="1"/>
  <c r="E1921" i="1"/>
  <c r="E1150" i="1"/>
  <c r="E1089" i="1"/>
  <c r="E870" i="1"/>
  <c r="E1180" i="1"/>
  <c r="E1347" i="1"/>
  <c r="E938" i="1"/>
  <c r="E924" i="1"/>
  <c r="E272" i="1"/>
  <c r="E1345" i="1"/>
  <c r="E1958" i="1"/>
  <c r="E927" i="1"/>
  <c r="E614" i="1"/>
  <c r="E379" i="1"/>
  <c r="E977" i="1"/>
  <c r="E1643" i="1"/>
  <c r="E931" i="1"/>
  <c r="E905" i="1"/>
  <c r="E155" i="1"/>
  <c r="E961" i="1"/>
  <c r="E1591" i="1"/>
  <c r="E848" i="1"/>
  <c r="E475" i="1"/>
  <c r="E1373" i="1"/>
  <c r="E1331" i="1"/>
  <c r="E650" i="1"/>
  <c r="E831" i="1"/>
  <c r="E1930" i="1"/>
  <c r="E1705" i="1"/>
  <c r="E1242" i="1"/>
  <c r="E88" i="1"/>
  <c r="E734" i="1"/>
  <c r="E319" i="1"/>
  <c r="E1745" i="1"/>
  <c r="E561" i="1"/>
  <c r="E85" i="1"/>
  <c r="E618" i="1"/>
  <c r="E953" i="1"/>
  <c r="E184" i="1"/>
  <c r="E1391" i="1"/>
  <c r="E1770" i="1"/>
  <c r="E1871" i="1"/>
  <c r="E62" i="1"/>
  <c r="E1107" i="1"/>
  <c r="E1229" i="1"/>
  <c r="E458" i="1"/>
  <c r="E1505" i="1"/>
  <c r="E1493" i="1"/>
  <c r="E1272" i="1"/>
  <c r="E777" i="1"/>
  <c r="E1957" i="1"/>
  <c r="E1520" i="1"/>
  <c r="E1015" i="1"/>
  <c r="E1323" i="1"/>
  <c r="E946" i="1"/>
  <c r="E675" i="1"/>
  <c r="E1351" i="1"/>
  <c r="E397" i="1"/>
  <c r="E1755" i="1"/>
  <c r="E646" i="1"/>
  <c r="E1453" i="1"/>
  <c r="E1270" i="1"/>
  <c r="E981" i="1"/>
  <c r="E775" i="1"/>
  <c r="E341" i="1"/>
  <c r="E1502" i="1"/>
  <c r="E1546" i="1"/>
  <c r="E825" i="1"/>
  <c r="E1877" i="1"/>
  <c r="E1328" i="1"/>
  <c r="E535" i="1"/>
  <c r="E979" i="1"/>
  <c r="E1574" i="1"/>
  <c r="E672" i="1"/>
  <c r="E1253" i="1"/>
  <c r="E1698" i="1"/>
  <c r="E569" i="1"/>
  <c r="E1544" i="1"/>
  <c r="E1146" i="1"/>
  <c r="E1843" i="1"/>
  <c r="E438" i="1"/>
  <c r="E353" i="1"/>
  <c r="E219" i="1"/>
  <c r="E1378" i="1"/>
  <c r="E1675" i="1"/>
  <c r="E354" i="1"/>
  <c r="E622" i="1"/>
  <c r="E466" i="1"/>
  <c r="E1833" i="1"/>
  <c r="E867" i="1"/>
  <c r="E1159" i="1"/>
  <c r="E35" i="1"/>
  <c r="E1645" i="1"/>
  <c r="E1506" i="1"/>
  <c r="E1718" i="1"/>
  <c r="E357" i="1"/>
  <c r="E346" i="1"/>
  <c r="E1302" i="1"/>
  <c r="E443" i="1"/>
  <c r="E1410" i="1"/>
  <c r="E1792" i="1"/>
  <c r="E487" i="1"/>
  <c r="E768" i="1"/>
  <c r="E1946" i="1"/>
  <c r="E280" i="1"/>
  <c r="E153" i="1"/>
  <c r="E112" i="1"/>
  <c r="E1771" i="1"/>
  <c r="E1070" i="1"/>
  <c r="E13" i="1"/>
  <c r="E214" i="1"/>
  <c r="E1530" i="1"/>
  <c r="E1471" i="1"/>
  <c r="E1673" i="1"/>
  <c r="E907" i="1"/>
  <c r="E548" i="1"/>
  <c r="E1090" i="1"/>
  <c r="E1206" i="1"/>
  <c r="E1963" i="1"/>
  <c r="E863" i="1"/>
  <c r="E815" i="1"/>
  <c r="E1350" i="1"/>
  <c r="E1696" i="1"/>
  <c r="E577" i="1"/>
  <c r="E1691" i="1"/>
  <c r="E1636" i="1"/>
  <c r="E195" i="1"/>
  <c r="E996" i="1"/>
  <c r="E1704" i="1"/>
  <c r="E1072" i="1"/>
  <c r="E876" i="1"/>
  <c r="E1177" i="1"/>
  <c r="E1821" i="1"/>
  <c r="E1869" i="1"/>
  <c r="E106" i="1"/>
  <c r="E1827" i="1"/>
  <c r="E275" i="1"/>
  <c r="E1808" i="1"/>
  <c r="E1455" i="1"/>
  <c r="E77" i="1"/>
  <c r="E1733" i="1"/>
  <c r="E1440" i="1"/>
  <c r="E199" i="1"/>
  <c r="E1778" i="1"/>
  <c r="E1865" i="1"/>
  <c r="E1630" i="1"/>
  <c r="E988" i="1"/>
  <c r="E373" i="1"/>
  <c r="E3" i="1"/>
  <c r="E1588" i="1"/>
  <c r="E1754" i="1"/>
  <c r="E813" i="1"/>
  <c r="E441" i="1"/>
  <c r="E1100" i="1"/>
  <c r="E1594" i="1"/>
  <c r="E755" i="1"/>
  <c r="E52" i="1"/>
  <c r="E773" i="1"/>
  <c r="E894" i="1"/>
  <c r="E1722" i="1"/>
  <c r="E433" i="1"/>
  <c r="E1157" i="1"/>
  <c r="E1446" i="1"/>
  <c r="E422" i="1"/>
  <c r="E1234" i="1"/>
  <c r="E1228" i="1"/>
  <c r="E415" i="1"/>
  <c r="E1076" i="1"/>
  <c r="E305" i="1"/>
  <c r="E526" i="1"/>
  <c r="E1581" i="1"/>
  <c r="E509" i="1"/>
  <c r="E1513" i="1"/>
  <c r="E1324" i="1"/>
  <c r="E1201" i="1"/>
  <c r="E901" i="1"/>
  <c r="E1271" i="1"/>
  <c r="E1487" i="1"/>
  <c r="E1765" i="1"/>
  <c r="E1713" i="1"/>
  <c r="E1994" i="1"/>
  <c r="E790" i="1"/>
  <c r="E747" i="1"/>
  <c r="E1596" i="1"/>
  <c r="E1709" i="1"/>
  <c r="E537" i="1"/>
  <c r="E134" i="1"/>
  <c r="E1023" i="1"/>
  <c r="E1093" i="1"/>
  <c r="E239" i="1"/>
  <c r="E1344" i="1"/>
  <c r="E216" i="1"/>
  <c r="E1221" i="1"/>
  <c r="E1919" i="1"/>
  <c r="E1535" i="1"/>
  <c r="E1913" i="1"/>
  <c r="E1651" i="1"/>
  <c r="E1238" i="1"/>
  <c r="E1966" i="1"/>
  <c r="E595" i="1"/>
  <c r="E1296" i="1"/>
  <c r="E994" i="1"/>
  <c r="E323" i="1"/>
  <c r="E1810" i="1"/>
  <c r="E1632" i="1"/>
  <c r="E70" i="1"/>
  <c r="E785" i="1"/>
  <c r="E1559" i="1"/>
  <c r="E1038" i="1"/>
  <c r="E669" i="1"/>
  <c r="E1004" i="1"/>
  <c r="E241" i="1"/>
  <c r="E96" i="1"/>
  <c r="E579" i="1"/>
  <c r="E1798" i="1"/>
  <c r="E1231" i="1"/>
  <c r="E859" i="1"/>
  <c r="E1355" i="1"/>
  <c r="E1873" i="1"/>
  <c r="E1658" i="1"/>
  <c r="E1483" i="1"/>
  <c r="E951" i="1"/>
  <c r="E1325" i="1"/>
  <c r="E1706" i="1"/>
  <c r="E1668" i="1"/>
  <c r="E152" i="1"/>
  <c r="E211" i="1"/>
  <c r="E1644" i="1"/>
  <c r="E1980" i="1"/>
  <c r="E1293" i="1"/>
  <c r="E739" i="1"/>
  <c r="E1458" i="1"/>
  <c r="E203" i="1"/>
  <c r="E1262" i="1"/>
  <c r="E889" i="1"/>
  <c r="E1929" i="1"/>
  <c r="E175" i="1"/>
  <c r="E71" i="1"/>
  <c r="E1261" i="1"/>
  <c r="E479" i="1"/>
  <c r="E1360" i="1"/>
  <c r="E828" i="1"/>
  <c r="E1210" i="1"/>
  <c r="E144" i="1"/>
  <c r="E440" i="1"/>
  <c r="E1829" i="1"/>
  <c r="E61" i="1"/>
  <c r="E1767" i="1"/>
  <c r="E1059" i="1"/>
  <c r="E57" i="1"/>
  <c r="E1368" i="1"/>
  <c r="E1252" i="1"/>
  <c r="E279" i="1"/>
  <c r="E1768" i="1"/>
  <c r="E1102" i="1"/>
  <c r="E1909" i="1"/>
  <c r="E1187" i="1"/>
  <c r="E1155" i="1"/>
  <c r="E1624" i="1"/>
  <c r="E1557" i="1"/>
  <c r="E330" i="1"/>
  <c r="E685" i="1"/>
  <c r="E159" i="1"/>
  <c r="E559" i="1"/>
  <c r="E439" i="1"/>
  <c r="E1235" i="1"/>
  <c r="E638" i="1"/>
  <c r="E1178" i="1"/>
  <c r="E403" i="1"/>
  <c r="E862" i="1"/>
  <c r="E429" i="1"/>
  <c r="E944" i="1"/>
  <c r="E263" i="1"/>
  <c r="E1837" i="1"/>
  <c r="E426" i="1"/>
  <c r="E1291" i="1"/>
  <c r="E1195" i="1"/>
  <c r="E119" i="1"/>
  <c r="E703" i="1"/>
  <c r="E921" i="1"/>
  <c r="E446" i="1"/>
  <c r="E1372" i="1"/>
  <c r="E1945" i="1"/>
  <c r="E1784" i="1"/>
  <c r="E1846" i="1"/>
  <c r="E596" i="1"/>
  <c r="E1288" i="1"/>
  <c r="E399" i="1"/>
  <c r="E1661" i="1"/>
  <c r="E1881" i="1"/>
  <c r="E1445" i="1"/>
  <c r="E599" i="1"/>
  <c r="E954" i="1"/>
  <c r="E1096" i="1"/>
  <c r="E400" i="1"/>
  <c r="E552" i="1"/>
  <c r="E39" i="1"/>
  <c r="E1782" i="1"/>
  <c r="E1082" i="1"/>
  <c r="E1926" i="1"/>
  <c r="E525" i="1"/>
  <c r="E398" i="1"/>
  <c r="E1125" i="1"/>
  <c r="E1523" i="1"/>
  <c r="E589" i="1"/>
  <c r="E187" i="1"/>
  <c r="E713" i="1"/>
  <c r="E336" i="1"/>
  <c r="E317" i="1"/>
  <c r="E1795" i="1"/>
  <c r="E381" i="1"/>
  <c r="E1158" i="1"/>
  <c r="E968" i="1"/>
  <c r="E231" i="1"/>
  <c r="E647" i="1"/>
  <c r="E1255" i="1"/>
  <c r="E966" i="1"/>
  <c r="E948" i="1"/>
  <c r="E455" i="1"/>
  <c r="E1463" i="1"/>
  <c r="E957" i="1"/>
  <c r="E471" i="1"/>
  <c r="E178" i="1"/>
  <c r="E198" i="1"/>
  <c r="E882" i="1"/>
  <c r="E1346" i="1"/>
  <c r="E262" i="1"/>
  <c r="E1339" i="1"/>
  <c r="E670" i="1"/>
  <c r="E1959" i="1"/>
  <c r="E1084" i="1"/>
  <c r="E1565" i="1"/>
  <c r="E47" i="1"/>
  <c r="E1991" i="1"/>
  <c r="E105" i="1"/>
  <c r="E1974" i="1"/>
  <c r="E899" i="1"/>
  <c r="E1058" i="1"/>
  <c r="E423" i="1"/>
  <c r="E839" i="1"/>
  <c r="E652" i="1"/>
  <c r="E809" i="1"/>
  <c r="E1449" i="1"/>
  <c r="E1521" i="1"/>
  <c r="E465" i="1"/>
  <c r="E1526" i="1"/>
  <c r="E375" i="1"/>
  <c r="E556" i="1"/>
  <c r="E1496" i="1"/>
  <c r="E1928" i="1"/>
  <c r="E31" i="1"/>
  <c r="E816" i="1"/>
  <c r="E1788" i="1"/>
  <c r="E421" i="1"/>
  <c r="E401" i="1"/>
  <c r="E1225" i="1"/>
  <c r="E1640" i="1"/>
  <c r="E1131" i="1"/>
  <c r="E845" i="1"/>
  <c r="E154" i="1"/>
  <c r="E715" i="1"/>
  <c r="E166" i="1"/>
  <c r="E121" i="1"/>
  <c r="E798" i="1"/>
  <c r="E1088" i="1"/>
  <c r="E405" i="1"/>
  <c r="E719" i="1"/>
  <c r="E920" i="1"/>
  <c r="E1786" i="1"/>
  <c r="E508" i="1"/>
  <c r="E249" i="1"/>
  <c r="E485" i="1"/>
  <c r="E307" i="1"/>
  <c r="E1621" i="1"/>
  <c r="E1816" i="1"/>
  <c r="E540" i="1"/>
  <c r="E387" i="1"/>
  <c r="E110" i="1"/>
  <c r="E1319" i="1"/>
  <c r="E629" i="1"/>
  <c r="E1529" i="1"/>
  <c r="E1472" i="1"/>
  <c r="E736" i="1"/>
  <c r="E1978" i="1"/>
  <c r="E1028" i="1"/>
  <c r="E1099" i="1"/>
  <c r="E958" i="1"/>
  <c r="E1979" i="1"/>
  <c r="E1139" i="1"/>
  <c r="E1203" i="1"/>
  <c r="E1405" i="1"/>
  <c r="E1563" i="1"/>
  <c r="E24" i="1"/>
  <c r="E1824" i="1"/>
  <c r="E1012" i="1"/>
  <c r="E791" i="1"/>
  <c r="E1479" i="1"/>
  <c r="E1184" i="1"/>
  <c r="E1461" i="1"/>
  <c r="E770" i="1"/>
  <c r="E384" i="1"/>
  <c r="E1774" i="1"/>
  <c r="E1570" i="1"/>
  <c r="E6" i="1"/>
  <c r="E1130" i="1"/>
  <c r="E1290" i="1"/>
  <c r="E608" i="1"/>
  <c r="E230" i="1"/>
  <c r="E864" i="1"/>
  <c r="E1825" i="1"/>
  <c r="E898" i="1"/>
  <c r="E1990" i="1"/>
  <c r="E160" i="1"/>
  <c r="E659" i="1"/>
  <c r="E1213" i="1"/>
  <c r="E1250" i="1"/>
  <c r="E1384" i="1"/>
  <c r="E456" i="1"/>
  <c r="E79" i="1"/>
  <c r="E1282" i="1"/>
  <c r="E1162" i="1"/>
  <c r="E1924" i="1"/>
  <c r="E1738" i="1"/>
  <c r="E1494" i="1"/>
  <c r="E998" i="1"/>
  <c r="E1922" i="1"/>
  <c r="E505" i="1"/>
  <c r="E395" i="1"/>
  <c r="E1672" i="1"/>
  <c r="E502" i="1"/>
  <c r="E1880" i="1"/>
  <c r="E1330" i="1"/>
  <c r="E294" i="1"/>
  <c r="E1147" i="1"/>
  <c r="E1239" i="1"/>
  <c r="E181" i="1"/>
  <c r="E997" i="1"/>
  <c r="E1000" i="1"/>
  <c r="E705" i="1"/>
  <c r="E360" i="1"/>
  <c r="E1884" i="1"/>
  <c r="E1785" i="1"/>
  <c r="E1680" i="1"/>
  <c r="E1524" i="1"/>
  <c r="E1983" i="1"/>
  <c r="E855" i="1"/>
  <c r="E1988" i="1"/>
  <c r="E4" i="1"/>
  <c r="E1635" i="1"/>
  <c r="E520" i="1"/>
  <c r="E1558" i="1"/>
  <c r="E345" i="1"/>
  <c r="E1161" i="1"/>
  <c r="E1185" i="1"/>
  <c r="E1232" i="1"/>
  <c r="E1839" i="1"/>
  <c r="E1790" i="1"/>
  <c r="E1192" i="1"/>
  <c r="E1804" i="1"/>
  <c r="E499" i="1"/>
  <c r="E481" i="1"/>
  <c r="E480" i="1"/>
  <c r="E1758" i="1"/>
  <c r="E587" i="1"/>
  <c r="E1772" i="1"/>
  <c r="E1013" i="1"/>
  <c r="E67" i="1"/>
  <c r="E841" i="1"/>
  <c r="E601" i="1"/>
  <c r="E1386" i="1"/>
  <c r="E1124" i="1"/>
  <c r="E1969" i="1"/>
  <c r="E133" i="1"/>
  <c r="E976" i="1"/>
  <c r="E1690" i="1"/>
  <c r="E1522" i="1"/>
  <c r="E78" i="1"/>
  <c r="E879" i="1"/>
  <c r="E1537" i="1"/>
  <c r="E367" i="1"/>
  <c r="E661" i="1"/>
  <c r="E167" i="1"/>
  <c r="E616" i="1"/>
  <c r="E964" i="1"/>
  <c r="E1519" i="1"/>
  <c r="E1212" i="1"/>
  <c r="E896" i="1"/>
  <c r="E521" i="1"/>
  <c r="E1176" i="1"/>
  <c r="E774" i="1"/>
  <c r="E42" i="1"/>
  <c r="E1609" i="1"/>
  <c r="E1007" i="1"/>
  <c r="E1342" i="1"/>
  <c r="E1912" i="1"/>
  <c r="E1763" i="1"/>
  <c r="E1375" i="1"/>
  <c r="E1882" i="1"/>
  <c r="E860" i="1"/>
  <c r="E164" i="1"/>
  <c r="E173" i="1"/>
  <c r="E36" i="1"/>
  <c r="E1117" i="1"/>
  <c r="E434" i="1"/>
  <c r="E344" i="1"/>
  <c r="E1622" i="1"/>
  <c r="E627" i="1"/>
  <c r="E807" i="1"/>
  <c r="E974" i="1"/>
  <c r="E320" i="1"/>
  <c r="E1313" i="1"/>
  <c r="E1489" i="1"/>
  <c r="E1769" i="1"/>
  <c r="E640" i="1"/>
  <c r="E738" i="1"/>
  <c r="E729" i="1"/>
  <c r="E495" i="1"/>
  <c r="E878" i="1"/>
  <c r="E1870" i="1"/>
  <c r="E1500" i="1"/>
  <c r="E1281" i="1"/>
  <c r="E113" i="1"/>
  <c r="E1144" i="1"/>
  <c r="E1054" i="1"/>
  <c r="E1711" i="1"/>
  <c r="E118" i="1"/>
  <c r="E1009" i="1"/>
  <c r="E1202" i="1"/>
  <c r="E682" i="1"/>
  <c r="E1917" i="1"/>
  <c r="E1078" i="1"/>
  <c r="E1968" i="1"/>
  <c r="E225" i="1"/>
  <c r="E451" i="1"/>
  <c r="E516" i="1"/>
  <c r="E1756" i="1"/>
  <c r="E1618" i="1"/>
  <c r="E963" i="1"/>
  <c r="E139" i="1"/>
  <c r="E538" i="1"/>
  <c r="E1354" i="1"/>
  <c r="E1600" i="1"/>
  <c r="E633" i="1"/>
  <c r="E970" i="1"/>
  <c r="E370" i="1"/>
  <c r="E1341" i="1"/>
  <c r="E1174" i="1"/>
  <c r="E1337" i="1"/>
  <c r="E1416" i="1"/>
  <c r="E1389" i="1"/>
  <c r="E1412" i="1"/>
  <c r="E1462" i="1"/>
  <c r="E1620" i="1"/>
  <c r="E895" i="1"/>
  <c r="E1406" i="1"/>
  <c r="E623" i="1"/>
  <c r="E296" i="1"/>
  <c r="E969" i="1"/>
  <c r="E1601" i="1"/>
  <c r="E733" i="1"/>
  <c r="E1299" i="1"/>
  <c r="E229" i="1"/>
  <c r="E532" i="1"/>
  <c r="E1538" i="1"/>
  <c r="E484" i="1"/>
  <c r="E247" i="1"/>
  <c r="E689" i="1"/>
  <c r="E1893" i="1"/>
  <c r="E1411" i="1"/>
  <c r="E1623" i="1"/>
  <c r="E941" i="1"/>
  <c r="E584" i="1"/>
  <c r="E92" i="1"/>
  <c r="E1787" i="1"/>
  <c r="E33" i="1"/>
  <c r="E1998" i="1"/>
  <c r="E196" i="1"/>
  <c r="E358" i="1"/>
  <c r="E445" i="1"/>
  <c r="E111" i="1"/>
  <c r="E252" i="1"/>
  <c r="E919" i="1"/>
  <c r="E925" i="1"/>
  <c r="E316" i="1"/>
  <c r="E651" i="1"/>
  <c r="E1997" i="1"/>
  <c r="E420" i="1"/>
  <c r="E1688" i="1"/>
  <c r="E707" i="1"/>
  <c r="E730" i="1"/>
  <c r="E369" i="1"/>
  <c r="E600" i="1"/>
  <c r="E1879" i="1"/>
  <c r="E1764" i="1"/>
  <c r="E1587" i="1"/>
  <c r="E624" i="1"/>
  <c r="E665" i="1"/>
  <c r="E312" i="1"/>
  <c r="E297" i="1"/>
  <c r="E1140" i="1"/>
  <c r="E1385" i="1"/>
  <c r="E1872" i="1"/>
  <c r="E1975" i="1"/>
  <c r="E1098" i="1"/>
  <c r="E182" i="1"/>
  <c r="E1826" i="1"/>
  <c r="E678" i="1"/>
  <c r="E547" i="1"/>
  <c r="E170" i="1"/>
  <c r="E1005" i="1"/>
  <c r="E1762" i="1"/>
  <c r="E1380" i="1"/>
  <c r="E605" i="1"/>
  <c r="E1300" i="1"/>
  <c r="E72" i="1"/>
  <c r="E827" i="1"/>
  <c r="E783" i="1"/>
  <c r="E171" i="1"/>
  <c r="E1607" i="1"/>
  <c r="E259" i="1"/>
  <c r="E1400" i="1"/>
  <c r="E1918" i="1"/>
  <c r="E1941" i="1"/>
  <c r="E1434" i="1"/>
  <c r="E1257" i="1"/>
  <c r="E662" i="1"/>
  <c r="E1452" i="1"/>
  <c r="E1071" i="1"/>
  <c r="E1971" i="1"/>
  <c r="E25" i="1"/>
  <c r="E83" i="1"/>
  <c r="E545" i="1"/>
  <c r="E68" i="1"/>
  <c r="E1011" i="1"/>
  <c r="E416" i="1"/>
  <c r="E1548" i="1"/>
  <c r="E767" i="1"/>
  <c r="E1660" i="1"/>
  <c r="E1694" i="1"/>
  <c r="E1796" i="1"/>
  <c r="E228" i="1"/>
  <c r="E1163" i="1"/>
  <c r="E1832" i="1"/>
  <c r="E1889" i="1"/>
  <c r="E1970" i="1"/>
  <c r="E1133" i="1"/>
  <c r="E1066" i="1"/>
  <c r="E1258" i="1"/>
  <c r="E496" i="1"/>
  <c r="E1875" i="1"/>
  <c r="E541" i="1"/>
  <c r="E1789" i="1"/>
  <c r="E937" i="1"/>
  <c r="E84" i="1"/>
  <c r="E611" i="1"/>
  <c r="E234" i="1"/>
  <c r="E194" i="1"/>
  <c r="E846" i="1"/>
  <c r="E760" i="1"/>
  <c r="E303" i="1"/>
  <c r="E985" i="1"/>
  <c r="E1046" i="1"/>
  <c r="E727" i="1"/>
  <c r="E1094" i="1"/>
  <c r="E1972" i="1"/>
  <c r="E823" i="1"/>
  <c r="E135" i="1"/>
  <c r="E282" i="1"/>
  <c r="E1027" i="1"/>
  <c r="E1482" i="1"/>
  <c r="E922" i="1"/>
  <c r="E1320" i="1"/>
  <c r="E893" i="1"/>
  <c r="E267" i="1"/>
  <c r="E950" i="1"/>
  <c r="E49" i="1"/>
  <c r="E904" i="1"/>
  <c r="E906" i="1"/>
  <c r="E494" i="1"/>
  <c r="E644" i="1"/>
  <c r="E1105" i="1"/>
  <c r="E840" i="1"/>
  <c r="E838" i="1"/>
  <c r="E29" i="1"/>
  <c r="E368" i="1"/>
  <c r="E128" i="1"/>
  <c r="E104" i="1"/>
  <c r="E1053" i="1"/>
  <c r="E1422" i="1"/>
  <c r="E1364" i="1"/>
  <c r="E217" i="1"/>
  <c r="E544" i="1"/>
  <c r="E233" i="1"/>
  <c r="E654" i="1"/>
  <c r="E1292" i="1"/>
  <c r="E1906" i="1"/>
  <c r="E1408" i="1"/>
  <c r="E270" i="1"/>
  <c r="E386" i="1"/>
  <c r="E1700" i="1"/>
  <c r="E151" i="1"/>
  <c r="E1442" i="1"/>
  <c r="E955" i="1"/>
  <c r="E1701" i="1"/>
  <c r="E123" i="1"/>
  <c r="E1724" i="1"/>
  <c r="E936" i="1"/>
  <c r="E588" i="1"/>
  <c r="E436" i="1"/>
  <c r="E1534" i="1"/>
  <c r="E582" i="1"/>
  <c r="E37" i="1"/>
  <c r="E1744" i="1"/>
  <c r="E145" i="1"/>
  <c r="E1044" i="1"/>
  <c r="E620" i="1"/>
  <c r="E1863" i="1"/>
  <c r="E1050" i="1"/>
  <c r="E603" i="1"/>
  <c r="E1652" i="1"/>
  <c r="E808" i="1"/>
  <c r="E1209" i="1"/>
  <c r="E914" i="1"/>
  <c r="E244" i="1"/>
  <c r="E1748" i="1"/>
  <c r="E1532" i="1"/>
  <c r="E1062" i="1"/>
  <c r="E1953" i="1"/>
  <c r="E804" i="1"/>
  <c r="E470" i="1"/>
  <c r="E1897" i="1"/>
  <c r="E136" i="1"/>
  <c r="E1118" i="1"/>
  <c r="E1276" i="1"/>
  <c r="E1904" i="1"/>
  <c r="E1423" i="1"/>
  <c r="E201" i="1"/>
  <c r="E347" i="1"/>
  <c r="E1703" i="1"/>
  <c r="E1317" i="1"/>
  <c r="E929" i="1"/>
  <c r="E1315" i="1"/>
  <c r="E1441" i="1"/>
  <c r="E41" i="1"/>
  <c r="E1726" i="1"/>
  <c r="E332" i="1"/>
  <c r="E1128" i="1"/>
  <c r="E1069" i="1"/>
  <c r="E1352" i="1"/>
  <c r="E1503" i="1"/>
  <c r="E1439" i="1"/>
  <c r="E1241" i="1"/>
  <c r="E692" i="1"/>
  <c r="E1938" i="1"/>
  <c r="E385" i="1"/>
  <c r="E1419" i="1"/>
  <c r="E147" i="1"/>
  <c r="E837" i="1"/>
  <c r="E1175" i="1"/>
  <c r="E1294" i="1"/>
  <c r="E1853" i="1"/>
  <c r="E543" i="1"/>
  <c r="E501" i="1"/>
  <c r="E1878" i="1"/>
  <c r="E758" i="1"/>
  <c r="E1259" i="1"/>
  <c r="E449" i="1"/>
  <c r="E102" i="1"/>
  <c r="E1189" i="1"/>
  <c r="E698" i="1"/>
  <c r="E1256" i="1"/>
  <c r="E712" i="1"/>
  <c r="E322" i="1"/>
  <c r="E406" i="1"/>
  <c r="E527" i="1"/>
  <c r="E287" i="1"/>
  <c r="E1499" i="1"/>
  <c r="E10" i="1"/>
  <c r="E476" i="1"/>
  <c r="E928" i="1"/>
  <c r="E821" i="1"/>
  <c r="E1264" i="1"/>
  <c r="E137" i="1"/>
  <c r="E407" i="1"/>
  <c r="E1137" i="1"/>
  <c r="E69" i="1"/>
  <c r="E1349" i="1"/>
  <c r="E390" i="1"/>
  <c r="E1960" i="1"/>
  <c r="E30" i="1"/>
  <c r="E281" i="1"/>
  <c r="E435" i="1"/>
  <c r="E766" i="1"/>
  <c r="E273" i="1"/>
  <c r="E1249" i="1"/>
  <c r="E1732" i="1"/>
  <c r="E349" i="1"/>
  <c r="E191" i="1"/>
  <c r="E750" i="1"/>
  <c r="E1517" i="1"/>
  <c r="E1183" i="1"/>
  <c r="E1955" i="1"/>
  <c r="E1951" i="1"/>
  <c r="E1539" i="1"/>
  <c r="E1097" i="1"/>
  <c r="E1648" i="1"/>
  <c r="E1735" i="1"/>
  <c r="E1106" i="1"/>
  <c r="E404" i="1"/>
  <c r="E1933" i="1"/>
  <c r="E1697" i="1"/>
  <c r="E514" i="1"/>
  <c r="E912" i="1"/>
  <c r="E97" i="1"/>
  <c r="E666" i="1"/>
  <c r="E507" i="1"/>
  <c r="E935" i="1"/>
  <c r="E995" i="1"/>
  <c r="E757" i="1"/>
  <c r="E1920" i="1"/>
  <c r="E158" i="1"/>
  <c r="E1943" i="1"/>
  <c r="E1876" i="1"/>
  <c r="E759" i="1"/>
  <c r="E1890" i="1"/>
  <c r="E1580" i="1"/>
  <c r="E1333" i="1"/>
  <c r="E653" i="1"/>
  <c r="E366" i="1"/>
  <c r="E1457" i="1"/>
  <c r="E331" i="1"/>
  <c r="E264" i="1"/>
  <c r="E930" i="1"/>
  <c r="E1197" i="1"/>
  <c r="E163" i="1"/>
  <c r="E362" i="1"/>
  <c r="E1773" i="1"/>
  <c r="E1614" i="1"/>
  <c r="E1303" i="1"/>
  <c r="E1273" i="1"/>
  <c r="E1039" i="1"/>
  <c r="E800" i="1"/>
  <c r="E934" i="1"/>
  <c r="E1525" i="1"/>
  <c r="E18" i="1"/>
  <c r="E1121" i="1"/>
  <c r="E308" i="1"/>
  <c r="E447" i="1"/>
  <c r="E1940" i="1"/>
  <c r="E980" i="1"/>
  <c r="E820" i="1"/>
  <c r="E392" i="1"/>
  <c r="E53" i="1"/>
  <c r="E566" i="1"/>
  <c r="E1451" i="1"/>
  <c r="E1200" i="1"/>
  <c r="E1847" i="1"/>
  <c r="E1542" i="1"/>
  <c r="E564" i="1"/>
  <c r="E1934" i="1"/>
  <c r="E1820" i="1"/>
  <c r="E350" i="1"/>
  <c r="E1982" i="1"/>
  <c r="E617" i="1"/>
  <c r="E881" i="1"/>
  <c r="E1045" i="1"/>
  <c r="E631" i="1"/>
  <c r="E1818" i="1"/>
  <c r="E223" i="1"/>
  <c r="E1993" i="1"/>
  <c r="E1615" i="1"/>
  <c r="E168" i="1"/>
  <c r="E1560" i="1"/>
  <c r="E75" i="1"/>
  <c r="E326" i="1"/>
  <c r="E1717" i="1"/>
  <c r="E1962" i="1"/>
  <c r="E1684" i="1"/>
  <c r="E1842" i="1"/>
  <c r="E1723" i="1"/>
  <c r="E1646" i="1"/>
  <c r="E972" i="1"/>
  <c r="E1555" i="1"/>
  <c r="E276" i="1"/>
  <c r="E1134" i="1"/>
  <c r="E376" i="1"/>
  <c r="E213" i="1"/>
  <c r="E240" i="1"/>
  <c r="E753" i="1"/>
  <c r="E857" i="1"/>
  <c r="E1566" i="1"/>
  <c r="E1944" i="1"/>
  <c r="E1811" i="1"/>
  <c r="E1562" i="1"/>
  <c r="E452" i="1"/>
  <c r="E101" i="1"/>
  <c r="E752" i="1"/>
  <c r="E1399" i="1"/>
  <c r="E1830" i="1"/>
  <c r="E410" i="1"/>
  <c r="E371" i="1"/>
  <c r="E361" i="1"/>
  <c r="E1425" i="1"/>
  <c r="E351" i="1"/>
  <c r="E1277" i="1"/>
  <c r="E50" i="1"/>
  <c r="E700" i="1"/>
  <c r="E1123" i="1"/>
  <c r="E1819" i="1"/>
  <c r="E1891" i="1"/>
  <c r="E853" i="1"/>
  <c r="E125" i="1"/>
  <c r="E59" i="1"/>
  <c r="E776" i="1"/>
  <c r="E1670" i="1"/>
  <c r="E180" i="1"/>
  <c r="E1887" i="1"/>
  <c r="E1857" i="1"/>
  <c r="E687" i="1"/>
  <c r="E1143" i="1"/>
  <c r="E1687" i="1"/>
  <c r="E724" i="1"/>
  <c r="E243" i="1"/>
  <c r="E1006" i="1"/>
  <c r="E1995" i="1"/>
  <c r="E861" i="1"/>
  <c r="E186" i="1"/>
  <c r="K186" i="1" l="1"/>
  <c r="L186" i="1" s="1"/>
  <c r="K861" i="1"/>
  <c r="L861" i="1" s="1"/>
  <c r="K1995" i="1"/>
  <c r="L1995" i="1" s="1"/>
  <c r="K1006" i="1"/>
  <c r="L1006" i="1" s="1"/>
  <c r="K243" i="1"/>
  <c r="L243" i="1" s="1"/>
  <c r="K724" i="1"/>
  <c r="L724" i="1" s="1"/>
  <c r="K1687" i="1"/>
  <c r="L1687" i="1" s="1"/>
  <c r="K1143" i="1"/>
  <c r="L1143" i="1" s="1"/>
  <c r="K687" i="1"/>
  <c r="L687" i="1" s="1"/>
  <c r="K1857" i="1"/>
  <c r="L1857" i="1" s="1"/>
  <c r="K1887" i="1"/>
  <c r="L1887" i="1" s="1"/>
  <c r="K180" i="1"/>
  <c r="L180" i="1" s="1"/>
  <c r="K1670" i="1"/>
  <c r="L1670" i="1" s="1"/>
  <c r="K776" i="1"/>
  <c r="L776" i="1" s="1"/>
  <c r="K59" i="1"/>
  <c r="L59" i="1" s="1"/>
  <c r="K125" i="1"/>
  <c r="L125" i="1" s="1"/>
  <c r="K853" i="1"/>
  <c r="L853" i="1" s="1"/>
  <c r="K1891" i="1"/>
  <c r="L1891" i="1" s="1"/>
  <c r="K1819" i="1"/>
  <c r="L1819" i="1" s="1"/>
  <c r="K1123" i="1"/>
  <c r="L1123" i="1" s="1"/>
  <c r="K700" i="1"/>
  <c r="L700" i="1" s="1"/>
  <c r="K50" i="1"/>
  <c r="L50" i="1" s="1"/>
  <c r="K1277" i="1"/>
  <c r="L1277" i="1" s="1"/>
  <c r="K351" i="1"/>
  <c r="L351" i="1" s="1"/>
  <c r="K1425" i="1"/>
  <c r="L1425" i="1" s="1"/>
  <c r="K361" i="1"/>
  <c r="L361" i="1" s="1"/>
  <c r="K371" i="1"/>
  <c r="L371" i="1" s="1"/>
  <c r="K410" i="1"/>
  <c r="L410" i="1" s="1"/>
  <c r="K1830" i="1"/>
  <c r="L1830" i="1" s="1"/>
  <c r="K1399" i="1"/>
  <c r="L1399" i="1" s="1"/>
  <c r="K752" i="1"/>
  <c r="L752" i="1" s="1"/>
  <c r="K101" i="1"/>
  <c r="L101" i="1" s="1"/>
  <c r="K452" i="1"/>
  <c r="L452" i="1" s="1"/>
  <c r="K1562" i="1"/>
  <c r="L1562" i="1" s="1"/>
  <c r="K1811" i="1"/>
  <c r="L1811" i="1" s="1"/>
  <c r="K1944" i="1"/>
  <c r="L1944" i="1" s="1"/>
  <c r="K1566" i="1"/>
  <c r="L1566" i="1" s="1"/>
  <c r="K857" i="1"/>
  <c r="L857" i="1" s="1"/>
  <c r="K753" i="1"/>
  <c r="L753" i="1" s="1"/>
  <c r="K240" i="1"/>
  <c r="L240" i="1" s="1"/>
  <c r="K213" i="1"/>
  <c r="L213" i="1" s="1"/>
  <c r="K376" i="1"/>
  <c r="L376" i="1" s="1"/>
  <c r="K1134" i="1"/>
  <c r="L1134" i="1" s="1"/>
  <c r="K276" i="1"/>
  <c r="L276" i="1" s="1"/>
  <c r="K1555" i="1"/>
  <c r="L1555" i="1" s="1"/>
  <c r="K972" i="1"/>
  <c r="L972" i="1" s="1"/>
  <c r="K1646" i="1"/>
  <c r="L1646" i="1" s="1"/>
  <c r="K1723" i="1"/>
  <c r="L1723" i="1" s="1"/>
  <c r="K1842" i="1"/>
  <c r="L1842" i="1" s="1"/>
  <c r="K1684" i="1"/>
  <c r="L1684" i="1" s="1"/>
  <c r="K1962" i="1"/>
  <c r="L1962" i="1" s="1"/>
  <c r="K1717" i="1"/>
  <c r="L1717" i="1" s="1"/>
  <c r="K326" i="1"/>
  <c r="L326" i="1" s="1"/>
  <c r="K75" i="1"/>
  <c r="L75" i="1" s="1"/>
  <c r="K1560" i="1"/>
  <c r="L1560" i="1" s="1"/>
  <c r="K168" i="1"/>
  <c r="L168" i="1" s="1"/>
  <c r="K1615" i="1"/>
  <c r="L1615" i="1" s="1"/>
  <c r="K1993" i="1"/>
  <c r="L1993" i="1" s="1"/>
  <c r="K223" i="1"/>
  <c r="L223" i="1" s="1"/>
  <c r="K1818" i="1"/>
  <c r="L1818" i="1" s="1"/>
  <c r="K631" i="1"/>
  <c r="L631" i="1" s="1"/>
  <c r="K1045" i="1"/>
  <c r="L1045" i="1" s="1"/>
  <c r="K881" i="1"/>
  <c r="L881" i="1" s="1"/>
  <c r="K617" i="1"/>
  <c r="L617" i="1" s="1"/>
  <c r="K1982" i="1"/>
  <c r="L1982" i="1" s="1"/>
  <c r="K350" i="1"/>
  <c r="L350" i="1" s="1"/>
  <c r="K1820" i="1"/>
  <c r="L1820" i="1" s="1"/>
  <c r="K1934" i="1"/>
  <c r="L1934" i="1" s="1"/>
  <c r="K564" i="1"/>
  <c r="L564" i="1" s="1"/>
  <c r="K1542" i="1"/>
  <c r="L1542" i="1" s="1"/>
  <c r="K1847" i="1"/>
  <c r="L1847" i="1" s="1"/>
  <c r="K1200" i="1"/>
  <c r="L1200" i="1" s="1"/>
  <c r="K1451" i="1"/>
  <c r="L1451" i="1" s="1"/>
  <c r="K566" i="1"/>
  <c r="L566" i="1" s="1"/>
  <c r="K53" i="1"/>
  <c r="L53" i="1" s="1"/>
  <c r="K392" i="1"/>
  <c r="L392" i="1" s="1"/>
  <c r="K820" i="1"/>
  <c r="L820" i="1" s="1"/>
  <c r="K980" i="1"/>
  <c r="L980" i="1" s="1"/>
  <c r="K1940" i="1"/>
  <c r="L1940" i="1" s="1"/>
  <c r="K447" i="1"/>
  <c r="L447" i="1" s="1"/>
  <c r="K308" i="1"/>
  <c r="L308" i="1" s="1"/>
  <c r="K1121" i="1"/>
  <c r="L1121" i="1" s="1"/>
  <c r="K18" i="1"/>
  <c r="L18" i="1" s="1"/>
  <c r="K1525" i="1"/>
  <c r="L1525" i="1" s="1"/>
  <c r="K934" i="1"/>
  <c r="L934" i="1" s="1"/>
  <c r="K800" i="1"/>
  <c r="L800" i="1" s="1"/>
  <c r="K1039" i="1"/>
  <c r="L1039" i="1" s="1"/>
  <c r="K1273" i="1"/>
  <c r="L1273" i="1" s="1"/>
  <c r="K1303" i="1"/>
  <c r="L1303" i="1" s="1"/>
  <c r="K1614" i="1"/>
  <c r="L1614" i="1" s="1"/>
  <c r="K1773" i="1"/>
  <c r="L1773" i="1" s="1"/>
  <c r="K362" i="1"/>
  <c r="L362" i="1" s="1"/>
  <c r="K163" i="1"/>
  <c r="L163" i="1" s="1"/>
  <c r="K1197" i="1"/>
  <c r="L1197" i="1" s="1"/>
  <c r="K930" i="1"/>
  <c r="L930" i="1" s="1"/>
  <c r="K264" i="1"/>
  <c r="L264" i="1" s="1"/>
  <c r="K331" i="1"/>
  <c r="L331" i="1" s="1"/>
  <c r="K1457" i="1"/>
  <c r="L1457" i="1" s="1"/>
  <c r="K366" i="1"/>
  <c r="L366" i="1" s="1"/>
  <c r="K653" i="1"/>
  <c r="L653" i="1" s="1"/>
  <c r="K1333" i="1"/>
  <c r="L1333" i="1" s="1"/>
  <c r="K1580" i="1"/>
  <c r="L1580" i="1" s="1"/>
  <c r="K1890" i="1"/>
  <c r="L1890" i="1" s="1"/>
  <c r="K759" i="1"/>
  <c r="L759" i="1" s="1"/>
  <c r="K1876" i="1"/>
  <c r="L1876" i="1" s="1"/>
  <c r="K1943" i="1"/>
  <c r="L1943" i="1" s="1"/>
  <c r="K158" i="1"/>
  <c r="L158" i="1" s="1"/>
  <c r="K1920" i="1"/>
  <c r="L1920" i="1" s="1"/>
  <c r="K757" i="1"/>
  <c r="L757" i="1" s="1"/>
  <c r="K995" i="1"/>
  <c r="L995" i="1" s="1"/>
  <c r="K935" i="1"/>
  <c r="L935" i="1" s="1"/>
  <c r="K507" i="1"/>
  <c r="L507" i="1" s="1"/>
  <c r="K666" i="1"/>
  <c r="L666" i="1" s="1"/>
  <c r="K97" i="1"/>
  <c r="L97" i="1" s="1"/>
  <c r="K912" i="1"/>
  <c r="L912" i="1" s="1"/>
  <c r="K514" i="1"/>
  <c r="L514" i="1" s="1"/>
  <c r="K1697" i="1"/>
  <c r="L1697" i="1" s="1"/>
  <c r="K1933" i="1"/>
  <c r="L1933" i="1" s="1"/>
  <c r="K404" i="1"/>
  <c r="L404" i="1" s="1"/>
  <c r="K1106" i="1"/>
  <c r="L1106" i="1" s="1"/>
  <c r="K1735" i="1"/>
  <c r="L1735" i="1" s="1"/>
  <c r="K1648" i="1"/>
  <c r="L1648" i="1" s="1"/>
  <c r="K1097" i="1"/>
  <c r="L1097" i="1" s="1"/>
  <c r="K1539" i="1"/>
  <c r="L1539" i="1" s="1"/>
  <c r="K1951" i="1"/>
  <c r="L1951" i="1" s="1"/>
  <c r="K1955" i="1"/>
  <c r="L1955" i="1" s="1"/>
  <c r="K1183" i="1"/>
  <c r="L1183" i="1" s="1"/>
  <c r="K1517" i="1"/>
  <c r="L1517" i="1" s="1"/>
  <c r="K750" i="1"/>
  <c r="L750" i="1" s="1"/>
  <c r="K191" i="1"/>
  <c r="L191" i="1" s="1"/>
  <c r="K349" i="1"/>
  <c r="L349" i="1" s="1"/>
  <c r="K1732" i="1"/>
  <c r="L1732" i="1" s="1"/>
  <c r="K1249" i="1"/>
  <c r="L1249" i="1" s="1"/>
  <c r="K273" i="1"/>
  <c r="L273" i="1" s="1"/>
  <c r="K766" i="1"/>
  <c r="L766" i="1" s="1"/>
  <c r="K435" i="1"/>
  <c r="L435" i="1" s="1"/>
  <c r="K281" i="1"/>
  <c r="L281" i="1" s="1"/>
  <c r="K30" i="1"/>
  <c r="L30" i="1" s="1"/>
  <c r="K1960" i="1"/>
  <c r="L1960" i="1" s="1"/>
  <c r="K390" i="1"/>
  <c r="L390" i="1" s="1"/>
  <c r="K1349" i="1"/>
  <c r="L1349" i="1" s="1"/>
  <c r="K69" i="1"/>
  <c r="L69" i="1" s="1"/>
  <c r="K1137" i="1"/>
  <c r="L1137" i="1" s="1"/>
  <c r="K407" i="1"/>
  <c r="L407" i="1" s="1"/>
  <c r="K137" i="1"/>
  <c r="L137" i="1" s="1"/>
  <c r="K1264" i="1"/>
  <c r="L1264" i="1" s="1"/>
  <c r="K821" i="1"/>
  <c r="L821" i="1" s="1"/>
  <c r="K928" i="1"/>
  <c r="L928" i="1" s="1"/>
  <c r="K476" i="1"/>
  <c r="L476" i="1" s="1"/>
  <c r="K10" i="1"/>
  <c r="L10" i="1" s="1"/>
  <c r="K1499" i="1"/>
  <c r="L1499" i="1" s="1"/>
  <c r="K287" i="1"/>
  <c r="L287" i="1" s="1"/>
  <c r="K527" i="1"/>
  <c r="L527" i="1" s="1"/>
  <c r="K406" i="1"/>
  <c r="L406" i="1" s="1"/>
  <c r="K322" i="1"/>
  <c r="L322" i="1" s="1"/>
  <c r="K712" i="1"/>
  <c r="L712" i="1" s="1"/>
  <c r="K1256" i="1"/>
  <c r="L1256" i="1" s="1"/>
  <c r="K698" i="1"/>
  <c r="L698" i="1" s="1"/>
  <c r="K1189" i="1"/>
  <c r="L1189" i="1" s="1"/>
  <c r="K102" i="1"/>
  <c r="L102" i="1" s="1"/>
  <c r="K449" i="1"/>
  <c r="L449" i="1" s="1"/>
  <c r="K1259" i="1"/>
  <c r="L1259" i="1" s="1"/>
  <c r="K758" i="1"/>
  <c r="L758" i="1" s="1"/>
  <c r="K1878" i="1"/>
  <c r="L1878" i="1" s="1"/>
  <c r="K501" i="1"/>
  <c r="L501" i="1" s="1"/>
  <c r="K543" i="1"/>
  <c r="L543" i="1" s="1"/>
  <c r="K1853" i="1"/>
  <c r="L1853" i="1" s="1"/>
  <c r="K1294" i="1"/>
  <c r="L1294" i="1" s="1"/>
  <c r="K1175" i="1"/>
  <c r="L1175" i="1" s="1"/>
  <c r="K837" i="1"/>
  <c r="L837" i="1" s="1"/>
  <c r="K147" i="1"/>
  <c r="L147" i="1" s="1"/>
  <c r="K1419" i="1"/>
  <c r="L1419" i="1" s="1"/>
  <c r="K385" i="1"/>
  <c r="L385" i="1" s="1"/>
  <c r="K1938" i="1"/>
  <c r="L1938" i="1" s="1"/>
  <c r="K692" i="1"/>
  <c r="L692" i="1" s="1"/>
  <c r="K1241" i="1"/>
  <c r="L1241" i="1" s="1"/>
  <c r="K1439" i="1"/>
  <c r="L1439" i="1" s="1"/>
  <c r="K1503" i="1"/>
  <c r="L1503" i="1" s="1"/>
  <c r="K1352" i="1"/>
  <c r="L1352" i="1" s="1"/>
  <c r="K1069" i="1"/>
  <c r="L1069" i="1" s="1"/>
  <c r="K1128" i="1"/>
  <c r="L1128" i="1" s="1"/>
  <c r="K332" i="1"/>
  <c r="L332" i="1" s="1"/>
  <c r="K1726" i="1"/>
  <c r="L1726" i="1" s="1"/>
  <c r="K41" i="1"/>
  <c r="L41" i="1" s="1"/>
  <c r="K1441" i="1"/>
  <c r="L1441" i="1" s="1"/>
  <c r="K1315" i="1"/>
  <c r="L1315" i="1" s="1"/>
  <c r="K929" i="1"/>
  <c r="L929" i="1" s="1"/>
  <c r="K1317" i="1"/>
  <c r="L1317" i="1" s="1"/>
  <c r="K1703" i="1"/>
  <c r="L1703" i="1" s="1"/>
  <c r="K347" i="1"/>
  <c r="L347" i="1" s="1"/>
  <c r="K201" i="1"/>
  <c r="L201" i="1" s="1"/>
  <c r="K1423" i="1"/>
  <c r="L1423" i="1" s="1"/>
  <c r="K1904" i="1"/>
  <c r="L1904" i="1" s="1"/>
  <c r="K1276" i="1"/>
  <c r="L1276" i="1" s="1"/>
  <c r="K1118" i="1"/>
  <c r="L1118" i="1" s="1"/>
  <c r="K136" i="1"/>
  <c r="L136" i="1" s="1"/>
  <c r="K1897" i="1"/>
  <c r="L1897" i="1" s="1"/>
  <c r="K470" i="1"/>
  <c r="L470" i="1" s="1"/>
  <c r="K804" i="1"/>
  <c r="L804" i="1" s="1"/>
  <c r="K1953" i="1"/>
  <c r="L1953" i="1" s="1"/>
  <c r="K1062" i="1"/>
  <c r="L1062" i="1" s="1"/>
  <c r="K1532" i="1"/>
  <c r="L1532" i="1" s="1"/>
  <c r="K1748" i="1"/>
  <c r="L1748" i="1" s="1"/>
  <c r="K244" i="1"/>
  <c r="L244" i="1" s="1"/>
  <c r="K914" i="1"/>
  <c r="L914" i="1" s="1"/>
  <c r="K1209" i="1"/>
  <c r="L1209" i="1" s="1"/>
  <c r="K808" i="1"/>
  <c r="L808" i="1" s="1"/>
  <c r="K1652" i="1"/>
  <c r="L1652" i="1" s="1"/>
  <c r="K603" i="1"/>
  <c r="L603" i="1" s="1"/>
  <c r="K1050" i="1"/>
  <c r="L1050" i="1" s="1"/>
  <c r="K1863" i="1"/>
  <c r="L1863" i="1" s="1"/>
  <c r="K620" i="1"/>
  <c r="L620" i="1" s="1"/>
  <c r="K1044" i="1"/>
  <c r="L1044" i="1" s="1"/>
  <c r="K145" i="1"/>
  <c r="L145" i="1" s="1"/>
  <c r="K1744" i="1"/>
  <c r="L1744" i="1" s="1"/>
  <c r="K37" i="1"/>
  <c r="L37" i="1" s="1"/>
  <c r="K582" i="1"/>
  <c r="L582" i="1" s="1"/>
  <c r="K1534" i="1"/>
  <c r="L1534" i="1" s="1"/>
  <c r="K436" i="1"/>
  <c r="L436" i="1" s="1"/>
  <c r="K588" i="1"/>
  <c r="L588" i="1" s="1"/>
  <c r="K936" i="1"/>
  <c r="L936" i="1" s="1"/>
  <c r="K1724" i="1"/>
  <c r="L1724" i="1" s="1"/>
  <c r="K123" i="1"/>
  <c r="L123" i="1" s="1"/>
  <c r="K1701" i="1"/>
  <c r="L1701" i="1" s="1"/>
  <c r="K955" i="1"/>
  <c r="L955" i="1" s="1"/>
  <c r="K1442" i="1"/>
  <c r="L1442" i="1" s="1"/>
  <c r="K151" i="1"/>
  <c r="L151" i="1" s="1"/>
  <c r="K1700" i="1"/>
  <c r="L1700" i="1" s="1"/>
  <c r="K386" i="1"/>
  <c r="L386" i="1" s="1"/>
  <c r="K270" i="1"/>
  <c r="L270" i="1" s="1"/>
  <c r="K1408" i="1"/>
  <c r="L1408" i="1" s="1"/>
  <c r="K1906" i="1"/>
  <c r="L1906" i="1" s="1"/>
  <c r="K1292" i="1"/>
  <c r="L1292" i="1" s="1"/>
  <c r="K654" i="1"/>
  <c r="L654" i="1" s="1"/>
  <c r="K233" i="1"/>
  <c r="L233" i="1" s="1"/>
  <c r="K544" i="1"/>
  <c r="L544" i="1" s="1"/>
  <c r="K217" i="1"/>
  <c r="L217" i="1" s="1"/>
  <c r="K1364" i="1"/>
  <c r="L1364" i="1" s="1"/>
  <c r="K1422" i="1"/>
  <c r="L1422" i="1" s="1"/>
  <c r="K1053" i="1"/>
  <c r="L1053" i="1" s="1"/>
  <c r="K104" i="1"/>
  <c r="L104" i="1" s="1"/>
  <c r="K128" i="1"/>
  <c r="L128" i="1" s="1"/>
  <c r="K368" i="1"/>
  <c r="L368" i="1" s="1"/>
  <c r="K29" i="1"/>
  <c r="L29" i="1" s="1"/>
  <c r="K838" i="1"/>
  <c r="L838" i="1" s="1"/>
  <c r="K840" i="1"/>
  <c r="L840" i="1" s="1"/>
  <c r="K1105" i="1"/>
  <c r="L1105" i="1" s="1"/>
  <c r="K644" i="1"/>
  <c r="L644" i="1" s="1"/>
  <c r="K494" i="1"/>
  <c r="L494" i="1" s="1"/>
  <c r="K906" i="1"/>
  <c r="L906" i="1" s="1"/>
  <c r="K904" i="1"/>
  <c r="L904" i="1" s="1"/>
  <c r="K49" i="1"/>
  <c r="L49" i="1" s="1"/>
  <c r="K950" i="1"/>
  <c r="L950" i="1" s="1"/>
  <c r="K267" i="1"/>
  <c r="L267" i="1" s="1"/>
  <c r="K893" i="1"/>
  <c r="L893" i="1" s="1"/>
  <c r="K1320" i="1"/>
  <c r="L1320" i="1" s="1"/>
  <c r="K922" i="1"/>
  <c r="L922" i="1" s="1"/>
  <c r="K1482" i="1"/>
  <c r="L1482" i="1" s="1"/>
  <c r="K1027" i="1"/>
  <c r="L1027" i="1" s="1"/>
  <c r="K282" i="1"/>
  <c r="L282" i="1" s="1"/>
  <c r="K135" i="1"/>
  <c r="L135" i="1" s="1"/>
  <c r="K823" i="1"/>
  <c r="L823" i="1" s="1"/>
  <c r="K1972" i="1"/>
  <c r="L1972" i="1" s="1"/>
  <c r="K1094" i="1"/>
  <c r="L1094" i="1" s="1"/>
  <c r="K727" i="1"/>
  <c r="L727" i="1" s="1"/>
  <c r="K1046" i="1"/>
  <c r="L1046" i="1" s="1"/>
  <c r="K985" i="1"/>
  <c r="L985" i="1" s="1"/>
  <c r="K303" i="1"/>
  <c r="L303" i="1" s="1"/>
  <c r="K760" i="1"/>
  <c r="L760" i="1" s="1"/>
  <c r="K846" i="1"/>
  <c r="L846" i="1" s="1"/>
  <c r="K194" i="1"/>
  <c r="L194" i="1" s="1"/>
  <c r="K234" i="1"/>
  <c r="L234" i="1" s="1"/>
  <c r="K611" i="1"/>
  <c r="L611" i="1" s="1"/>
  <c r="K84" i="1"/>
  <c r="L84" i="1" s="1"/>
  <c r="K937" i="1"/>
  <c r="L937" i="1" s="1"/>
  <c r="K1789" i="1"/>
  <c r="L1789" i="1" s="1"/>
  <c r="K541" i="1"/>
  <c r="L541" i="1" s="1"/>
  <c r="K1875" i="1"/>
  <c r="L1875" i="1" s="1"/>
  <c r="K496" i="1"/>
  <c r="L496" i="1" s="1"/>
  <c r="K1258" i="1"/>
  <c r="L1258" i="1" s="1"/>
  <c r="K1066" i="1"/>
  <c r="L1066" i="1" s="1"/>
  <c r="K1133" i="1"/>
  <c r="L1133" i="1" s="1"/>
  <c r="K1970" i="1"/>
  <c r="L1970" i="1" s="1"/>
  <c r="K1889" i="1"/>
  <c r="L1889" i="1" s="1"/>
  <c r="K1832" i="1"/>
  <c r="L1832" i="1" s="1"/>
  <c r="K1163" i="1"/>
  <c r="L1163" i="1" s="1"/>
  <c r="K228" i="1"/>
  <c r="L228" i="1" s="1"/>
  <c r="K1796" i="1"/>
  <c r="L1796" i="1" s="1"/>
  <c r="K1694" i="1"/>
  <c r="L1694" i="1" s="1"/>
  <c r="K1660" i="1"/>
  <c r="L1660" i="1" s="1"/>
  <c r="K767" i="1"/>
  <c r="L767" i="1" s="1"/>
  <c r="K1548" i="1"/>
  <c r="L1548" i="1" s="1"/>
  <c r="K416" i="1"/>
  <c r="L416" i="1" s="1"/>
  <c r="K1011" i="1"/>
  <c r="L1011" i="1" s="1"/>
  <c r="K68" i="1"/>
  <c r="L68" i="1" s="1"/>
  <c r="K545" i="1"/>
  <c r="L545" i="1" s="1"/>
  <c r="K83" i="1"/>
  <c r="L83" i="1" s="1"/>
  <c r="K25" i="1"/>
  <c r="L25" i="1" s="1"/>
  <c r="K1971" i="1"/>
  <c r="L1971" i="1" s="1"/>
  <c r="K1071" i="1"/>
  <c r="L1071" i="1" s="1"/>
  <c r="K1452" i="1"/>
  <c r="L1452" i="1" s="1"/>
  <c r="K662" i="1"/>
  <c r="L662" i="1" s="1"/>
  <c r="K1257" i="1"/>
  <c r="L1257" i="1" s="1"/>
  <c r="K1434" i="1"/>
  <c r="L1434" i="1" s="1"/>
  <c r="K1941" i="1"/>
  <c r="L1941" i="1" s="1"/>
  <c r="K1918" i="1"/>
  <c r="L1918" i="1" s="1"/>
  <c r="K1400" i="1"/>
  <c r="L1400" i="1" s="1"/>
  <c r="K259" i="1"/>
  <c r="L259" i="1" s="1"/>
  <c r="K1607" i="1"/>
  <c r="L1607" i="1" s="1"/>
  <c r="K171" i="1"/>
  <c r="L171" i="1" s="1"/>
  <c r="K783" i="1"/>
  <c r="L783" i="1" s="1"/>
  <c r="K827" i="1"/>
  <c r="L827" i="1" s="1"/>
  <c r="K72" i="1"/>
  <c r="L72" i="1" s="1"/>
  <c r="K1300" i="1"/>
  <c r="L1300" i="1" s="1"/>
  <c r="K605" i="1"/>
  <c r="L605" i="1" s="1"/>
  <c r="K1380" i="1"/>
  <c r="L1380" i="1" s="1"/>
  <c r="K1762" i="1"/>
  <c r="L1762" i="1" s="1"/>
  <c r="K1005" i="1"/>
  <c r="L1005" i="1" s="1"/>
  <c r="K170" i="1"/>
  <c r="L170" i="1" s="1"/>
  <c r="K547" i="1"/>
  <c r="L547" i="1" s="1"/>
  <c r="K678" i="1"/>
  <c r="L678" i="1" s="1"/>
  <c r="K1826" i="1"/>
  <c r="L1826" i="1" s="1"/>
  <c r="K182" i="1"/>
  <c r="L182" i="1" s="1"/>
  <c r="K1098" i="1"/>
  <c r="L1098" i="1" s="1"/>
  <c r="K1975" i="1"/>
  <c r="L1975" i="1" s="1"/>
  <c r="K1872" i="1"/>
  <c r="L1872" i="1" s="1"/>
  <c r="K1385" i="1"/>
  <c r="L1385" i="1" s="1"/>
  <c r="K1140" i="1"/>
  <c r="L1140" i="1" s="1"/>
  <c r="K297" i="1"/>
  <c r="L297" i="1" s="1"/>
  <c r="K312" i="1"/>
  <c r="L312" i="1" s="1"/>
  <c r="K665" i="1"/>
  <c r="L665" i="1" s="1"/>
  <c r="K624" i="1"/>
  <c r="L624" i="1" s="1"/>
  <c r="K1587" i="1"/>
  <c r="L1587" i="1" s="1"/>
  <c r="K1764" i="1"/>
  <c r="L1764" i="1" s="1"/>
  <c r="K1879" i="1"/>
  <c r="L1879" i="1" s="1"/>
  <c r="K600" i="1"/>
  <c r="L600" i="1" s="1"/>
  <c r="K369" i="1"/>
  <c r="L369" i="1" s="1"/>
  <c r="K730" i="1"/>
  <c r="L730" i="1" s="1"/>
  <c r="K707" i="1"/>
  <c r="L707" i="1" s="1"/>
  <c r="K1688" i="1"/>
  <c r="L1688" i="1" s="1"/>
  <c r="K420" i="1"/>
  <c r="L420" i="1" s="1"/>
  <c r="K1997" i="1"/>
  <c r="L1997" i="1" s="1"/>
  <c r="K651" i="1"/>
  <c r="L651" i="1" s="1"/>
  <c r="K316" i="1"/>
  <c r="L316" i="1" s="1"/>
  <c r="K925" i="1"/>
  <c r="L925" i="1" s="1"/>
  <c r="K919" i="1"/>
  <c r="L919" i="1" s="1"/>
  <c r="K252" i="1"/>
  <c r="L252" i="1" s="1"/>
  <c r="K111" i="1"/>
  <c r="L111" i="1" s="1"/>
  <c r="K445" i="1"/>
  <c r="L445" i="1" s="1"/>
  <c r="K358" i="1"/>
  <c r="L358" i="1" s="1"/>
  <c r="K196" i="1"/>
  <c r="L196" i="1" s="1"/>
  <c r="K1998" i="1"/>
  <c r="L1998" i="1" s="1"/>
  <c r="K33" i="1"/>
  <c r="L33" i="1" s="1"/>
  <c r="K1787" i="1"/>
  <c r="L1787" i="1" s="1"/>
  <c r="K92" i="1"/>
  <c r="L92" i="1" s="1"/>
  <c r="K584" i="1"/>
  <c r="L584" i="1" s="1"/>
  <c r="K941" i="1"/>
  <c r="L941" i="1" s="1"/>
  <c r="K1623" i="1"/>
  <c r="L1623" i="1" s="1"/>
  <c r="K1411" i="1"/>
  <c r="L1411" i="1" s="1"/>
  <c r="K1893" i="1"/>
  <c r="L1893" i="1" s="1"/>
  <c r="K689" i="1"/>
  <c r="L689" i="1" s="1"/>
  <c r="K247" i="1"/>
  <c r="L247" i="1" s="1"/>
  <c r="K484" i="1"/>
  <c r="L484" i="1" s="1"/>
  <c r="K1538" i="1"/>
  <c r="L1538" i="1" s="1"/>
  <c r="K532" i="1"/>
  <c r="L532" i="1" s="1"/>
  <c r="K229" i="1"/>
  <c r="L229" i="1" s="1"/>
  <c r="K1299" i="1"/>
  <c r="L1299" i="1" s="1"/>
  <c r="K733" i="1"/>
  <c r="L733" i="1" s="1"/>
  <c r="K1601" i="1"/>
  <c r="L1601" i="1" s="1"/>
  <c r="K969" i="1"/>
  <c r="L969" i="1" s="1"/>
  <c r="K296" i="1"/>
  <c r="L296" i="1" s="1"/>
  <c r="K623" i="1"/>
  <c r="L623" i="1" s="1"/>
  <c r="K1406" i="1"/>
  <c r="L1406" i="1" s="1"/>
  <c r="K895" i="1"/>
  <c r="L895" i="1" s="1"/>
  <c r="K1620" i="1"/>
  <c r="L1620" i="1" s="1"/>
  <c r="K1462" i="1"/>
  <c r="L1462" i="1" s="1"/>
  <c r="K1412" i="1"/>
  <c r="L1412" i="1" s="1"/>
  <c r="K1389" i="1"/>
  <c r="L1389" i="1" s="1"/>
  <c r="K1416" i="1"/>
  <c r="L1416" i="1" s="1"/>
  <c r="K1337" i="1"/>
  <c r="L1337" i="1" s="1"/>
  <c r="K1174" i="1"/>
  <c r="L1174" i="1" s="1"/>
  <c r="K1341" i="1"/>
  <c r="L1341" i="1" s="1"/>
  <c r="K370" i="1"/>
  <c r="L370" i="1" s="1"/>
  <c r="K970" i="1"/>
  <c r="L970" i="1" s="1"/>
  <c r="K633" i="1"/>
  <c r="L633" i="1" s="1"/>
  <c r="K1600" i="1"/>
  <c r="L1600" i="1" s="1"/>
  <c r="K1354" i="1"/>
  <c r="L1354" i="1" s="1"/>
  <c r="K538" i="1"/>
  <c r="L538" i="1" s="1"/>
  <c r="K139" i="1"/>
  <c r="L139" i="1" s="1"/>
  <c r="K963" i="1"/>
  <c r="L963" i="1" s="1"/>
  <c r="K1618" i="1"/>
  <c r="L1618" i="1" s="1"/>
  <c r="K1756" i="1"/>
  <c r="L1756" i="1" s="1"/>
  <c r="K516" i="1"/>
  <c r="L516" i="1" s="1"/>
  <c r="K451" i="1"/>
  <c r="L451" i="1" s="1"/>
  <c r="K225" i="1"/>
  <c r="L225" i="1" s="1"/>
  <c r="K1968" i="1"/>
  <c r="L1968" i="1" s="1"/>
  <c r="K1078" i="1"/>
  <c r="L1078" i="1" s="1"/>
  <c r="K1917" i="1"/>
  <c r="L1917" i="1" s="1"/>
  <c r="K682" i="1"/>
  <c r="L682" i="1" s="1"/>
  <c r="K1202" i="1"/>
  <c r="L1202" i="1" s="1"/>
  <c r="K1009" i="1"/>
  <c r="L1009" i="1" s="1"/>
  <c r="K118" i="1"/>
  <c r="L118" i="1" s="1"/>
  <c r="K1711" i="1"/>
  <c r="L1711" i="1" s="1"/>
  <c r="K1054" i="1"/>
  <c r="L1054" i="1" s="1"/>
  <c r="K1144" i="1"/>
  <c r="L1144" i="1" s="1"/>
  <c r="K113" i="1"/>
  <c r="L113" i="1" s="1"/>
  <c r="K1281" i="1"/>
  <c r="L1281" i="1" s="1"/>
  <c r="K1500" i="1"/>
  <c r="L1500" i="1" s="1"/>
  <c r="K1870" i="1"/>
  <c r="L1870" i="1" s="1"/>
  <c r="K878" i="1"/>
  <c r="L878" i="1" s="1"/>
  <c r="K495" i="1"/>
  <c r="L495" i="1" s="1"/>
  <c r="K729" i="1"/>
  <c r="L729" i="1" s="1"/>
  <c r="K738" i="1"/>
  <c r="L738" i="1" s="1"/>
  <c r="K640" i="1"/>
  <c r="L640" i="1" s="1"/>
  <c r="K1769" i="1"/>
  <c r="L1769" i="1" s="1"/>
  <c r="K1489" i="1"/>
  <c r="L1489" i="1" s="1"/>
  <c r="K1313" i="1"/>
  <c r="L1313" i="1" s="1"/>
  <c r="K320" i="1"/>
  <c r="L320" i="1" s="1"/>
  <c r="K974" i="1"/>
  <c r="L974" i="1" s="1"/>
  <c r="K807" i="1"/>
  <c r="L807" i="1" s="1"/>
  <c r="K627" i="1"/>
  <c r="L627" i="1" s="1"/>
  <c r="K1622" i="1"/>
  <c r="L1622" i="1" s="1"/>
  <c r="K344" i="1"/>
  <c r="L344" i="1" s="1"/>
  <c r="K434" i="1"/>
  <c r="L434" i="1" s="1"/>
  <c r="K1117" i="1"/>
  <c r="L1117" i="1" s="1"/>
  <c r="K36" i="1"/>
  <c r="L36" i="1" s="1"/>
  <c r="K173" i="1"/>
  <c r="L173" i="1" s="1"/>
  <c r="K164" i="1"/>
  <c r="L164" i="1" s="1"/>
  <c r="K860" i="1"/>
  <c r="L860" i="1" s="1"/>
  <c r="K1882" i="1"/>
  <c r="L1882" i="1" s="1"/>
  <c r="K1375" i="1"/>
  <c r="L1375" i="1" s="1"/>
  <c r="K1763" i="1"/>
  <c r="L1763" i="1" s="1"/>
  <c r="K1912" i="1"/>
  <c r="L1912" i="1" s="1"/>
  <c r="K1342" i="1"/>
  <c r="L1342" i="1" s="1"/>
  <c r="K1007" i="1"/>
  <c r="L1007" i="1" s="1"/>
  <c r="K1609" i="1"/>
  <c r="L1609" i="1" s="1"/>
  <c r="K42" i="1"/>
  <c r="L42" i="1" s="1"/>
  <c r="K774" i="1"/>
  <c r="L774" i="1" s="1"/>
  <c r="K1176" i="1"/>
  <c r="L1176" i="1" s="1"/>
  <c r="K521" i="1"/>
  <c r="L521" i="1" s="1"/>
  <c r="K896" i="1"/>
  <c r="L896" i="1" s="1"/>
  <c r="K1212" i="1"/>
  <c r="L1212" i="1" s="1"/>
  <c r="K1519" i="1"/>
  <c r="L1519" i="1" s="1"/>
  <c r="K964" i="1"/>
  <c r="L964" i="1" s="1"/>
  <c r="K616" i="1"/>
  <c r="L616" i="1" s="1"/>
  <c r="K167" i="1"/>
  <c r="L167" i="1" s="1"/>
  <c r="K661" i="1"/>
  <c r="L661" i="1" s="1"/>
  <c r="K367" i="1"/>
  <c r="L367" i="1" s="1"/>
  <c r="K1537" i="1"/>
  <c r="L1537" i="1" s="1"/>
  <c r="K879" i="1"/>
  <c r="L879" i="1" s="1"/>
  <c r="K78" i="1"/>
  <c r="L78" i="1" s="1"/>
  <c r="K1522" i="1"/>
  <c r="L1522" i="1" s="1"/>
  <c r="K1690" i="1"/>
  <c r="L1690" i="1" s="1"/>
  <c r="K976" i="1"/>
  <c r="L976" i="1" s="1"/>
  <c r="K133" i="1"/>
  <c r="L133" i="1" s="1"/>
  <c r="K1969" i="1"/>
  <c r="L1969" i="1" s="1"/>
  <c r="K1124" i="1"/>
  <c r="L1124" i="1" s="1"/>
  <c r="K1386" i="1"/>
  <c r="L1386" i="1" s="1"/>
  <c r="K601" i="1"/>
  <c r="L601" i="1" s="1"/>
  <c r="K841" i="1"/>
  <c r="L841" i="1" s="1"/>
  <c r="K67" i="1"/>
  <c r="L67" i="1" s="1"/>
  <c r="K1013" i="1"/>
  <c r="L1013" i="1" s="1"/>
  <c r="K1772" i="1"/>
  <c r="L1772" i="1" s="1"/>
  <c r="K587" i="1"/>
  <c r="L587" i="1" s="1"/>
  <c r="K1758" i="1"/>
  <c r="L1758" i="1" s="1"/>
  <c r="K480" i="1"/>
  <c r="L480" i="1" s="1"/>
  <c r="K481" i="1"/>
  <c r="L481" i="1" s="1"/>
  <c r="K499" i="1"/>
  <c r="L499" i="1" s="1"/>
  <c r="K1804" i="1"/>
  <c r="L1804" i="1" s="1"/>
  <c r="K1192" i="1"/>
  <c r="L1192" i="1" s="1"/>
  <c r="K1790" i="1"/>
  <c r="L1790" i="1" s="1"/>
  <c r="K1839" i="1"/>
  <c r="L1839" i="1" s="1"/>
  <c r="K1232" i="1"/>
  <c r="L1232" i="1" s="1"/>
  <c r="K1185" i="1"/>
  <c r="L1185" i="1" s="1"/>
  <c r="K1161" i="1"/>
  <c r="L1161" i="1" s="1"/>
  <c r="K345" i="1"/>
  <c r="L345" i="1" s="1"/>
  <c r="K1558" i="1"/>
  <c r="L1558" i="1" s="1"/>
  <c r="K520" i="1"/>
  <c r="L520" i="1" s="1"/>
  <c r="K1635" i="1"/>
  <c r="L1635" i="1" s="1"/>
  <c r="K4" i="1"/>
  <c r="L4" i="1" s="1"/>
  <c r="K1988" i="1"/>
  <c r="L1988" i="1" s="1"/>
  <c r="K855" i="1"/>
  <c r="L855" i="1" s="1"/>
  <c r="K1983" i="1"/>
  <c r="L1983" i="1" s="1"/>
  <c r="K1524" i="1"/>
  <c r="L1524" i="1" s="1"/>
  <c r="K1680" i="1"/>
  <c r="L1680" i="1" s="1"/>
  <c r="K1785" i="1"/>
  <c r="L1785" i="1" s="1"/>
  <c r="K1884" i="1"/>
  <c r="L1884" i="1" s="1"/>
  <c r="K360" i="1"/>
  <c r="L360" i="1" s="1"/>
  <c r="K705" i="1"/>
  <c r="L705" i="1" s="1"/>
  <c r="K1000" i="1"/>
  <c r="L1000" i="1" s="1"/>
  <c r="K997" i="1"/>
  <c r="L997" i="1" s="1"/>
  <c r="K181" i="1"/>
  <c r="L181" i="1" s="1"/>
  <c r="K1239" i="1"/>
  <c r="L1239" i="1" s="1"/>
  <c r="K1147" i="1"/>
  <c r="L1147" i="1" s="1"/>
  <c r="K294" i="1"/>
  <c r="L294" i="1" s="1"/>
  <c r="K1330" i="1"/>
  <c r="L1330" i="1" s="1"/>
  <c r="K1880" i="1"/>
  <c r="L1880" i="1" s="1"/>
  <c r="K502" i="1"/>
  <c r="L502" i="1" s="1"/>
  <c r="K1672" i="1"/>
  <c r="L1672" i="1" s="1"/>
  <c r="K395" i="1"/>
  <c r="L395" i="1" s="1"/>
  <c r="K505" i="1"/>
  <c r="L505" i="1" s="1"/>
  <c r="K1922" i="1"/>
  <c r="L1922" i="1" s="1"/>
  <c r="K998" i="1"/>
  <c r="L998" i="1" s="1"/>
  <c r="K1494" i="1"/>
  <c r="L1494" i="1" s="1"/>
  <c r="K1738" i="1"/>
  <c r="L1738" i="1" s="1"/>
  <c r="K1924" i="1"/>
  <c r="L1924" i="1" s="1"/>
  <c r="K1162" i="1"/>
  <c r="L1162" i="1" s="1"/>
  <c r="K1282" i="1"/>
  <c r="L1282" i="1" s="1"/>
  <c r="K79" i="1"/>
  <c r="L79" i="1" s="1"/>
  <c r="K456" i="1"/>
  <c r="L456" i="1" s="1"/>
  <c r="K1384" i="1"/>
  <c r="L1384" i="1" s="1"/>
  <c r="K1250" i="1"/>
  <c r="L1250" i="1" s="1"/>
  <c r="K1213" i="1"/>
  <c r="L1213" i="1" s="1"/>
  <c r="K659" i="1"/>
  <c r="L659" i="1" s="1"/>
  <c r="K160" i="1"/>
  <c r="L160" i="1" s="1"/>
  <c r="K1990" i="1"/>
  <c r="L1990" i="1" s="1"/>
  <c r="K898" i="1"/>
  <c r="L898" i="1" s="1"/>
  <c r="K1825" i="1"/>
  <c r="L1825" i="1" s="1"/>
  <c r="K864" i="1"/>
  <c r="L864" i="1" s="1"/>
  <c r="K230" i="1"/>
  <c r="L230" i="1" s="1"/>
  <c r="K608" i="1"/>
  <c r="L608" i="1" s="1"/>
  <c r="K1290" i="1"/>
  <c r="L1290" i="1" s="1"/>
  <c r="K1130" i="1"/>
  <c r="L1130" i="1" s="1"/>
  <c r="K6" i="1"/>
  <c r="L6" i="1" s="1"/>
  <c r="K1570" i="1"/>
  <c r="L1570" i="1" s="1"/>
  <c r="K1774" i="1"/>
  <c r="L1774" i="1" s="1"/>
  <c r="K384" i="1"/>
  <c r="L384" i="1" s="1"/>
  <c r="K770" i="1"/>
  <c r="L770" i="1" s="1"/>
  <c r="K1461" i="1"/>
  <c r="L1461" i="1" s="1"/>
  <c r="K1184" i="1"/>
  <c r="L1184" i="1" s="1"/>
  <c r="K1479" i="1"/>
  <c r="L1479" i="1" s="1"/>
  <c r="K791" i="1"/>
  <c r="L791" i="1" s="1"/>
  <c r="K1012" i="1"/>
  <c r="L1012" i="1" s="1"/>
  <c r="K1824" i="1"/>
  <c r="L1824" i="1" s="1"/>
  <c r="K24" i="1"/>
  <c r="L24" i="1" s="1"/>
  <c r="K1563" i="1"/>
  <c r="L1563" i="1" s="1"/>
  <c r="K1405" i="1"/>
  <c r="L1405" i="1" s="1"/>
  <c r="K1203" i="1"/>
  <c r="L1203" i="1" s="1"/>
  <c r="K1139" i="1"/>
  <c r="L1139" i="1" s="1"/>
  <c r="K1979" i="1"/>
  <c r="L1979" i="1" s="1"/>
  <c r="K958" i="1"/>
  <c r="L958" i="1" s="1"/>
  <c r="K1099" i="1"/>
  <c r="L1099" i="1" s="1"/>
  <c r="K1028" i="1"/>
  <c r="L1028" i="1" s="1"/>
  <c r="K1978" i="1"/>
  <c r="L1978" i="1" s="1"/>
  <c r="K736" i="1"/>
  <c r="L736" i="1" s="1"/>
  <c r="K1472" i="1"/>
  <c r="L1472" i="1" s="1"/>
  <c r="K1529" i="1"/>
  <c r="L1529" i="1" s="1"/>
  <c r="K629" i="1"/>
  <c r="L629" i="1" s="1"/>
  <c r="K1319" i="1"/>
  <c r="L1319" i="1" s="1"/>
  <c r="K110" i="1"/>
  <c r="L110" i="1" s="1"/>
  <c r="K387" i="1"/>
  <c r="L387" i="1" s="1"/>
  <c r="K540" i="1"/>
  <c r="L540" i="1" s="1"/>
  <c r="K1816" i="1"/>
  <c r="L1816" i="1" s="1"/>
  <c r="K1621" i="1"/>
  <c r="L1621" i="1" s="1"/>
  <c r="K307" i="1"/>
  <c r="L307" i="1" s="1"/>
  <c r="K485" i="1"/>
  <c r="L485" i="1" s="1"/>
  <c r="K249" i="1"/>
  <c r="L249" i="1" s="1"/>
  <c r="K508" i="1"/>
  <c r="L508" i="1" s="1"/>
  <c r="K1786" i="1"/>
  <c r="L1786" i="1" s="1"/>
  <c r="K920" i="1"/>
  <c r="L920" i="1" s="1"/>
  <c r="K719" i="1"/>
  <c r="L719" i="1" s="1"/>
  <c r="K405" i="1"/>
  <c r="L405" i="1" s="1"/>
  <c r="K1088" i="1"/>
  <c r="L1088" i="1" s="1"/>
  <c r="K798" i="1"/>
  <c r="L798" i="1" s="1"/>
  <c r="K121" i="1"/>
  <c r="L121" i="1" s="1"/>
  <c r="K166" i="1"/>
  <c r="L166" i="1" s="1"/>
  <c r="K715" i="1"/>
  <c r="L715" i="1" s="1"/>
  <c r="K154" i="1"/>
  <c r="L154" i="1" s="1"/>
  <c r="K845" i="1"/>
  <c r="L845" i="1" s="1"/>
  <c r="K1131" i="1"/>
  <c r="L1131" i="1" s="1"/>
  <c r="K1640" i="1"/>
  <c r="L1640" i="1" s="1"/>
  <c r="K1225" i="1"/>
  <c r="L1225" i="1" s="1"/>
  <c r="K401" i="1"/>
  <c r="L401" i="1" s="1"/>
  <c r="K421" i="1"/>
  <c r="L421" i="1" s="1"/>
  <c r="K1788" i="1"/>
  <c r="L1788" i="1" s="1"/>
  <c r="K816" i="1"/>
  <c r="L816" i="1" s="1"/>
  <c r="K31" i="1"/>
  <c r="L31" i="1" s="1"/>
  <c r="K1928" i="1"/>
  <c r="L1928" i="1" s="1"/>
  <c r="K1496" i="1"/>
  <c r="L1496" i="1" s="1"/>
  <c r="K556" i="1"/>
  <c r="L556" i="1" s="1"/>
  <c r="K375" i="1"/>
  <c r="L375" i="1" s="1"/>
  <c r="K1526" i="1"/>
  <c r="L1526" i="1" s="1"/>
  <c r="K465" i="1"/>
  <c r="L465" i="1" s="1"/>
  <c r="K1521" i="1"/>
  <c r="L1521" i="1" s="1"/>
  <c r="K1449" i="1"/>
  <c r="L1449" i="1" s="1"/>
  <c r="K809" i="1"/>
  <c r="L809" i="1" s="1"/>
  <c r="K652" i="1"/>
  <c r="L652" i="1" s="1"/>
  <c r="K839" i="1"/>
  <c r="L839" i="1" s="1"/>
  <c r="K423" i="1"/>
  <c r="L423" i="1" s="1"/>
  <c r="K1058" i="1"/>
  <c r="L1058" i="1" s="1"/>
  <c r="K899" i="1"/>
  <c r="L899" i="1" s="1"/>
  <c r="K1974" i="1"/>
  <c r="L1974" i="1" s="1"/>
  <c r="K105" i="1"/>
  <c r="L105" i="1" s="1"/>
  <c r="K1991" i="1"/>
  <c r="L1991" i="1" s="1"/>
  <c r="K47" i="1"/>
  <c r="L47" i="1" s="1"/>
  <c r="K1565" i="1"/>
  <c r="L1565" i="1" s="1"/>
  <c r="K1084" i="1"/>
  <c r="L1084" i="1" s="1"/>
  <c r="K1959" i="1"/>
  <c r="L1959" i="1" s="1"/>
  <c r="K670" i="1"/>
  <c r="L670" i="1" s="1"/>
  <c r="K1339" i="1"/>
  <c r="L1339" i="1" s="1"/>
  <c r="K262" i="1"/>
  <c r="L262" i="1" s="1"/>
  <c r="K1346" i="1"/>
  <c r="L1346" i="1" s="1"/>
  <c r="K882" i="1"/>
  <c r="L882" i="1" s="1"/>
  <c r="K198" i="1"/>
  <c r="L198" i="1" s="1"/>
  <c r="K178" i="1"/>
  <c r="L178" i="1" s="1"/>
  <c r="K471" i="1"/>
  <c r="L471" i="1" s="1"/>
  <c r="K957" i="1"/>
  <c r="L957" i="1" s="1"/>
  <c r="K1463" i="1"/>
  <c r="L1463" i="1" s="1"/>
  <c r="K455" i="1"/>
  <c r="L455" i="1" s="1"/>
  <c r="K948" i="1"/>
  <c r="L948" i="1" s="1"/>
  <c r="K966" i="1"/>
  <c r="L966" i="1" s="1"/>
  <c r="K1255" i="1"/>
  <c r="L1255" i="1" s="1"/>
  <c r="K647" i="1"/>
  <c r="L647" i="1" s="1"/>
  <c r="K231" i="1"/>
  <c r="L231" i="1" s="1"/>
  <c r="K968" i="1"/>
  <c r="L968" i="1" s="1"/>
  <c r="K1158" i="1"/>
  <c r="L1158" i="1" s="1"/>
  <c r="K381" i="1"/>
  <c r="L381" i="1" s="1"/>
  <c r="K1795" i="1"/>
  <c r="L1795" i="1" s="1"/>
  <c r="K317" i="1"/>
  <c r="L317" i="1" s="1"/>
  <c r="K336" i="1"/>
  <c r="L336" i="1" s="1"/>
  <c r="K713" i="1"/>
  <c r="L713" i="1" s="1"/>
  <c r="K187" i="1"/>
  <c r="L187" i="1" s="1"/>
  <c r="K589" i="1"/>
  <c r="L589" i="1" s="1"/>
  <c r="K1523" i="1"/>
  <c r="L1523" i="1" s="1"/>
  <c r="K1125" i="1"/>
  <c r="L1125" i="1" s="1"/>
  <c r="K398" i="1"/>
  <c r="L398" i="1" s="1"/>
  <c r="K525" i="1"/>
  <c r="L525" i="1" s="1"/>
  <c r="K1926" i="1"/>
  <c r="L1926" i="1" s="1"/>
  <c r="K1082" i="1"/>
  <c r="L1082" i="1" s="1"/>
  <c r="K1782" i="1"/>
  <c r="L1782" i="1" s="1"/>
  <c r="K39" i="1"/>
  <c r="L39" i="1" s="1"/>
  <c r="K552" i="1"/>
  <c r="L552" i="1" s="1"/>
  <c r="K400" i="1"/>
  <c r="L400" i="1" s="1"/>
  <c r="K1096" i="1"/>
  <c r="L1096" i="1" s="1"/>
  <c r="K954" i="1"/>
  <c r="L954" i="1" s="1"/>
  <c r="K599" i="1"/>
  <c r="L599" i="1" s="1"/>
  <c r="K1445" i="1"/>
  <c r="L1445" i="1" s="1"/>
  <c r="K1881" i="1"/>
  <c r="L1881" i="1" s="1"/>
  <c r="K1661" i="1"/>
  <c r="L1661" i="1" s="1"/>
  <c r="K399" i="1"/>
  <c r="L399" i="1" s="1"/>
  <c r="K1288" i="1"/>
  <c r="L1288" i="1" s="1"/>
  <c r="K596" i="1"/>
  <c r="L596" i="1" s="1"/>
  <c r="K1846" i="1"/>
  <c r="L1846" i="1" s="1"/>
  <c r="K1784" i="1"/>
  <c r="L1784" i="1" s="1"/>
  <c r="K1945" i="1"/>
  <c r="L1945" i="1" s="1"/>
  <c r="K1372" i="1"/>
  <c r="L1372" i="1" s="1"/>
  <c r="K446" i="1"/>
  <c r="L446" i="1" s="1"/>
  <c r="K921" i="1"/>
  <c r="L921" i="1" s="1"/>
  <c r="K703" i="1"/>
  <c r="L703" i="1" s="1"/>
  <c r="K119" i="1"/>
  <c r="L119" i="1" s="1"/>
  <c r="K1195" i="1"/>
  <c r="L1195" i="1" s="1"/>
  <c r="K1291" i="1"/>
  <c r="L1291" i="1" s="1"/>
  <c r="K426" i="1"/>
  <c r="L426" i="1" s="1"/>
  <c r="K1837" i="1"/>
  <c r="L1837" i="1" s="1"/>
  <c r="K263" i="1"/>
  <c r="L263" i="1" s="1"/>
  <c r="K944" i="1"/>
  <c r="L944" i="1" s="1"/>
  <c r="K429" i="1"/>
  <c r="L429" i="1" s="1"/>
  <c r="K862" i="1"/>
  <c r="L862" i="1" s="1"/>
  <c r="K403" i="1"/>
  <c r="L403" i="1" s="1"/>
  <c r="K1178" i="1"/>
  <c r="L1178" i="1" s="1"/>
  <c r="K638" i="1"/>
  <c r="L638" i="1" s="1"/>
  <c r="K1235" i="1"/>
  <c r="L1235" i="1" s="1"/>
  <c r="K439" i="1"/>
  <c r="L439" i="1" s="1"/>
  <c r="K559" i="1"/>
  <c r="L559" i="1" s="1"/>
  <c r="K159" i="1"/>
  <c r="L159" i="1" s="1"/>
  <c r="K685" i="1"/>
  <c r="L685" i="1" s="1"/>
  <c r="K330" i="1"/>
  <c r="L330" i="1" s="1"/>
  <c r="K1557" i="1"/>
  <c r="L1557" i="1" s="1"/>
  <c r="K1624" i="1"/>
  <c r="L1624" i="1" s="1"/>
  <c r="K1155" i="1"/>
  <c r="L1155" i="1" s="1"/>
  <c r="K1187" i="1"/>
  <c r="L1187" i="1" s="1"/>
  <c r="K1909" i="1"/>
  <c r="L1909" i="1" s="1"/>
  <c r="K1102" i="1"/>
  <c r="L1102" i="1" s="1"/>
  <c r="K1768" i="1"/>
  <c r="L1768" i="1" s="1"/>
  <c r="K279" i="1"/>
  <c r="L279" i="1" s="1"/>
  <c r="K1252" i="1"/>
  <c r="L1252" i="1" s="1"/>
  <c r="K1368" i="1"/>
  <c r="L1368" i="1" s="1"/>
  <c r="K57" i="1"/>
  <c r="L57" i="1" s="1"/>
  <c r="K1059" i="1"/>
  <c r="L1059" i="1" s="1"/>
  <c r="K1767" i="1"/>
  <c r="L1767" i="1" s="1"/>
  <c r="K61" i="1"/>
  <c r="L61" i="1" s="1"/>
  <c r="K1829" i="1"/>
  <c r="L1829" i="1" s="1"/>
  <c r="K440" i="1"/>
  <c r="L440" i="1" s="1"/>
  <c r="K144" i="1"/>
  <c r="L144" i="1" s="1"/>
  <c r="K1210" i="1"/>
  <c r="L1210" i="1" s="1"/>
  <c r="K828" i="1"/>
  <c r="L828" i="1" s="1"/>
  <c r="K1360" i="1"/>
  <c r="L1360" i="1" s="1"/>
  <c r="K479" i="1"/>
  <c r="L479" i="1" s="1"/>
  <c r="K1261" i="1"/>
  <c r="L1261" i="1" s="1"/>
  <c r="K71" i="1"/>
  <c r="L71" i="1" s="1"/>
  <c r="K175" i="1"/>
  <c r="L175" i="1" s="1"/>
  <c r="K1929" i="1"/>
  <c r="L1929" i="1" s="1"/>
  <c r="K889" i="1"/>
  <c r="L889" i="1" s="1"/>
  <c r="K1262" i="1"/>
  <c r="L1262" i="1" s="1"/>
  <c r="K203" i="1"/>
  <c r="L203" i="1" s="1"/>
  <c r="K1458" i="1"/>
  <c r="L1458" i="1" s="1"/>
  <c r="K739" i="1"/>
  <c r="L739" i="1" s="1"/>
  <c r="K1293" i="1"/>
  <c r="L1293" i="1" s="1"/>
  <c r="K1980" i="1"/>
  <c r="L1980" i="1" s="1"/>
  <c r="K1644" i="1"/>
  <c r="L1644" i="1" s="1"/>
  <c r="K211" i="1"/>
  <c r="L211" i="1" s="1"/>
  <c r="K152" i="1"/>
  <c r="L152" i="1" s="1"/>
  <c r="K1668" i="1"/>
  <c r="L1668" i="1" s="1"/>
  <c r="K1706" i="1"/>
  <c r="L1706" i="1" s="1"/>
  <c r="K1325" i="1"/>
  <c r="L1325" i="1" s="1"/>
  <c r="K951" i="1"/>
  <c r="L951" i="1" s="1"/>
  <c r="K1483" i="1"/>
  <c r="L1483" i="1" s="1"/>
  <c r="K1658" i="1"/>
  <c r="L1658" i="1" s="1"/>
  <c r="K1873" i="1"/>
  <c r="L1873" i="1" s="1"/>
  <c r="K1355" i="1"/>
  <c r="L1355" i="1" s="1"/>
  <c r="K859" i="1"/>
  <c r="L859" i="1" s="1"/>
  <c r="K1231" i="1"/>
  <c r="L1231" i="1" s="1"/>
  <c r="K1798" i="1"/>
  <c r="L1798" i="1" s="1"/>
  <c r="K579" i="1"/>
  <c r="L579" i="1" s="1"/>
  <c r="K96" i="1"/>
  <c r="L96" i="1" s="1"/>
  <c r="K241" i="1"/>
  <c r="L241" i="1" s="1"/>
  <c r="K1004" i="1"/>
  <c r="L1004" i="1" s="1"/>
  <c r="K669" i="1"/>
  <c r="L669" i="1" s="1"/>
  <c r="K1038" i="1"/>
  <c r="L1038" i="1" s="1"/>
  <c r="K1559" i="1"/>
  <c r="L1559" i="1" s="1"/>
  <c r="K785" i="1"/>
  <c r="L785" i="1" s="1"/>
  <c r="K70" i="1"/>
  <c r="L70" i="1" s="1"/>
  <c r="K1632" i="1"/>
  <c r="L1632" i="1" s="1"/>
  <c r="K1810" i="1"/>
  <c r="L1810" i="1" s="1"/>
  <c r="K323" i="1"/>
  <c r="L323" i="1" s="1"/>
  <c r="K994" i="1"/>
  <c r="L994" i="1" s="1"/>
  <c r="K1296" i="1"/>
  <c r="L1296" i="1" s="1"/>
  <c r="K595" i="1"/>
  <c r="L595" i="1" s="1"/>
  <c r="K1966" i="1"/>
  <c r="L1966" i="1" s="1"/>
  <c r="K1238" i="1"/>
  <c r="L1238" i="1" s="1"/>
  <c r="K1651" i="1"/>
  <c r="L1651" i="1" s="1"/>
  <c r="K1913" i="1"/>
  <c r="L1913" i="1" s="1"/>
  <c r="K1535" i="1"/>
  <c r="L1535" i="1" s="1"/>
  <c r="K1919" i="1"/>
  <c r="L1919" i="1" s="1"/>
  <c r="K1221" i="1"/>
  <c r="L1221" i="1" s="1"/>
  <c r="K216" i="1"/>
  <c r="L216" i="1" s="1"/>
  <c r="K1344" i="1"/>
  <c r="L1344" i="1" s="1"/>
  <c r="K239" i="1"/>
  <c r="L239" i="1" s="1"/>
  <c r="K1093" i="1"/>
  <c r="L1093" i="1" s="1"/>
  <c r="K1023" i="1"/>
  <c r="L1023" i="1" s="1"/>
  <c r="K134" i="1"/>
  <c r="L134" i="1" s="1"/>
  <c r="K537" i="1"/>
  <c r="L537" i="1" s="1"/>
  <c r="K1709" i="1"/>
  <c r="L1709" i="1" s="1"/>
  <c r="K1596" i="1"/>
  <c r="L1596" i="1" s="1"/>
  <c r="K747" i="1"/>
  <c r="L747" i="1" s="1"/>
  <c r="K790" i="1"/>
  <c r="L790" i="1" s="1"/>
  <c r="K1994" i="1"/>
  <c r="L1994" i="1" s="1"/>
  <c r="K1713" i="1"/>
  <c r="L1713" i="1" s="1"/>
  <c r="K1765" i="1"/>
  <c r="L1765" i="1" s="1"/>
  <c r="K1487" i="1"/>
  <c r="L1487" i="1" s="1"/>
  <c r="K1271" i="1"/>
  <c r="L1271" i="1" s="1"/>
  <c r="K901" i="1"/>
  <c r="L901" i="1" s="1"/>
  <c r="K1201" i="1"/>
  <c r="L1201" i="1" s="1"/>
  <c r="K1324" i="1"/>
  <c r="L1324" i="1" s="1"/>
  <c r="K1513" i="1"/>
  <c r="L1513" i="1" s="1"/>
  <c r="K509" i="1"/>
  <c r="L509" i="1" s="1"/>
  <c r="K1581" i="1"/>
  <c r="L1581" i="1" s="1"/>
  <c r="K526" i="1"/>
  <c r="L526" i="1" s="1"/>
  <c r="K305" i="1"/>
  <c r="L305" i="1" s="1"/>
  <c r="K1076" i="1"/>
  <c r="L1076" i="1" s="1"/>
  <c r="K415" i="1"/>
  <c r="L415" i="1" s="1"/>
  <c r="K1228" i="1"/>
  <c r="L1228" i="1" s="1"/>
  <c r="K1234" i="1"/>
  <c r="L1234" i="1" s="1"/>
  <c r="K422" i="1"/>
  <c r="L422" i="1" s="1"/>
  <c r="K1446" i="1"/>
  <c r="L1446" i="1" s="1"/>
  <c r="K1157" i="1"/>
  <c r="L1157" i="1" s="1"/>
  <c r="K433" i="1"/>
  <c r="L433" i="1" s="1"/>
  <c r="K1722" i="1"/>
  <c r="L1722" i="1" s="1"/>
  <c r="K894" i="1"/>
  <c r="L894" i="1" s="1"/>
  <c r="K773" i="1"/>
  <c r="L773" i="1" s="1"/>
  <c r="K52" i="1"/>
  <c r="L52" i="1" s="1"/>
  <c r="K755" i="1"/>
  <c r="L755" i="1" s="1"/>
  <c r="K1594" i="1"/>
  <c r="L1594" i="1" s="1"/>
  <c r="K1100" i="1"/>
  <c r="L1100" i="1" s="1"/>
  <c r="K441" i="1"/>
  <c r="L441" i="1" s="1"/>
  <c r="K813" i="1"/>
  <c r="L813" i="1" s="1"/>
  <c r="K1754" i="1"/>
  <c r="L1754" i="1" s="1"/>
  <c r="K1588" i="1"/>
  <c r="L1588" i="1" s="1"/>
  <c r="K3" i="1"/>
  <c r="L3" i="1" s="1"/>
  <c r="K373" i="1"/>
  <c r="L373" i="1" s="1"/>
  <c r="K988" i="1"/>
  <c r="L988" i="1" s="1"/>
  <c r="K1630" i="1"/>
  <c r="L1630" i="1" s="1"/>
  <c r="K1865" i="1"/>
  <c r="L1865" i="1" s="1"/>
  <c r="K1778" i="1"/>
  <c r="L1778" i="1" s="1"/>
  <c r="K199" i="1"/>
  <c r="L199" i="1" s="1"/>
  <c r="K1440" i="1"/>
  <c r="L1440" i="1" s="1"/>
  <c r="K1733" i="1"/>
  <c r="L1733" i="1" s="1"/>
  <c r="K77" i="1"/>
  <c r="L77" i="1" s="1"/>
  <c r="K1455" i="1"/>
  <c r="L1455" i="1" s="1"/>
  <c r="K1808" i="1"/>
  <c r="L1808" i="1" s="1"/>
  <c r="K275" i="1"/>
  <c r="L275" i="1" s="1"/>
  <c r="K1827" i="1"/>
  <c r="L1827" i="1" s="1"/>
  <c r="K106" i="1"/>
  <c r="L106" i="1" s="1"/>
  <c r="K1869" i="1"/>
  <c r="L1869" i="1" s="1"/>
  <c r="K1821" i="1"/>
  <c r="L1821" i="1" s="1"/>
  <c r="K1177" i="1"/>
  <c r="L1177" i="1" s="1"/>
  <c r="K876" i="1"/>
  <c r="L876" i="1" s="1"/>
  <c r="K1072" i="1"/>
  <c r="L1072" i="1" s="1"/>
  <c r="K1704" i="1"/>
  <c r="L1704" i="1" s="1"/>
  <c r="K996" i="1"/>
  <c r="L996" i="1" s="1"/>
  <c r="K195" i="1"/>
  <c r="L195" i="1" s="1"/>
  <c r="K1636" i="1"/>
  <c r="L1636" i="1" s="1"/>
  <c r="K1691" i="1"/>
  <c r="L1691" i="1" s="1"/>
  <c r="K577" i="1"/>
  <c r="L577" i="1" s="1"/>
  <c r="K1696" i="1"/>
  <c r="L1696" i="1" s="1"/>
  <c r="K1350" i="1"/>
  <c r="L1350" i="1" s="1"/>
  <c r="K815" i="1"/>
  <c r="L815" i="1" s="1"/>
  <c r="K863" i="1"/>
  <c r="L863" i="1" s="1"/>
  <c r="K1963" i="1"/>
  <c r="L1963" i="1" s="1"/>
  <c r="K1206" i="1"/>
  <c r="L1206" i="1" s="1"/>
  <c r="K1090" i="1"/>
  <c r="L1090" i="1" s="1"/>
  <c r="K548" i="1"/>
  <c r="L548" i="1" s="1"/>
  <c r="K907" i="1"/>
  <c r="L907" i="1" s="1"/>
  <c r="K1673" i="1"/>
  <c r="L1673" i="1" s="1"/>
  <c r="K1471" i="1"/>
  <c r="L1471" i="1" s="1"/>
  <c r="K1530" i="1"/>
  <c r="L1530" i="1" s="1"/>
  <c r="K214" i="1"/>
  <c r="L214" i="1" s="1"/>
  <c r="K13" i="1"/>
  <c r="L13" i="1" s="1"/>
  <c r="K1070" i="1"/>
  <c r="L1070" i="1" s="1"/>
  <c r="K1771" i="1"/>
  <c r="L1771" i="1" s="1"/>
  <c r="K112" i="1"/>
  <c r="L112" i="1" s="1"/>
  <c r="K153" i="1"/>
  <c r="L153" i="1" s="1"/>
  <c r="K280" i="1"/>
  <c r="L280" i="1" s="1"/>
  <c r="K1946" i="1"/>
  <c r="L1946" i="1" s="1"/>
  <c r="K768" i="1"/>
  <c r="L768" i="1" s="1"/>
  <c r="K487" i="1"/>
  <c r="L487" i="1" s="1"/>
  <c r="K1792" i="1"/>
  <c r="L1792" i="1" s="1"/>
  <c r="K1410" i="1"/>
  <c r="L1410" i="1" s="1"/>
  <c r="K443" i="1"/>
  <c r="L443" i="1" s="1"/>
  <c r="K1302" i="1"/>
  <c r="L1302" i="1" s="1"/>
  <c r="K346" i="1"/>
  <c r="L346" i="1" s="1"/>
  <c r="K357" i="1"/>
  <c r="L357" i="1" s="1"/>
  <c r="K1718" i="1"/>
  <c r="L1718" i="1" s="1"/>
  <c r="K1506" i="1"/>
  <c r="L1506" i="1" s="1"/>
  <c r="K1645" i="1"/>
  <c r="L1645" i="1" s="1"/>
  <c r="K35" i="1"/>
  <c r="L35" i="1" s="1"/>
  <c r="K1159" i="1"/>
  <c r="L1159" i="1" s="1"/>
  <c r="K867" i="1"/>
  <c r="L867" i="1" s="1"/>
  <c r="K1833" i="1"/>
  <c r="L1833" i="1" s="1"/>
  <c r="K466" i="1"/>
  <c r="L466" i="1" s="1"/>
  <c r="K622" i="1"/>
  <c r="L622" i="1" s="1"/>
  <c r="K354" i="1"/>
  <c r="L354" i="1" s="1"/>
  <c r="K1675" i="1"/>
  <c r="L1675" i="1" s="1"/>
  <c r="K1378" i="1"/>
  <c r="L1378" i="1" s="1"/>
  <c r="K219" i="1"/>
  <c r="L219" i="1" s="1"/>
  <c r="K353" i="1"/>
  <c r="L353" i="1" s="1"/>
  <c r="K438" i="1"/>
  <c r="L438" i="1" s="1"/>
  <c r="K1843" i="1"/>
  <c r="L1843" i="1" s="1"/>
  <c r="K1146" i="1"/>
  <c r="L1146" i="1" s="1"/>
  <c r="K1544" i="1"/>
  <c r="L1544" i="1" s="1"/>
  <c r="K569" i="1"/>
  <c r="L569" i="1" s="1"/>
  <c r="K1698" i="1"/>
  <c r="L1698" i="1" s="1"/>
  <c r="K1253" i="1"/>
  <c r="L1253" i="1" s="1"/>
  <c r="K672" i="1"/>
  <c r="L672" i="1" s="1"/>
  <c r="K1574" i="1"/>
  <c r="L1574" i="1" s="1"/>
  <c r="K979" i="1"/>
  <c r="L979" i="1" s="1"/>
  <c r="K535" i="1"/>
  <c r="L535" i="1" s="1"/>
  <c r="K1328" i="1"/>
  <c r="L1328" i="1" s="1"/>
  <c r="K1877" i="1"/>
  <c r="L1877" i="1" s="1"/>
  <c r="K825" i="1"/>
  <c r="L825" i="1" s="1"/>
  <c r="K1546" i="1"/>
  <c r="L1546" i="1" s="1"/>
  <c r="K1502" i="1"/>
  <c r="L1502" i="1" s="1"/>
  <c r="K341" i="1"/>
  <c r="L341" i="1" s="1"/>
  <c r="K775" i="1"/>
  <c r="L775" i="1" s="1"/>
  <c r="K981" i="1"/>
  <c r="L981" i="1" s="1"/>
  <c r="K1270" i="1"/>
  <c r="L1270" i="1" s="1"/>
  <c r="K1453" i="1"/>
  <c r="L1453" i="1" s="1"/>
  <c r="K646" i="1"/>
  <c r="L646" i="1" s="1"/>
  <c r="K1755" i="1"/>
  <c r="L1755" i="1" s="1"/>
  <c r="K397" i="1"/>
  <c r="L397" i="1" s="1"/>
  <c r="K1351" i="1"/>
  <c r="L1351" i="1" s="1"/>
  <c r="K675" i="1"/>
  <c r="L675" i="1" s="1"/>
  <c r="K946" i="1"/>
  <c r="L946" i="1" s="1"/>
  <c r="K1323" i="1"/>
  <c r="L1323" i="1" s="1"/>
  <c r="K1015" i="1"/>
  <c r="L1015" i="1" s="1"/>
  <c r="K1520" i="1"/>
  <c r="L1520" i="1" s="1"/>
  <c r="K1957" i="1"/>
  <c r="L1957" i="1" s="1"/>
  <c r="K777" i="1"/>
  <c r="L777" i="1" s="1"/>
  <c r="K1272" i="1"/>
  <c r="L1272" i="1" s="1"/>
  <c r="K1493" i="1"/>
  <c r="L1493" i="1" s="1"/>
  <c r="K1505" i="1"/>
  <c r="L1505" i="1" s="1"/>
  <c r="K458" i="1"/>
  <c r="L458" i="1" s="1"/>
  <c r="K1229" i="1"/>
  <c r="L1229" i="1" s="1"/>
  <c r="K1107" i="1"/>
  <c r="L1107" i="1" s="1"/>
  <c r="K62" i="1"/>
  <c r="L62" i="1" s="1"/>
  <c r="K1871" i="1"/>
  <c r="L1871" i="1" s="1"/>
  <c r="K1770" i="1"/>
  <c r="L1770" i="1" s="1"/>
  <c r="K1391" i="1"/>
  <c r="L1391" i="1" s="1"/>
  <c r="K184" i="1"/>
  <c r="L184" i="1" s="1"/>
  <c r="K953" i="1"/>
  <c r="L953" i="1" s="1"/>
  <c r="K618" i="1"/>
  <c r="L618" i="1" s="1"/>
  <c r="K85" i="1"/>
  <c r="L85" i="1" s="1"/>
  <c r="K561" i="1"/>
  <c r="L561" i="1" s="1"/>
  <c r="K1745" i="1"/>
  <c r="L1745" i="1" s="1"/>
  <c r="K319" i="1"/>
  <c r="L319" i="1" s="1"/>
  <c r="K734" i="1"/>
  <c r="L734" i="1" s="1"/>
  <c r="K88" i="1"/>
  <c r="L88" i="1" s="1"/>
  <c r="K1242" i="1"/>
  <c r="L1242" i="1" s="1"/>
  <c r="K1705" i="1"/>
  <c r="L1705" i="1" s="1"/>
  <c r="K1930" i="1"/>
  <c r="L1930" i="1" s="1"/>
  <c r="K831" i="1"/>
  <c r="L831" i="1" s="1"/>
  <c r="K650" i="1"/>
  <c r="L650" i="1" s="1"/>
  <c r="K1331" i="1"/>
  <c r="L1331" i="1" s="1"/>
  <c r="K1373" i="1"/>
  <c r="L1373" i="1" s="1"/>
  <c r="K475" i="1"/>
  <c r="L475" i="1" s="1"/>
  <c r="K848" i="1"/>
  <c r="L848" i="1" s="1"/>
  <c r="K1591" i="1"/>
  <c r="L1591" i="1" s="1"/>
  <c r="K961" i="1"/>
  <c r="L961" i="1" s="1"/>
  <c r="K155" i="1"/>
  <c r="L155" i="1" s="1"/>
  <c r="K905" i="1"/>
  <c r="L905" i="1" s="1"/>
  <c r="K931" i="1"/>
  <c r="L931" i="1" s="1"/>
  <c r="K1643" i="1"/>
  <c r="L1643" i="1" s="1"/>
  <c r="K977" i="1"/>
  <c r="L977" i="1" s="1"/>
  <c r="K379" i="1"/>
  <c r="L379" i="1" s="1"/>
  <c r="K614" i="1"/>
  <c r="L614" i="1" s="1"/>
  <c r="K927" i="1"/>
  <c r="L927" i="1" s="1"/>
  <c r="K1958" i="1"/>
  <c r="L1958" i="1" s="1"/>
  <c r="K1345" i="1"/>
  <c r="L1345" i="1" s="1"/>
  <c r="K272" i="1"/>
  <c r="L272" i="1" s="1"/>
  <c r="K924" i="1"/>
  <c r="L924" i="1" s="1"/>
  <c r="K938" i="1"/>
  <c r="L938" i="1" s="1"/>
  <c r="K1347" i="1"/>
  <c r="L1347" i="1" s="1"/>
  <c r="K1180" i="1"/>
  <c r="L1180" i="1" s="1"/>
  <c r="K870" i="1"/>
  <c r="L870" i="1" s="1"/>
  <c r="K1089" i="1"/>
  <c r="L1089" i="1" s="1"/>
  <c r="K1150" i="1"/>
  <c r="L1150" i="1" s="1"/>
  <c r="K1921" i="1"/>
  <c r="L1921" i="1" s="1"/>
  <c r="K1597" i="1"/>
  <c r="L1597" i="1" s="1"/>
  <c r="K469" i="1"/>
  <c r="L469" i="1" s="1"/>
  <c r="K291" i="1"/>
  <c r="L291" i="1" s="1"/>
  <c r="K1186" i="1"/>
  <c r="L1186" i="1" s="1"/>
  <c r="K1286" i="1"/>
  <c r="L1286" i="1" s="1"/>
  <c r="K1429" i="1"/>
  <c r="L1429" i="1" s="1"/>
  <c r="K1598" i="1"/>
  <c r="L1598" i="1" s="1"/>
  <c r="K1612" i="1"/>
  <c r="L1612" i="1" s="1"/>
  <c r="K1404" i="1"/>
  <c r="L1404" i="1" s="1"/>
  <c r="K1424" i="1"/>
  <c r="L1424" i="1" s="1"/>
  <c r="K1022" i="1"/>
  <c r="L1022" i="1" s="1"/>
  <c r="K910" i="1"/>
  <c r="L910" i="1" s="1"/>
  <c r="K1426" i="1"/>
  <c r="L1426" i="1" s="1"/>
  <c r="K1267" i="1"/>
  <c r="L1267" i="1" s="1"/>
  <c r="K1095" i="1"/>
  <c r="L1095" i="1" s="1"/>
  <c r="K1051" i="1"/>
  <c r="L1051" i="1" s="1"/>
  <c r="K1721" i="1"/>
  <c r="L1721" i="1" s="1"/>
  <c r="K298" i="1"/>
  <c r="L298" i="1" s="1"/>
  <c r="K1682" i="1"/>
  <c r="L1682" i="1" s="1"/>
  <c r="K1854" i="1"/>
  <c r="L1854" i="1" s="1"/>
  <c r="K1010" i="1"/>
  <c r="L1010" i="1" s="1"/>
  <c r="K726" i="1"/>
  <c r="L726" i="1" s="1"/>
  <c r="K437" i="1"/>
  <c r="L437" i="1" s="1"/>
  <c r="K1973" i="1"/>
  <c r="L1973" i="1" s="1"/>
  <c r="K1642" i="1"/>
  <c r="L1642" i="1" s="1"/>
  <c r="K313" i="1"/>
  <c r="L313" i="1" s="1"/>
  <c r="K1208" i="1"/>
  <c r="L1208" i="1" s="1"/>
  <c r="K1571" i="1"/>
  <c r="L1571" i="1" s="1"/>
  <c r="K222" i="1"/>
  <c r="L222" i="1" s="1"/>
  <c r="K741" i="1"/>
  <c r="L741" i="1" s="1"/>
  <c r="K903" i="1"/>
  <c r="L903" i="1" s="1"/>
  <c r="K717" i="1"/>
  <c r="L717" i="1" s="1"/>
  <c r="K1318" i="1"/>
  <c r="L1318" i="1" s="1"/>
  <c r="K1885" i="1"/>
  <c r="L1885" i="1" s="1"/>
  <c r="K1666" i="1"/>
  <c r="L1666" i="1" s="1"/>
  <c r="K1981" i="1"/>
  <c r="L1981" i="1" s="1"/>
  <c r="K364" i="1"/>
  <c r="L364" i="1" s="1"/>
  <c r="K253" i="1"/>
  <c r="L253" i="1" s="1"/>
  <c r="K161" i="1"/>
  <c r="L161" i="1" s="1"/>
  <c r="K1753" i="1"/>
  <c r="L1753" i="1" s="1"/>
  <c r="K1265" i="1"/>
  <c r="L1265" i="1" s="1"/>
  <c r="K1556" i="1"/>
  <c r="L1556" i="1" s="1"/>
  <c r="K1647" i="1"/>
  <c r="L1647" i="1" s="1"/>
  <c r="K812" i="1"/>
  <c r="L812" i="1" s="1"/>
  <c r="K1077" i="1"/>
  <c r="L1077" i="1" s="1"/>
  <c r="K1848" i="1"/>
  <c r="L1848" i="1" s="1"/>
  <c r="K1397" i="1"/>
  <c r="L1397" i="1" s="1"/>
  <c r="K517" i="1"/>
  <c r="L517" i="1" s="1"/>
  <c r="K782" i="1"/>
  <c r="L782" i="1" s="1"/>
  <c r="K418" i="1"/>
  <c r="L418" i="1" s="1"/>
  <c r="K1707" i="1"/>
  <c r="L1707" i="1" s="1"/>
  <c r="K725" i="1"/>
  <c r="L725" i="1" s="1"/>
  <c r="K1447" i="1"/>
  <c r="L1447" i="1" s="1"/>
  <c r="K1002" i="1"/>
  <c r="L1002" i="1" s="1"/>
  <c r="K1619" i="1"/>
  <c r="L1619" i="1" s="1"/>
  <c r="K1335" i="1"/>
  <c r="L1335" i="1" s="1"/>
  <c r="K1173" i="1"/>
  <c r="L1173" i="1" s="1"/>
  <c r="K1480" i="1"/>
  <c r="L1480" i="1" s="1"/>
  <c r="K1809" i="1"/>
  <c r="L1809" i="1" s="1"/>
  <c r="K993" i="1"/>
  <c r="L993" i="1" s="1"/>
  <c r="K885" i="1"/>
  <c r="L885" i="1" s="1"/>
  <c r="K1383" i="1"/>
  <c r="L1383" i="1" s="1"/>
  <c r="K74" i="1"/>
  <c r="L74" i="1" s="1"/>
  <c r="K1428" i="1"/>
  <c r="L1428" i="1" s="1"/>
  <c r="K1194" i="1"/>
  <c r="L1194" i="1" s="1"/>
  <c r="K1634" i="1"/>
  <c r="L1634" i="1" s="1"/>
  <c r="K1181" i="1"/>
  <c r="L1181" i="1" s="1"/>
  <c r="K908" i="1"/>
  <c r="L908" i="1" s="1"/>
  <c r="K1129" i="1"/>
  <c r="L1129" i="1" s="1"/>
  <c r="K1420" i="1"/>
  <c r="L1420" i="1" s="1"/>
  <c r="K536" i="1"/>
  <c r="L536" i="1" s="1"/>
  <c r="K1382" i="1"/>
  <c r="L1382" i="1" s="1"/>
  <c r="K238" i="1"/>
  <c r="L238" i="1" s="1"/>
  <c r="K378" i="1"/>
  <c r="L378" i="1" s="1"/>
  <c r="K1244" i="1"/>
  <c r="L1244" i="1" s="1"/>
  <c r="K772" i="1"/>
  <c r="L772" i="1" s="1"/>
  <c r="K989" i="1"/>
  <c r="L989" i="1" s="1"/>
  <c r="K363" i="1"/>
  <c r="L363" i="1" s="1"/>
  <c r="K1030" i="1"/>
  <c r="L1030" i="1" s="1"/>
  <c r="K533" i="1"/>
  <c r="L533" i="1" s="1"/>
  <c r="K197" i="1"/>
  <c r="L197" i="1" s="1"/>
  <c r="K1268" i="1"/>
  <c r="L1268" i="1" s="1"/>
  <c r="K172" i="1"/>
  <c r="L172" i="1" s="1"/>
  <c r="K1226" i="1"/>
  <c r="L1226" i="1" s="1"/>
  <c r="K1215" i="1"/>
  <c r="L1215" i="1" s="1"/>
  <c r="K1813" i="1"/>
  <c r="L1813" i="1" s="1"/>
  <c r="K869" i="1"/>
  <c r="L869" i="1" s="1"/>
  <c r="K1263" i="1"/>
  <c r="L1263" i="1" s="1"/>
  <c r="K1725" i="1"/>
  <c r="L1725" i="1" s="1"/>
  <c r="K2" i="1"/>
  <c r="L2" i="1" s="1"/>
  <c r="K745" i="1"/>
  <c r="L745" i="1" s="1"/>
  <c r="K926" i="1"/>
  <c r="L926" i="1" s="1"/>
  <c r="K1961" i="1"/>
  <c r="L1961" i="1" s="1"/>
  <c r="K204" i="1"/>
  <c r="L204" i="1" s="1"/>
  <c r="K1387" i="1"/>
  <c r="L1387" i="1" s="1"/>
  <c r="K634" i="1"/>
  <c r="L634" i="1" s="1"/>
  <c r="K1034" i="1"/>
  <c r="L1034" i="1" s="1"/>
  <c r="K811" i="1"/>
  <c r="L811" i="1" s="1"/>
  <c r="K377" i="1"/>
  <c r="L377" i="1" s="1"/>
  <c r="K453" i="1"/>
  <c r="L453" i="1" s="1"/>
  <c r="K498" i="1"/>
  <c r="L498" i="1" s="1"/>
  <c r="K1322" i="1"/>
  <c r="L1322" i="1" s="1"/>
  <c r="K1417" i="1"/>
  <c r="L1417" i="1" s="1"/>
  <c r="K1925" i="1"/>
  <c r="L1925" i="1" s="1"/>
  <c r="K261" i="1"/>
  <c r="L261" i="1" s="1"/>
  <c r="K915" i="1"/>
  <c r="L915" i="1" s="1"/>
  <c r="K1739" i="1"/>
  <c r="L1739" i="1" s="1"/>
  <c r="K1935" i="1"/>
  <c r="L1935" i="1" s="1"/>
  <c r="K380" i="1"/>
  <c r="L380" i="1" s="1"/>
  <c r="K206" i="1"/>
  <c r="L206" i="1" s="1"/>
  <c r="K984" i="1"/>
  <c r="L984" i="1" s="1"/>
  <c r="K430" i="1"/>
  <c r="L430" i="1" s="1"/>
  <c r="K591" i="1"/>
  <c r="L591" i="1" s="1"/>
  <c r="K1564" i="1"/>
  <c r="L1564" i="1" s="1"/>
  <c r="K23" i="1"/>
  <c r="L23" i="1" s="1"/>
  <c r="K146" i="1"/>
  <c r="L146" i="1" s="1"/>
  <c r="K1676" i="1"/>
  <c r="L1676" i="1" s="1"/>
  <c r="K250" i="1"/>
  <c r="L250" i="1" s="1"/>
  <c r="K460" i="1"/>
  <c r="L460" i="1" s="1"/>
  <c r="K504" i="1"/>
  <c r="L504" i="1" s="1"/>
  <c r="K1407" i="1"/>
  <c r="L1407" i="1" s="1"/>
  <c r="K973" i="1"/>
  <c r="L973" i="1" s="1"/>
  <c r="K340" i="1"/>
  <c r="L340" i="1" s="1"/>
  <c r="K1817" i="1"/>
  <c r="L1817" i="1" s="1"/>
  <c r="K1204" i="1"/>
  <c r="L1204" i="1" s="1"/>
  <c r="K1379" i="1"/>
  <c r="L1379" i="1" s="1"/>
  <c r="K462" i="1"/>
  <c r="L462" i="1" s="1"/>
  <c r="K1874" i="1"/>
  <c r="L1874" i="1" s="1"/>
  <c r="K1577" i="1"/>
  <c r="L1577" i="1" s="1"/>
  <c r="K1752" i="1"/>
  <c r="L1752" i="1" s="1"/>
  <c r="K1438" i="1"/>
  <c r="L1438" i="1" s="1"/>
  <c r="K1606" i="1"/>
  <c r="L1606" i="1" s="1"/>
  <c r="K156" i="1"/>
  <c r="L156" i="1" s="1"/>
  <c r="K1504" i="1"/>
  <c r="L1504" i="1" s="1"/>
  <c r="K872" i="1"/>
  <c r="L872" i="1" s="1"/>
  <c r="K1977" i="1"/>
  <c r="L1977" i="1" s="1"/>
  <c r="K268" i="1"/>
  <c r="L268" i="1" s="1"/>
  <c r="K169" i="1"/>
  <c r="L169" i="1" s="1"/>
  <c r="K1278" i="1"/>
  <c r="L1278" i="1" s="1"/>
  <c r="K1886" i="1"/>
  <c r="L1886" i="1" s="1"/>
  <c r="K890" i="1"/>
  <c r="L890" i="1" s="1"/>
  <c r="K1840" i="1"/>
  <c r="L1840" i="1" s="1"/>
  <c r="K325" i="1"/>
  <c r="L325" i="1" s="1"/>
  <c r="K723" i="1"/>
  <c r="L723" i="1" s="1"/>
  <c r="K1340" i="1"/>
  <c r="L1340" i="1" s="1"/>
  <c r="K1109" i="1"/>
  <c r="L1109" i="1" s="1"/>
  <c r="K1469" i="1"/>
  <c r="L1469" i="1" s="1"/>
  <c r="K694" i="1"/>
  <c r="L694" i="1" s="1"/>
  <c r="K1599" i="1"/>
  <c r="L1599" i="1" s="1"/>
  <c r="K311" i="1"/>
  <c r="L311" i="1" s="1"/>
  <c r="K1120" i="1"/>
  <c r="L1120" i="1" s="1"/>
  <c r="K425" i="1"/>
  <c r="L425" i="1" s="1"/>
  <c r="K764" i="1"/>
  <c r="L764" i="1" s="1"/>
  <c r="K300" i="1"/>
  <c r="L300" i="1" s="1"/>
  <c r="K722" i="1"/>
  <c r="L722" i="1" s="1"/>
  <c r="K210" i="1"/>
  <c r="L210" i="1" s="1"/>
  <c r="K1561" i="1"/>
  <c r="L1561" i="1" s="1"/>
  <c r="K1230" i="1"/>
  <c r="L1230" i="1" s="1"/>
  <c r="K310" i="1"/>
  <c r="L310" i="1" s="1"/>
  <c r="K117" i="1"/>
  <c r="L117" i="1" s="1"/>
  <c r="K1080" i="1"/>
  <c r="L1080" i="1" s="1"/>
  <c r="K1712" i="1"/>
  <c r="L1712" i="1" s="1"/>
  <c r="K1674" i="1"/>
  <c r="L1674" i="1" s="1"/>
  <c r="K467" i="1"/>
  <c r="L467" i="1" s="1"/>
  <c r="K959" i="1"/>
  <c r="L959" i="1" s="1"/>
  <c r="K1395" i="1"/>
  <c r="L1395" i="1" s="1"/>
  <c r="K1569" i="1"/>
  <c r="L1569" i="1" s="1"/>
  <c r="K952" i="1"/>
  <c r="L952" i="1" s="1"/>
  <c r="K290" i="1"/>
  <c r="L290" i="1" s="1"/>
  <c r="K1593" i="1"/>
  <c r="L1593" i="1" s="1"/>
  <c r="K1655" i="1"/>
  <c r="L1655" i="1" s="1"/>
  <c r="K1967" i="1"/>
  <c r="L1967" i="1" s="1"/>
  <c r="K417" i="1"/>
  <c r="L417" i="1" s="1"/>
  <c r="K1702" i="1"/>
  <c r="L1702" i="1" s="1"/>
  <c r="K1329" i="1"/>
  <c r="L1329" i="1" s="1"/>
  <c r="K301" i="1"/>
  <c r="L301" i="1" s="1"/>
  <c r="K315" i="1"/>
  <c r="L315" i="1" s="1"/>
  <c r="K962" i="1"/>
  <c r="L962" i="1" s="1"/>
  <c r="K174" i="1"/>
  <c r="L174" i="1" s="1"/>
  <c r="K1923" i="1"/>
  <c r="L1923" i="1" s="1"/>
  <c r="K1736" i="1"/>
  <c r="L1736" i="1" s="1"/>
  <c r="K1737" i="1"/>
  <c r="L1737" i="1" s="1"/>
  <c r="K1371" i="1"/>
  <c r="L1371" i="1" s="1"/>
  <c r="K746" i="1"/>
  <c r="L746" i="1" s="1"/>
  <c r="K1444" i="1"/>
  <c r="L1444" i="1" s="1"/>
  <c r="K529" i="1"/>
  <c r="L529" i="1" s="1"/>
  <c r="K80" i="1"/>
  <c r="L80" i="1" s="1"/>
  <c r="K232" i="1"/>
  <c r="L232" i="1" s="1"/>
  <c r="K411" i="1"/>
  <c r="L411" i="1" s="1"/>
  <c r="K1662" i="1"/>
  <c r="L1662" i="1" s="1"/>
  <c r="K1536" i="1"/>
  <c r="L1536" i="1" s="1"/>
  <c r="K140" i="1"/>
  <c r="L140" i="1" s="1"/>
  <c r="K1473" i="1"/>
  <c r="L1473" i="1" s="1"/>
  <c r="K884" i="1"/>
  <c r="L884" i="1" s="1"/>
  <c r="K1388" i="1"/>
  <c r="L1388" i="1" s="1"/>
  <c r="K21" i="1"/>
  <c r="L21" i="1" s="1"/>
  <c r="K1435" i="1"/>
  <c r="L1435" i="1" s="1"/>
  <c r="K1823" i="1"/>
  <c r="L1823" i="1" s="1"/>
  <c r="K756" i="1"/>
  <c r="L756" i="1" s="1"/>
  <c r="K236" i="1"/>
  <c r="L236" i="1" s="1"/>
  <c r="K635" i="1"/>
  <c r="L635" i="1" s="1"/>
  <c r="K427" i="1"/>
  <c r="L427" i="1" s="1"/>
  <c r="K762" i="1"/>
  <c r="L762" i="1" s="1"/>
  <c r="K1377" i="1"/>
  <c r="L1377" i="1" s="1"/>
  <c r="K93" i="1"/>
  <c r="L93" i="1" s="1"/>
  <c r="K851" i="1"/>
  <c r="L851" i="1" s="1"/>
  <c r="K1166" i="1"/>
  <c r="L1166" i="1" s="1"/>
  <c r="K1224" i="1"/>
  <c r="L1224" i="1" s="1"/>
  <c r="K797" i="1"/>
  <c r="L797" i="1" s="1"/>
  <c r="K581" i="1"/>
  <c r="L581" i="1" s="1"/>
  <c r="K625" i="1"/>
  <c r="L625" i="1" s="1"/>
  <c r="K1777" i="1"/>
  <c r="L1777" i="1" s="1"/>
  <c r="K1403" i="1"/>
  <c r="L1403" i="1" s="1"/>
  <c r="K1894" i="1"/>
  <c r="L1894" i="1" s="1"/>
  <c r="K602" i="1"/>
  <c r="L602" i="1" s="1"/>
  <c r="K1198" i="1"/>
  <c r="L1198" i="1" s="1"/>
  <c r="K551" i="1"/>
  <c r="L551" i="1" s="1"/>
  <c r="K454" i="1"/>
  <c r="L454" i="1" s="1"/>
  <c r="K299" i="1"/>
  <c r="L299" i="1" s="1"/>
  <c r="K754" i="1"/>
  <c r="L754" i="1" s="1"/>
  <c r="K658" i="1"/>
  <c r="L658" i="1" s="1"/>
  <c r="K424" i="1"/>
  <c r="L424" i="1" s="1"/>
  <c r="K388" i="1"/>
  <c r="L388" i="1" s="1"/>
  <c r="K1908" i="1"/>
  <c r="L1908" i="1" s="1"/>
  <c r="K138" i="1"/>
  <c r="L138" i="1" s="1"/>
  <c r="K1227" i="1"/>
  <c r="L1227" i="1" s="1"/>
  <c r="K461" i="1"/>
  <c r="L461" i="1" s="1"/>
  <c r="K716" i="1"/>
  <c r="L716" i="1" s="1"/>
  <c r="K1584" i="1"/>
  <c r="L1584" i="1" s="1"/>
  <c r="K44" i="1"/>
  <c r="L44" i="1" s="1"/>
  <c r="K63" i="1"/>
  <c r="L63" i="1" s="1"/>
  <c r="K1730" i="1"/>
  <c r="L1730" i="1" s="1"/>
  <c r="K1797" i="1"/>
  <c r="L1797" i="1" s="1"/>
  <c r="K917" i="1"/>
  <c r="L917" i="1" s="1"/>
  <c r="K1527" i="1"/>
  <c r="L1527" i="1" s="1"/>
  <c r="K302" i="1"/>
  <c r="L302" i="1" s="1"/>
  <c r="K176" i="1"/>
  <c r="L176" i="1" s="1"/>
  <c r="K868" i="1"/>
  <c r="L868" i="1" s="1"/>
  <c r="K450" i="1"/>
  <c r="L450" i="1" s="1"/>
  <c r="K289" i="1"/>
  <c r="L289" i="1" s="1"/>
  <c r="K1828" i="1"/>
  <c r="L1828" i="1" s="1"/>
  <c r="K221" i="1"/>
  <c r="L221" i="1" s="1"/>
  <c r="K7" i="1"/>
  <c r="L7" i="1" s="1"/>
  <c r="K1190" i="1"/>
  <c r="L1190" i="1" s="1"/>
  <c r="K799" i="1"/>
  <c r="L799" i="1" s="1"/>
  <c r="K1650" i="1"/>
  <c r="L1650" i="1" s="1"/>
  <c r="K1063" i="1"/>
  <c r="L1063" i="1" s="1"/>
  <c r="K1087" i="1"/>
  <c r="L1087" i="1" s="1"/>
  <c r="K943" i="1"/>
  <c r="L943" i="1" s="1"/>
  <c r="K1477" i="1"/>
  <c r="L1477" i="1" s="1"/>
  <c r="K472" i="1"/>
  <c r="L472" i="1" s="1"/>
  <c r="K1498" i="1"/>
  <c r="L1498" i="1" s="1"/>
  <c r="K143" i="1"/>
  <c r="L143" i="1" s="1"/>
  <c r="K1715" i="1"/>
  <c r="L1715" i="1" s="1"/>
  <c r="K835" i="1"/>
  <c r="L835" i="1" s="1"/>
  <c r="K1641" i="1"/>
  <c r="L1641" i="1" s="1"/>
  <c r="K886" i="1"/>
  <c r="L886" i="1" s="1"/>
  <c r="K986" i="1"/>
  <c r="L986" i="1" s="1"/>
  <c r="K1055" i="1"/>
  <c r="L1055" i="1" s="1"/>
  <c r="K1283" i="1"/>
  <c r="L1283" i="1" s="1"/>
  <c r="K314" i="1"/>
  <c r="L314" i="1" s="1"/>
  <c r="K227" i="1"/>
  <c r="L227" i="1" s="1"/>
  <c r="K365" i="1"/>
  <c r="L365" i="1" s="1"/>
  <c r="K1956" i="1"/>
  <c r="L1956" i="1" s="1"/>
  <c r="K523" i="1"/>
  <c r="L523" i="1" s="1"/>
  <c r="K224" i="1"/>
  <c r="L224" i="1" s="1"/>
  <c r="K1681" i="1"/>
  <c r="L1681" i="1" s="1"/>
  <c r="K1729" i="1"/>
  <c r="L1729" i="1" s="1"/>
  <c r="K1867" i="1"/>
  <c r="L1867" i="1" s="1"/>
  <c r="K1048" i="1"/>
  <c r="L1048" i="1" s="1"/>
  <c r="K1905" i="1"/>
  <c r="L1905" i="1" s="1"/>
  <c r="K1849" i="1"/>
  <c r="L1849" i="1" s="1"/>
  <c r="K699" i="1"/>
  <c r="L699" i="1" s="1"/>
  <c r="K740" i="1"/>
  <c r="L740" i="1" s="1"/>
  <c r="K1188" i="1"/>
  <c r="L1188" i="1" s="1"/>
  <c r="K1370" i="1"/>
  <c r="L1370" i="1" s="1"/>
  <c r="K500" i="1"/>
  <c r="L500" i="1" s="1"/>
  <c r="K1334" i="1"/>
  <c r="L1334" i="1" s="1"/>
  <c r="K1734" i="1"/>
  <c r="L1734" i="1" s="1"/>
  <c r="K1747" i="1"/>
  <c r="L1747" i="1" s="1"/>
  <c r="K697" i="1"/>
  <c r="L697" i="1" s="1"/>
  <c r="K1671" i="1"/>
  <c r="L1671" i="1" s="1"/>
  <c r="K805" i="1"/>
  <c r="L805" i="1" s="1"/>
  <c r="K1316" i="1"/>
  <c r="L1316" i="1" s="1"/>
  <c r="K292" i="1"/>
  <c r="L292" i="1" s="1"/>
  <c r="K271" i="1"/>
  <c r="L271" i="1" s="1"/>
  <c r="K1450" i="1"/>
  <c r="L1450" i="1" s="1"/>
  <c r="K1266" i="1"/>
  <c r="L1266" i="1" s="1"/>
  <c r="K1540" i="1"/>
  <c r="L1540" i="1" s="1"/>
  <c r="K680" i="1"/>
  <c r="L680" i="1" s="1"/>
  <c r="K1914" i="1"/>
  <c r="L1914" i="1" s="1"/>
  <c r="K1589" i="1"/>
  <c r="L1589" i="1" s="1"/>
  <c r="K1454" i="1"/>
  <c r="L1454" i="1" s="1"/>
  <c r="K1287" i="1"/>
  <c r="L1287" i="1" s="1"/>
  <c r="K826" i="1"/>
  <c r="L826" i="1" s="1"/>
  <c r="K967" i="1"/>
  <c r="L967" i="1" s="1"/>
  <c r="K911" i="1"/>
  <c r="L911" i="1" s="1"/>
  <c r="K1199" i="1"/>
  <c r="L1199" i="1" s="1"/>
  <c r="K866" i="1"/>
  <c r="L866" i="1" s="1"/>
  <c r="K1110" i="1"/>
  <c r="L1110" i="1" s="1"/>
  <c r="K1948" i="1"/>
  <c r="L1948" i="1" s="1"/>
  <c r="K696" i="1"/>
  <c r="L696" i="1" s="1"/>
  <c r="K185" i="1"/>
  <c r="L185" i="1" s="1"/>
  <c r="K557" i="1"/>
  <c r="L557" i="1" s="1"/>
  <c r="K606" i="1"/>
  <c r="L606" i="1" s="1"/>
  <c r="K1514" i="1"/>
  <c r="L1514" i="1" s="1"/>
  <c r="K1348" i="1"/>
  <c r="L1348" i="1" s="1"/>
  <c r="K254" i="1"/>
  <c r="L254" i="1" s="1"/>
  <c r="K626" i="1"/>
  <c r="L626" i="1" s="1"/>
  <c r="K512" i="1"/>
  <c r="L512" i="1" s="1"/>
  <c r="K1338" i="1"/>
  <c r="L1338" i="1" s="1"/>
  <c r="K1507" i="1"/>
  <c r="L1507" i="1" s="1"/>
  <c r="K691" i="1"/>
  <c r="L691" i="1" s="1"/>
  <c r="K393" i="1"/>
  <c r="L393" i="1" s="1"/>
  <c r="K258" i="1"/>
  <c r="L258" i="1" s="1"/>
  <c r="K1512" i="1"/>
  <c r="L1512" i="1" s="1"/>
  <c r="K444" i="1"/>
  <c r="L444" i="1" s="1"/>
  <c r="K1047" i="1"/>
  <c r="L1047" i="1" s="1"/>
  <c r="K286" i="1"/>
  <c r="L286" i="1" s="1"/>
  <c r="K1115" i="1"/>
  <c r="L1115" i="1" s="1"/>
  <c r="K1111" i="1"/>
  <c r="L1111" i="1" s="1"/>
  <c r="K489" i="1"/>
  <c r="L489" i="1" s="1"/>
  <c r="K769" i="1"/>
  <c r="L769" i="1" s="1"/>
  <c r="K1081" i="1"/>
  <c r="L1081" i="1" s="1"/>
  <c r="K89" i="1"/>
  <c r="L89" i="1" s="1"/>
  <c r="K383" i="1"/>
  <c r="L383" i="1" s="1"/>
  <c r="K572" i="1"/>
  <c r="L572" i="1" s="1"/>
  <c r="K1657" i="1"/>
  <c r="L1657" i="1" s="1"/>
  <c r="K1497" i="1"/>
  <c r="L1497" i="1" s="1"/>
  <c r="K1964" i="1"/>
  <c r="L1964" i="1" s="1"/>
  <c r="K148" i="1"/>
  <c r="L148" i="1" s="1"/>
  <c r="K822" i="1"/>
  <c r="L822" i="1" s="1"/>
  <c r="K95" i="1"/>
  <c r="L95" i="1" s="1"/>
  <c r="K1976" i="1"/>
  <c r="L1976" i="1" s="1"/>
  <c r="K949" i="1"/>
  <c r="L949" i="1" s="1"/>
  <c r="K632" i="1"/>
  <c r="L632" i="1" s="1"/>
  <c r="K1516" i="1"/>
  <c r="L1516" i="1" s="1"/>
  <c r="K1781" i="1"/>
  <c r="L1781" i="1" s="1"/>
  <c r="K103" i="1"/>
  <c r="L103" i="1" s="1"/>
  <c r="K1104" i="1"/>
  <c r="L1104" i="1" s="1"/>
  <c r="K1145" i="1"/>
  <c r="L1145" i="1" s="1"/>
  <c r="K1421" i="1"/>
  <c r="L1421" i="1" s="1"/>
  <c r="K245" i="1"/>
  <c r="L245" i="1" s="1"/>
  <c r="K913" i="1"/>
  <c r="L913" i="1" s="1"/>
  <c r="K1361" i="1"/>
  <c r="L1361" i="1" s="1"/>
  <c r="K1950" i="1"/>
  <c r="L1950" i="1" s="1"/>
  <c r="K490" i="1"/>
  <c r="L490" i="1" s="1"/>
  <c r="K784" i="1"/>
  <c r="L784" i="1" s="1"/>
  <c r="K1321" i="1"/>
  <c r="L1321" i="1" s="1"/>
  <c r="K285" i="1"/>
  <c r="L285" i="1" s="1"/>
  <c r="K260" i="1"/>
  <c r="L260" i="1" s="1"/>
  <c r="K64" i="1"/>
  <c r="L64" i="1" s="1"/>
  <c r="K792" i="1"/>
  <c r="L792" i="1" s="1"/>
  <c r="K251" i="1"/>
  <c r="L251" i="1" s="1"/>
  <c r="K1363" i="1"/>
  <c r="L1363" i="1" s="1"/>
  <c r="K558" i="1"/>
  <c r="L558" i="1" s="1"/>
  <c r="K1888" i="1"/>
  <c r="L1888" i="1" s="1"/>
  <c r="K1751" i="1"/>
  <c r="L1751" i="1" s="1"/>
  <c r="K918" i="1"/>
  <c r="L918" i="1" s="1"/>
  <c r="K257" i="1"/>
  <c r="L257" i="1" s="1"/>
  <c r="K432" i="1"/>
  <c r="L432" i="1" s="1"/>
  <c r="K1492" i="1"/>
  <c r="L1492" i="1" s="1"/>
  <c r="K1686" i="1"/>
  <c r="L1686" i="1" s="1"/>
  <c r="K1611" i="1"/>
  <c r="L1611" i="1" s="1"/>
  <c r="K585" i="1"/>
  <c r="L585" i="1" s="1"/>
  <c r="K761" i="1"/>
  <c r="L761" i="1" s="1"/>
  <c r="K16" i="1"/>
  <c r="L16" i="1" s="1"/>
  <c r="K574" i="1"/>
  <c r="L574" i="1" s="1"/>
  <c r="K188" i="1"/>
  <c r="L188" i="1" s="1"/>
  <c r="K1086" i="1"/>
  <c r="L1086" i="1" s="1"/>
  <c r="K60" i="1"/>
  <c r="L60" i="1" s="1"/>
  <c r="K2000" i="1"/>
  <c r="L2000" i="1" s="1"/>
  <c r="K1578" i="1"/>
  <c r="L1578" i="1" s="1"/>
  <c r="K478" i="1"/>
  <c r="L478" i="1" s="1"/>
  <c r="K1486" i="1"/>
  <c r="L1486" i="1" s="1"/>
  <c r="K560" i="1"/>
  <c r="L560" i="1" s="1"/>
  <c r="K246" i="1"/>
  <c r="L246" i="1" s="1"/>
  <c r="K343" i="1"/>
  <c r="L343" i="1" s="1"/>
  <c r="K1844" i="1"/>
  <c r="L1844" i="1" s="1"/>
  <c r="K1531" i="1"/>
  <c r="L1531" i="1" s="1"/>
  <c r="K1433" i="1"/>
  <c r="L1433" i="1" s="1"/>
  <c r="K1815" i="1"/>
  <c r="L1815" i="1" s="1"/>
  <c r="K1327" i="1"/>
  <c r="L1327" i="1" s="1"/>
  <c r="K1783" i="1"/>
  <c r="L1783" i="1" s="1"/>
  <c r="K1431" i="1"/>
  <c r="L1431" i="1" s="1"/>
  <c r="K1274" i="1"/>
  <c r="L1274" i="1" s="1"/>
  <c r="K1167" i="1"/>
  <c r="L1167" i="1" s="1"/>
  <c r="K528" i="1"/>
  <c r="L528" i="1" s="1"/>
  <c r="K612" i="1"/>
  <c r="L612" i="1" s="1"/>
  <c r="K51" i="1"/>
  <c r="L51" i="1" s="1"/>
  <c r="K781" i="1"/>
  <c r="L781" i="1" s="1"/>
  <c r="K209" i="1"/>
  <c r="L209" i="1" s="1"/>
  <c r="K814" i="1"/>
  <c r="L814" i="1" s="1"/>
  <c r="K1861" i="1"/>
  <c r="L1861" i="1" s="1"/>
  <c r="K874" i="1"/>
  <c r="L874" i="1" s="1"/>
  <c r="K1245" i="1"/>
  <c r="L1245" i="1" s="1"/>
  <c r="K636" i="1"/>
  <c r="L636" i="1" s="1"/>
  <c r="K1314" i="1"/>
  <c r="L1314" i="1" s="1"/>
  <c r="K327" i="1"/>
  <c r="L327" i="1" s="1"/>
  <c r="K742" i="1"/>
  <c r="L742" i="1" s="1"/>
  <c r="K1103" i="1"/>
  <c r="L1103" i="1" s="1"/>
  <c r="K639" i="1"/>
  <c r="L639" i="1" s="1"/>
  <c r="K1021" i="1"/>
  <c r="L1021" i="1" s="1"/>
  <c r="K1617" i="1"/>
  <c r="L1617" i="1" s="1"/>
  <c r="K744" i="1"/>
  <c r="L744" i="1" s="1"/>
  <c r="K355" i="1"/>
  <c r="L355" i="1" s="1"/>
  <c r="K1692" i="1"/>
  <c r="L1692" i="1" s="1"/>
  <c r="K464" i="1"/>
  <c r="L464" i="1" s="1"/>
  <c r="K1061" i="1"/>
  <c r="L1061" i="1" s="1"/>
  <c r="K1108" i="1"/>
  <c r="L1108" i="1" s="1"/>
  <c r="K1683" i="1"/>
  <c r="L1683" i="1" s="1"/>
  <c r="K1236" i="1"/>
  <c r="L1236" i="1" s="1"/>
  <c r="K610" i="1"/>
  <c r="L610" i="1" s="1"/>
  <c r="K1164" i="1"/>
  <c r="L1164" i="1" s="1"/>
  <c r="K333" i="1"/>
  <c r="L333" i="1" s="1"/>
  <c r="K1219" i="1"/>
  <c r="L1219" i="1" s="1"/>
  <c r="K306" i="1"/>
  <c r="L306" i="1" s="1"/>
  <c r="K177" i="1"/>
  <c r="L177" i="1" s="1"/>
  <c r="K56" i="1"/>
  <c r="L56" i="1" s="1"/>
  <c r="K15" i="1"/>
  <c r="L15" i="1" s="1"/>
  <c r="K900" i="1"/>
  <c r="L900" i="1" s="1"/>
  <c r="K1864" i="1"/>
  <c r="L1864" i="1" s="1"/>
  <c r="K1179" i="1"/>
  <c r="L1179" i="1" s="1"/>
  <c r="K1057" i="1"/>
  <c r="L1057" i="1" s="1"/>
  <c r="K607" i="1"/>
  <c r="L607" i="1" s="1"/>
  <c r="K987" i="1"/>
  <c r="L987" i="1" s="1"/>
  <c r="K318" i="1"/>
  <c r="L318" i="1" s="1"/>
  <c r="K107" i="1"/>
  <c r="L107" i="1" s="1"/>
  <c r="K1029" i="1"/>
  <c r="L1029" i="1" s="1"/>
  <c r="K28" i="1"/>
  <c r="L28" i="1" s="1"/>
  <c r="K802" i="1"/>
  <c r="L802" i="1" s="1"/>
  <c r="K1965" i="1"/>
  <c r="L1965" i="1" s="1"/>
  <c r="K82" i="1"/>
  <c r="L82" i="1" s="1"/>
  <c r="K580" i="1"/>
  <c r="L580" i="1" s="1"/>
  <c r="K207" i="1"/>
  <c r="L207" i="1" s="1"/>
  <c r="K1541" i="1"/>
  <c r="L1541" i="1" s="1"/>
  <c r="K771" i="1"/>
  <c r="L771" i="1" s="1"/>
  <c r="K342" i="1"/>
  <c r="L342" i="1" s="1"/>
  <c r="K686" i="1"/>
  <c r="L686" i="1" s="1"/>
  <c r="K1269" i="1"/>
  <c r="L1269" i="1" s="1"/>
  <c r="K883" i="1"/>
  <c r="L883" i="1" s="1"/>
  <c r="K641" i="1"/>
  <c r="L641" i="1" s="1"/>
  <c r="K1052" i="1"/>
  <c r="L1052" i="1" s="1"/>
  <c r="K1432" i="1"/>
  <c r="L1432" i="1" s="1"/>
  <c r="K87" i="1"/>
  <c r="L87" i="1" s="1"/>
  <c r="K1708" i="1"/>
  <c r="L1708" i="1" s="1"/>
  <c r="K1757" i="1"/>
  <c r="L1757" i="1" s="1"/>
  <c r="K14" i="1"/>
  <c r="L14" i="1" s="1"/>
  <c r="K583" i="1"/>
  <c r="L583" i="1" s="1"/>
  <c r="K162" i="1"/>
  <c r="L162" i="1" s="1"/>
  <c r="K1942" i="1"/>
  <c r="L1942" i="1" s="1"/>
  <c r="K1583" i="1"/>
  <c r="L1583" i="1" s="1"/>
  <c r="K1740" i="1"/>
  <c r="L1740" i="1" s="1"/>
  <c r="K382" i="1"/>
  <c r="L382" i="1" s="1"/>
  <c r="K1625" i="1"/>
  <c r="L1625" i="1" s="1"/>
  <c r="K54" i="1"/>
  <c r="L54" i="1" s="1"/>
  <c r="K491" i="1"/>
  <c r="L491" i="1" s="1"/>
  <c r="K1750" i="1"/>
  <c r="L1750" i="1" s="1"/>
  <c r="K1365" i="1"/>
  <c r="L1365" i="1" s="1"/>
  <c r="K519" i="1"/>
  <c r="L519" i="1" s="1"/>
  <c r="K592" i="1"/>
  <c r="L592" i="1" s="1"/>
  <c r="K1649" i="1"/>
  <c r="L1649" i="1" s="1"/>
  <c r="K1083" i="1"/>
  <c r="L1083" i="1" s="1"/>
  <c r="K1092" i="1"/>
  <c r="L1092" i="1" s="1"/>
  <c r="K1478" i="1"/>
  <c r="L1478" i="1" s="1"/>
  <c r="K706" i="1"/>
  <c r="L706" i="1" s="1"/>
  <c r="K1151" i="1"/>
  <c r="L1151" i="1" s="1"/>
  <c r="K1393" i="1"/>
  <c r="L1393" i="1" s="1"/>
  <c r="K978" i="1"/>
  <c r="L978" i="1" s="1"/>
  <c r="K1075" i="1"/>
  <c r="L1075" i="1" s="1"/>
  <c r="K1575" i="1"/>
  <c r="L1575" i="1" s="1"/>
  <c r="K1160" i="1"/>
  <c r="L1160" i="1" s="1"/>
  <c r="K1136" i="1"/>
  <c r="L1136" i="1" s="1"/>
  <c r="K567" i="1"/>
  <c r="L567" i="1" s="1"/>
  <c r="K1223" i="1"/>
  <c r="L1223" i="1" s="1"/>
  <c r="K149" i="1"/>
  <c r="L149" i="1" s="1"/>
  <c r="K1585" i="1"/>
  <c r="L1585" i="1" s="1"/>
  <c r="K1866" i="1"/>
  <c r="L1866" i="1" s="1"/>
  <c r="K183" i="1"/>
  <c r="L183" i="1" s="1"/>
  <c r="K1989" i="1"/>
  <c r="L1989" i="1" s="1"/>
  <c r="K127" i="1"/>
  <c r="L127" i="1" s="1"/>
  <c r="K711" i="1"/>
  <c r="L711" i="1" s="1"/>
  <c r="K202" i="1"/>
  <c r="L202" i="1" s="1"/>
  <c r="K534" i="1"/>
  <c r="L534" i="1" s="1"/>
  <c r="K674" i="1"/>
  <c r="L674" i="1" s="1"/>
  <c r="K1418" i="1"/>
  <c r="L1418" i="1" s="1"/>
  <c r="K1401" i="1"/>
  <c r="L1401" i="1" s="1"/>
  <c r="K1336" i="1"/>
  <c r="L1336" i="1" s="1"/>
  <c r="K1305" i="1"/>
  <c r="L1305" i="1" s="1"/>
  <c r="K1805" i="1"/>
  <c r="L1805" i="1" s="1"/>
  <c r="K1814" i="1"/>
  <c r="L1814" i="1" s="1"/>
  <c r="K942" i="1"/>
  <c r="L942" i="1" s="1"/>
  <c r="K568" i="1"/>
  <c r="L568" i="1" s="1"/>
  <c r="K1626" i="1"/>
  <c r="L1626" i="1" s="1"/>
  <c r="K1860" i="1"/>
  <c r="L1860" i="1" s="1"/>
  <c r="K1211" i="1"/>
  <c r="L1211" i="1" s="1"/>
  <c r="K945" i="1"/>
  <c r="L945" i="1" s="1"/>
  <c r="K1427" i="1"/>
  <c r="L1427" i="1" s="1"/>
  <c r="K897" i="1"/>
  <c r="L897" i="1" s="1"/>
  <c r="K1685" i="1"/>
  <c r="L1685" i="1" s="1"/>
  <c r="K763" i="1"/>
  <c r="L763" i="1" s="1"/>
  <c r="K1279" i="1"/>
  <c r="L1279" i="1" s="1"/>
  <c r="K1060" i="1"/>
  <c r="L1060" i="1" s="1"/>
  <c r="K1490" i="1"/>
  <c r="L1490" i="1" s="1"/>
  <c r="K1807" i="1"/>
  <c r="L1807" i="1" s="1"/>
  <c r="K1295" i="1"/>
  <c r="L1295" i="1" s="1"/>
  <c r="K690" i="1"/>
  <c r="L690" i="1" s="1"/>
  <c r="K108" i="1"/>
  <c r="L108" i="1" s="1"/>
  <c r="K947" i="1"/>
  <c r="L947" i="1" s="1"/>
  <c r="K852" i="1"/>
  <c r="L852" i="1" s="1"/>
  <c r="K1240" i="1"/>
  <c r="L1240" i="1" s="1"/>
  <c r="K1510" i="1"/>
  <c r="L1510" i="1" s="1"/>
  <c r="K849" i="1"/>
  <c r="L849" i="1" s="1"/>
  <c r="K100" i="1"/>
  <c r="L100" i="1" s="1"/>
  <c r="K193" i="1"/>
  <c r="L193" i="1" s="1"/>
  <c r="K1064" i="1"/>
  <c r="L1064" i="1" s="1"/>
  <c r="K1780" i="1"/>
  <c r="L1780" i="1" s="1"/>
  <c r="K1528" i="1"/>
  <c r="L1528" i="1" s="1"/>
  <c r="K779" i="1"/>
  <c r="L779" i="1" s="1"/>
  <c r="K237" i="1"/>
  <c r="L237" i="1" s="1"/>
  <c r="K116" i="1"/>
  <c r="L116" i="1" s="1"/>
  <c r="K965" i="1"/>
  <c r="L965" i="1" s="1"/>
  <c r="K1678" i="1"/>
  <c r="L1678" i="1" s="1"/>
  <c r="K751" i="1"/>
  <c r="L751" i="1" s="1"/>
  <c r="K1845" i="1"/>
  <c r="L1845" i="1" s="1"/>
  <c r="K1568" i="1"/>
  <c r="L1568" i="1" s="1"/>
  <c r="K1693" i="1"/>
  <c r="L1693" i="1" s="1"/>
  <c r="K374" i="1"/>
  <c r="L374" i="1" s="1"/>
  <c r="K1114" i="1"/>
  <c r="L1114" i="1" s="1"/>
  <c r="K1862" i="1"/>
  <c r="L1862" i="1" s="1"/>
  <c r="K142" i="1"/>
  <c r="L142" i="1" s="1"/>
  <c r="K1396" i="1"/>
  <c r="L1396" i="1" s="1"/>
  <c r="K1101" i="1"/>
  <c r="L1101" i="1" s="1"/>
  <c r="K43" i="1"/>
  <c r="L43" i="1" s="1"/>
  <c r="K1254" i="1"/>
  <c r="L1254" i="1" s="1"/>
  <c r="K1552" i="1"/>
  <c r="L1552" i="1" s="1"/>
  <c r="K389" i="1"/>
  <c r="L389" i="1" s="1"/>
  <c r="K1629" i="1"/>
  <c r="L1629" i="1" s="1"/>
  <c r="K693" i="1"/>
  <c r="L693" i="1" s="1"/>
  <c r="K648" i="1"/>
  <c r="L648" i="1" s="1"/>
  <c r="K688" i="1"/>
  <c r="L688" i="1" s="1"/>
  <c r="K1036" i="1"/>
  <c r="L1036" i="1" s="1"/>
  <c r="K1152" i="1"/>
  <c r="L1152" i="1" s="1"/>
  <c r="K732" i="1"/>
  <c r="L732" i="1" s="1"/>
  <c r="K765" i="1"/>
  <c r="L765" i="1" s="1"/>
  <c r="K1637" i="1"/>
  <c r="L1637" i="1" s="1"/>
  <c r="K1900" i="1"/>
  <c r="L1900" i="1" s="1"/>
  <c r="K19" i="1"/>
  <c r="L19" i="1" s="1"/>
  <c r="K26" i="1"/>
  <c r="L26" i="1" s="1"/>
  <c r="K73" i="1"/>
  <c r="L73" i="1" s="1"/>
  <c r="K1579" i="1"/>
  <c r="L1579" i="1" s="1"/>
  <c r="K563" i="1"/>
  <c r="L563" i="1" s="1"/>
  <c r="K468" i="1"/>
  <c r="L468" i="1" s="1"/>
  <c r="K1073" i="1"/>
  <c r="L1073" i="1" s="1"/>
  <c r="K1409" i="1"/>
  <c r="L1409" i="1" s="1"/>
  <c r="K1794" i="1"/>
  <c r="L1794" i="1" s="1"/>
  <c r="K1613" i="1"/>
  <c r="L1613" i="1" s="1"/>
  <c r="K1509" i="1"/>
  <c r="L1509" i="1" s="1"/>
  <c r="K473" i="1"/>
  <c r="L473" i="1" s="1"/>
  <c r="K1543" i="1"/>
  <c r="L1543" i="1" s="1"/>
  <c r="K1470" i="1"/>
  <c r="L1470" i="1" s="1"/>
  <c r="K873" i="1"/>
  <c r="L873" i="1" s="1"/>
  <c r="K1728" i="1"/>
  <c r="L1728" i="1" s="1"/>
  <c r="K830" i="1"/>
  <c r="L830" i="1" s="1"/>
  <c r="K1895" i="1"/>
  <c r="L1895" i="1" s="1"/>
  <c r="K1465" i="1"/>
  <c r="L1465" i="1" s="1"/>
  <c r="K1852" i="1"/>
  <c r="L1852" i="1" s="1"/>
  <c r="K1366" i="1"/>
  <c r="L1366" i="1" s="1"/>
  <c r="K1358" i="1"/>
  <c r="L1358" i="1" s="1"/>
  <c r="K1628" i="1"/>
  <c r="L1628" i="1" s="1"/>
  <c r="K1381" i="1"/>
  <c r="L1381" i="1" s="1"/>
  <c r="K983" i="1"/>
  <c r="L983" i="1" s="1"/>
  <c r="K215" i="1"/>
  <c r="L215" i="1" s="1"/>
  <c r="K708" i="1"/>
  <c r="L708" i="1" s="1"/>
  <c r="K1165" i="1"/>
  <c r="L1165" i="1" s="1"/>
  <c r="K1148" i="1"/>
  <c r="L1148" i="1" s="1"/>
  <c r="K442" i="1"/>
  <c r="L442" i="1" s="1"/>
  <c r="K55" i="1"/>
  <c r="L55" i="1" s="1"/>
  <c r="K637" i="1"/>
  <c r="L637" i="1" s="1"/>
  <c r="K1369" i="1"/>
  <c r="L1369" i="1" s="1"/>
  <c r="K1939" i="1"/>
  <c r="L1939" i="1" s="1"/>
  <c r="K1014" i="1"/>
  <c r="L1014" i="1" s="1"/>
  <c r="K1154" i="1"/>
  <c r="L1154" i="1" s="1"/>
  <c r="K1992" i="1"/>
  <c r="L1992" i="1" s="1"/>
  <c r="K1742" i="1"/>
  <c r="L1742" i="1" s="1"/>
  <c r="K1414" i="1"/>
  <c r="L1414" i="1" s="1"/>
  <c r="K22" i="1"/>
  <c r="L22" i="1" s="1"/>
  <c r="K586" i="1"/>
  <c r="L586" i="1" s="1"/>
  <c r="K522" i="1"/>
  <c r="L522" i="1" s="1"/>
  <c r="K208" i="1"/>
  <c r="L208" i="1" s="1"/>
  <c r="K295" i="1"/>
  <c r="L295" i="1" s="1"/>
  <c r="K288" i="1"/>
  <c r="L288" i="1" s="1"/>
  <c r="K1653" i="1"/>
  <c r="L1653" i="1" s="1"/>
  <c r="K1132" i="1"/>
  <c r="L1132" i="1" s="1"/>
  <c r="K1306" i="1"/>
  <c r="L1306" i="1" s="1"/>
  <c r="K940" i="1"/>
  <c r="L940" i="1" s="1"/>
  <c r="K1518" i="1"/>
  <c r="L1518" i="1" s="1"/>
  <c r="K338" i="1"/>
  <c r="L338" i="1" s="1"/>
  <c r="K419" i="1"/>
  <c r="L419" i="1" s="1"/>
  <c r="K1927" i="1"/>
  <c r="L1927" i="1" s="1"/>
  <c r="K1359" i="1"/>
  <c r="L1359" i="1" s="1"/>
  <c r="K1049" i="1"/>
  <c r="L1049" i="1" s="1"/>
  <c r="K274" i="1"/>
  <c r="L274" i="1" s="1"/>
  <c r="K1026" i="1"/>
  <c r="L1026" i="1" s="1"/>
  <c r="K991" i="1"/>
  <c r="L991" i="1" s="1"/>
  <c r="K593" i="1"/>
  <c r="L593" i="1" s="1"/>
  <c r="K956" i="1"/>
  <c r="L956" i="1" s="1"/>
  <c r="K1280" i="1"/>
  <c r="L1280" i="1" s="1"/>
  <c r="K1008" i="1"/>
  <c r="L1008" i="1" s="1"/>
  <c r="K1984" i="1"/>
  <c r="L1984" i="1" s="1"/>
  <c r="K1301" i="1"/>
  <c r="L1301" i="1" s="1"/>
  <c r="K590" i="1"/>
  <c r="L590" i="1" s="1"/>
  <c r="K165" i="1"/>
  <c r="L165" i="1" s="1"/>
  <c r="K1547" i="1"/>
  <c r="L1547" i="1" s="1"/>
  <c r="K266" i="1"/>
  <c r="L266" i="1" s="1"/>
  <c r="K1727" i="1"/>
  <c r="L1727" i="1" s="1"/>
  <c r="K1214" i="1"/>
  <c r="L1214" i="1" s="1"/>
  <c r="K553" i="1"/>
  <c r="L553" i="1" s="1"/>
  <c r="K482" i="1"/>
  <c r="L482" i="1" s="1"/>
  <c r="K1297" i="1"/>
  <c r="L1297" i="1" s="1"/>
  <c r="K1838" i="1"/>
  <c r="L1838" i="1" s="1"/>
  <c r="K1779" i="1"/>
  <c r="L1779" i="1" s="1"/>
  <c r="K1986" i="1"/>
  <c r="L1986" i="1" s="1"/>
  <c r="K1275" i="1"/>
  <c r="L1275" i="1" s="1"/>
  <c r="K999" i="1"/>
  <c r="L999" i="1" s="1"/>
  <c r="K205" i="1"/>
  <c r="L205" i="1" s="1"/>
  <c r="K1791" i="1"/>
  <c r="L1791" i="1" s="1"/>
  <c r="K1608" i="1"/>
  <c r="L1608" i="1" s="1"/>
  <c r="K1413" i="1"/>
  <c r="L1413" i="1" s="1"/>
  <c r="K1582" i="1"/>
  <c r="L1582" i="1" s="1"/>
  <c r="K1633" i="1"/>
  <c r="L1633" i="1" s="1"/>
  <c r="K737" i="1"/>
  <c r="L737" i="1" s="1"/>
  <c r="K888" i="1"/>
  <c r="L888" i="1" s="1"/>
  <c r="K192" i="1"/>
  <c r="L192" i="1" s="1"/>
  <c r="K34" i="1"/>
  <c r="L34" i="1" s="1"/>
  <c r="K786" i="1"/>
  <c r="L786" i="1" s="1"/>
  <c r="K493" i="1"/>
  <c r="L493" i="1" s="1"/>
  <c r="K335" i="1"/>
  <c r="L335" i="1" s="1"/>
  <c r="K391" i="1"/>
  <c r="L391" i="1" s="1"/>
  <c r="K1398" i="1"/>
  <c r="L1398" i="1" s="1"/>
  <c r="K971" i="1"/>
  <c r="L971" i="1" s="1"/>
  <c r="K1169" i="1"/>
  <c r="L1169" i="1" s="1"/>
  <c r="K46" i="1"/>
  <c r="L46" i="1" s="1"/>
  <c r="K1677" i="1"/>
  <c r="L1677" i="1" s="1"/>
  <c r="K269" i="1"/>
  <c r="L269" i="1" s="1"/>
  <c r="K1182" i="1"/>
  <c r="L1182" i="1" s="1"/>
  <c r="K1669" i="1"/>
  <c r="L1669" i="1" s="1"/>
  <c r="K1892" i="1"/>
  <c r="L1892" i="1" s="1"/>
  <c r="K334" i="1"/>
  <c r="L334" i="1" s="1"/>
  <c r="K1800" i="1"/>
  <c r="L1800" i="1" s="1"/>
  <c r="K283" i="1"/>
  <c r="L283" i="1" s="1"/>
  <c r="K1915" i="1"/>
  <c r="L1915" i="1" s="1"/>
  <c r="K414" i="1"/>
  <c r="L414" i="1" s="1"/>
  <c r="K1760" i="1"/>
  <c r="L1760" i="1" s="1"/>
  <c r="K1033" i="1"/>
  <c r="L1033" i="1" s="1"/>
  <c r="K1858" i="1"/>
  <c r="L1858" i="1" s="1"/>
  <c r="K1812" i="1"/>
  <c r="L1812" i="1" s="1"/>
  <c r="K506" i="1"/>
  <c r="L506" i="1" s="1"/>
  <c r="K1019" i="1"/>
  <c r="L1019" i="1" s="1"/>
  <c r="K1307" i="1"/>
  <c r="L1307" i="1" s="1"/>
  <c r="K887" i="1"/>
  <c r="L887" i="1" s="1"/>
  <c r="K1533" i="1"/>
  <c r="L1533" i="1" s="1"/>
  <c r="K1041" i="1"/>
  <c r="L1041" i="1" s="1"/>
  <c r="K109" i="1"/>
  <c r="L109" i="1" s="1"/>
  <c r="K1074" i="1"/>
  <c r="L1074" i="1" s="1"/>
  <c r="K645" i="1"/>
  <c r="L645" i="1" s="1"/>
  <c r="K1898" i="1"/>
  <c r="L1898" i="1" s="1"/>
  <c r="K1402" i="1"/>
  <c r="L1402" i="1" s="1"/>
  <c r="K1656" i="1"/>
  <c r="L1656" i="1" s="1"/>
  <c r="K190" i="1"/>
  <c r="L190" i="1" s="1"/>
  <c r="K642" i="1"/>
  <c r="L642" i="1" s="1"/>
  <c r="K1079" i="1"/>
  <c r="L1079" i="1" s="1"/>
  <c r="K1759" i="1"/>
  <c r="L1759" i="1" s="1"/>
  <c r="K1298" i="1"/>
  <c r="L1298" i="1" s="1"/>
  <c r="K1243" i="1"/>
  <c r="L1243" i="1" s="1"/>
  <c r="K1602" i="1"/>
  <c r="L1602" i="1" s="1"/>
  <c r="K1835" i="1"/>
  <c r="L1835" i="1" s="1"/>
  <c r="K32" i="1"/>
  <c r="L32" i="1" s="1"/>
  <c r="K352" i="1"/>
  <c r="L352" i="1" s="1"/>
  <c r="K1156" i="1"/>
  <c r="L1156" i="1" s="1"/>
  <c r="K982" i="1"/>
  <c r="L982" i="1" s="1"/>
  <c r="K329" i="1"/>
  <c r="L329" i="1" s="1"/>
  <c r="K1126" i="1"/>
  <c r="L1126" i="1" s="1"/>
  <c r="K1056" i="1"/>
  <c r="L1056" i="1" s="1"/>
  <c r="K1554" i="1"/>
  <c r="L1554" i="1" s="1"/>
  <c r="K17" i="1"/>
  <c r="L17" i="1" s="1"/>
  <c r="K1353" i="1"/>
  <c r="L1353" i="1" s="1"/>
  <c r="K141" i="1"/>
  <c r="L141" i="1" s="1"/>
  <c r="K621" i="1"/>
  <c r="L621" i="1" s="1"/>
  <c r="K1699" i="1"/>
  <c r="L1699" i="1" s="1"/>
  <c r="K1246" i="1"/>
  <c r="L1246" i="1" s="1"/>
  <c r="K542" i="1"/>
  <c r="L542" i="1" s="1"/>
  <c r="K1068" i="1"/>
  <c r="L1068" i="1" s="1"/>
  <c r="K1716" i="1"/>
  <c r="L1716" i="1" s="1"/>
  <c r="K8" i="1"/>
  <c r="L8" i="1" s="1"/>
  <c r="K1741" i="1"/>
  <c r="L1741" i="1" s="1"/>
  <c r="K1749" i="1"/>
  <c r="L1749" i="1" s="1"/>
  <c r="K902" i="1"/>
  <c r="L902" i="1" s="1"/>
  <c r="K1443" i="1"/>
  <c r="L1443" i="1" s="1"/>
  <c r="K1856" i="1"/>
  <c r="L1856" i="1" s="1"/>
  <c r="K1801" i="1"/>
  <c r="L1801" i="1" s="1"/>
  <c r="K1119" i="1"/>
  <c r="L1119" i="1" s="1"/>
  <c r="K1947" i="1"/>
  <c r="L1947" i="1" s="1"/>
  <c r="K1085" i="1"/>
  <c r="L1085" i="1" s="1"/>
  <c r="K524" i="1"/>
  <c r="L524" i="1" s="1"/>
  <c r="K130" i="1"/>
  <c r="L130" i="1" s="1"/>
  <c r="K218" i="1"/>
  <c r="L218" i="1" s="1"/>
  <c r="K248" i="1"/>
  <c r="L248" i="1" s="1"/>
  <c r="K189" i="1"/>
  <c r="L189" i="1" s="1"/>
  <c r="K157" i="1"/>
  <c r="L157" i="1" s="1"/>
  <c r="K1260" i="1"/>
  <c r="L1260" i="1" s="1"/>
  <c r="K1679" i="1"/>
  <c r="L1679" i="1" s="1"/>
  <c r="K836" i="1"/>
  <c r="L836" i="1" s="1"/>
  <c r="K278" i="1"/>
  <c r="L278" i="1" s="1"/>
  <c r="K488" i="1"/>
  <c r="L488" i="1" s="1"/>
  <c r="K1907" i="1"/>
  <c r="L1907" i="1" s="1"/>
  <c r="K474" i="1"/>
  <c r="L474" i="1" s="1"/>
  <c r="K1803" i="1"/>
  <c r="L1803" i="1" s="1"/>
  <c r="K990" i="1"/>
  <c r="L990" i="1" s="1"/>
  <c r="K1464" i="1"/>
  <c r="L1464" i="1" s="1"/>
  <c r="K668" i="1"/>
  <c r="L668" i="1" s="1"/>
  <c r="K396" i="1"/>
  <c r="L396" i="1" s="1"/>
  <c r="K48" i="1"/>
  <c r="L48" i="1" s="1"/>
  <c r="K546" i="1"/>
  <c r="L546" i="1" s="1"/>
  <c r="K550" i="1"/>
  <c r="L550" i="1" s="1"/>
  <c r="K673" i="1"/>
  <c r="L673" i="1" s="1"/>
  <c r="K1141" i="1"/>
  <c r="L1141" i="1" s="1"/>
  <c r="K1834" i="1"/>
  <c r="L1834" i="1" s="1"/>
  <c r="K1937" i="1"/>
  <c r="L1937" i="1" s="1"/>
  <c r="K122" i="1"/>
  <c r="L122" i="1" s="1"/>
  <c r="K1572" i="1"/>
  <c r="L1572" i="1" s="1"/>
  <c r="K749" i="1"/>
  <c r="L749" i="1" s="1"/>
  <c r="K1949" i="1"/>
  <c r="L1949" i="1" s="1"/>
  <c r="K1592" i="1"/>
  <c r="L1592" i="1" s="1"/>
  <c r="K1902" i="1"/>
  <c r="L1902" i="1" s="1"/>
  <c r="K1218" i="1"/>
  <c r="L1218" i="1" s="1"/>
  <c r="K856" i="1"/>
  <c r="L856" i="1" s="1"/>
  <c r="K710" i="1"/>
  <c r="L710" i="1" s="1"/>
  <c r="K562" i="1"/>
  <c r="L562" i="1" s="1"/>
  <c r="K656" i="1"/>
  <c r="L656" i="1" s="1"/>
  <c r="K179" i="1"/>
  <c r="L179" i="1" s="1"/>
  <c r="K1822" i="1"/>
  <c r="L1822" i="1" s="1"/>
  <c r="K573" i="1"/>
  <c r="L573" i="1" s="1"/>
  <c r="K76" i="1"/>
  <c r="L76" i="1" s="1"/>
  <c r="K1901" i="1"/>
  <c r="L1901" i="1" s="1"/>
  <c r="K933" i="1"/>
  <c r="L933" i="1" s="1"/>
  <c r="K1459" i="1"/>
  <c r="L1459" i="1" s="1"/>
  <c r="K778" i="1"/>
  <c r="L778" i="1" s="1"/>
  <c r="K256" i="1"/>
  <c r="L256" i="1" s="1"/>
  <c r="K677" i="1"/>
  <c r="L677" i="1" s="1"/>
  <c r="K9" i="1"/>
  <c r="L9" i="1" s="1"/>
  <c r="K65" i="1"/>
  <c r="L65" i="1" s="1"/>
  <c r="K1731" i="1"/>
  <c r="L1731" i="1" s="1"/>
  <c r="K1667" i="1"/>
  <c r="L1667" i="1" s="1"/>
  <c r="K571" i="1"/>
  <c r="L571" i="1" s="1"/>
  <c r="K477" i="1"/>
  <c r="L477" i="1" s="1"/>
  <c r="K1508" i="1"/>
  <c r="L1508" i="1" s="1"/>
  <c r="K992" i="1"/>
  <c r="L992" i="1" s="1"/>
  <c r="K1460" i="1"/>
  <c r="L1460" i="1" s="1"/>
  <c r="K1309" i="1"/>
  <c r="L1309" i="1" s="1"/>
  <c r="K530" i="1"/>
  <c r="L530" i="1" s="1"/>
  <c r="K1551" i="1"/>
  <c r="L1551" i="1" s="1"/>
  <c r="K796" i="1"/>
  <c r="L796" i="1" s="1"/>
  <c r="K45" i="1"/>
  <c r="L45" i="1" s="1"/>
  <c r="K1043" i="1"/>
  <c r="L1043" i="1" s="1"/>
  <c r="K90" i="1"/>
  <c r="L90" i="1" s="1"/>
  <c r="K865" i="1"/>
  <c r="L865" i="1" s="1"/>
  <c r="K510" i="1"/>
  <c r="L510" i="1" s="1"/>
  <c r="K1545" i="1"/>
  <c r="L1545" i="1" s="1"/>
  <c r="K293" i="1"/>
  <c r="L293" i="1" s="1"/>
  <c r="K1112" i="1"/>
  <c r="L1112" i="1" s="1"/>
  <c r="K1604" i="1"/>
  <c r="L1604" i="1" s="1"/>
  <c r="K932" i="1"/>
  <c r="L932" i="1" s="1"/>
  <c r="K649" i="1"/>
  <c r="L649" i="1" s="1"/>
  <c r="K1289" i="1"/>
  <c r="L1289" i="1" s="1"/>
  <c r="K1170" i="1"/>
  <c r="L1170" i="1" s="1"/>
  <c r="K1392" i="1"/>
  <c r="L1392" i="1" s="1"/>
  <c r="K1567" i="1"/>
  <c r="L1567" i="1" s="1"/>
  <c r="K1042" i="1"/>
  <c r="L1042" i="1" s="1"/>
  <c r="K1456" i="1"/>
  <c r="L1456" i="1" s="1"/>
  <c r="K515" i="1"/>
  <c r="L515" i="1" s="1"/>
  <c r="K1016" i="1"/>
  <c r="L1016" i="1" s="1"/>
  <c r="K1196" i="1"/>
  <c r="L1196" i="1" s="1"/>
  <c r="K503" i="1"/>
  <c r="L503" i="1" s="1"/>
  <c r="K58" i="1"/>
  <c r="L58" i="1" s="1"/>
  <c r="K1836" i="1"/>
  <c r="L1836" i="1" s="1"/>
  <c r="K1357" i="1"/>
  <c r="L1357" i="1" s="1"/>
  <c r="K780" i="1"/>
  <c r="L780" i="1" s="1"/>
  <c r="K1017" i="1"/>
  <c r="L1017" i="1" s="1"/>
  <c r="K834" i="1"/>
  <c r="L834" i="1" s="1"/>
  <c r="K842" i="1"/>
  <c r="L842" i="1" s="1"/>
  <c r="K833" i="1"/>
  <c r="L833" i="1" s="1"/>
  <c r="K1122" i="1"/>
  <c r="L1122" i="1" s="1"/>
  <c r="K220" i="1"/>
  <c r="L220" i="1" s="1"/>
  <c r="K1367" i="1"/>
  <c r="L1367" i="1" s="1"/>
  <c r="K81" i="1"/>
  <c r="L81" i="1" s="1"/>
  <c r="K255" i="1"/>
  <c r="L255" i="1" s="1"/>
  <c r="K731" i="1"/>
  <c r="L731" i="1" s="1"/>
  <c r="K1437" i="1"/>
  <c r="L1437" i="1" s="1"/>
  <c r="K1285" i="1"/>
  <c r="L1285" i="1" s="1"/>
  <c r="K604" i="1"/>
  <c r="L604" i="1" s="1"/>
  <c r="K1476" i="1"/>
  <c r="L1476" i="1" s="1"/>
  <c r="K657" i="1"/>
  <c r="L657" i="1" s="1"/>
  <c r="K1311" i="1"/>
  <c r="L1311" i="1" s="1"/>
  <c r="K1985" i="1"/>
  <c r="L1985" i="1" s="1"/>
  <c r="K1149" i="1"/>
  <c r="L1149" i="1" s="1"/>
  <c r="K847" i="1"/>
  <c r="L847" i="1" s="1"/>
  <c r="K324" i="1"/>
  <c r="L324" i="1" s="1"/>
  <c r="K664" i="1"/>
  <c r="L664" i="1" s="1"/>
  <c r="K1883" i="1"/>
  <c r="L1883" i="1" s="1"/>
  <c r="K793" i="1"/>
  <c r="L793" i="1" s="1"/>
  <c r="K923" i="1"/>
  <c r="L923" i="1" s="1"/>
  <c r="K1491" i="1"/>
  <c r="L1491" i="1" s="1"/>
  <c r="K660" i="1"/>
  <c r="L660" i="1" s="1"/>
  <c r="K1616" i="1"/>
  <c r="L1616" i="1" s="1"/>
  <c r="K877" i="1"/>
  <c r="L877" i="1" s="1"/>
  <c r="K880" i="1"/>
  <c r="L880" i="1" s="1"/>
  <c r="K431" i="1"/>
  <c r="L431" i="1" s="1"/>
  <c r="K5" i="1"/>
  <c r="L5" i="1" s="1"/>
  <c r="K1573" i="1"/>
  <c r="L1573" i="1" s="1"/>
  <c r="K1481" i="1"/>
  <c r="L1481" i="1" s="1"/>
  <c r="K1987" i="1"/>
  <c r="L1987" i="1" s="1"/>
  <c r="K671" i="1"/>
  <c r="L671" i="1" s="1"/>
  <c r="K1193" i="1"/>
  <c r="L1193" i="1" s="1"/>
  <c r="K486" i="1"/>
  <c r="L486" i="1" s="1"/>
  <c r="K960" i="1"/>
  <c r="L960" i="1" s="1"/>
  <c r="K1001" i="1"/>
  <c r="L1001" i="1" s="1"/>
  <c r="K843" i="1"/>
  <c r="L843" i="1" s="1"/>
  <c r="K1233" i="1"/>
  <c r="L1233" i="1" s="1"/>
  <c r="K701" i="1"/>
  <c r="L701" i="1" s="1"/>
  <c r="K1153" i="1"/>
  <c r="L1153" i="1" s="1"/>
  <c r="K1343" i="1"/>
  <c r="L1343" i="1" s="1"/>
  <c r="K483" i="1"/>
  <c r="L483" i="1" s="1"/>
  <c r="K27" i="1"/>
  <c r="L27" i="1" s="1"/>
  <c r="K1911" i="1"/>
  <c r="L1911" i="1" s="1"/>
  <c r="K11" i="1"/>
  <c r="L11" i="1" s="1"/>
  <c r="K1549" i="1"/>
  <c r="L1549" i="1" s="1"/>
  <c r="K609" i="1"/>
  <c r="L609" i="1" s="1"/>
  <c r="K1627" i="1"/>
  <c r="L1627" i="1" s="1"/>
  <c r="K1138" i="1"/>
  <c r="L1138" i="1" s="1"/>
  <c r="K824" i="1"/>
  <c r="L824" i="1" s="1"/>
  <c r="K1308" i="1"/>
  <c r="L1308" i="1" s="1"/>
  <c r="K448" i="1"/>
  <c r="L448" i="1" s="1"/>
  <c r="K565" i="1"/>
  <c r="L565" i="1" s="1"/>
  <c r="K819" i="1"/>
  <c r="L819" i="1" s="1"/>
  <c r="K1639" i="1"/>
  <c r="L1639" i="1" s="1"/>
  <c r="K787" i="1"/>
  <c r="L787" i="1" s="1"/>
  <c r="K871" i="1"/>
  <c r="L871" i="1" s="1"/>
  <c r="K1475" i="1"/>
  <c r="L1475" i="1" s="1"/>
  <c r="K1595" i="1"/>
  <c r="L1595" i="1" s="1"/>
  <c r="K803" i="1"/>
  <c r="L803" i="1" s="1"/>
  <c r="K511" i="1"/>
  <c r="L511" i="1" s="1"/>
  <c r="K554" i="1"/>
  <c r="L554" i="1" s="1"/>
  <c r="K1304" i="1"/>
  <c r="L1304" i="1" s="1"/>
  <c r="K679" i="1"/>
  <c r="L679" i="1" s="1"/>
  <c r="K1743" i="1"/>
  <c r="L1743" i="1" s="1"/>
  <c r="K1067" i="1"/>
  <c r="L1067" i="1" s="1"/>
  <c r="K132" i="1"/>
  <c r="L132" i="1" s="1"/>
  <c r="K1237" i="1"/>
  <c r="L1237" i="1" s="1"/>
  <c r="K801" i="1"/>
  <c r="L801" i="1" s="1"/>
  <c r="K531" i="1"/>
  <c r="L531" i="1" s="1"/>
  <c r="K1037" i="1"/>
  <c r="L1037" i="1" s="1"/>
  <c r="K875" i="1"/>
  <c r="L875" i="1" s="1"/>
  <c r="K1659" i="1"/>
  <c r="L1659" i="1" s="1"/>
  <c r="K66" i="1"/>
  <c r="L66" i="1" s="1"/>
  <c r="K539" i="1"/>
  <c r="L539" i="1" s="1"/>
  <c r="K619" i="1"/>
  <c r="L619" i="1" s="1"/>
  <c r="K643" i="1"/>
  <c r="L643" i="1" s="1"/>
  <c r="K1091" i="1"/>
  <c r="L1091" i="1" s="1"/>
  <c r="K1999" i="1"/>
  <c r="L1999" i="1" s="1"/>
  <c r="K1031" i="1"/>
  <c r="L1031" i="1" s="1"/>
  <c r="K684" i="1"/>
  <c r="L684" i="1" s="1"/>
  <c r="K1448" i="1"/>
  <c r="L1448" i="1" s="1"/>
  <c r="K1065" i="1"/>
  <c r="L1065" i="1" s="1"/>
  <c r="K1859" i="1"/>
  <c r="L1859" i="1" s="1"/>
  <c r="K1638" i="1"/>
  <c r="L1638" i="1" s="1"/>
  <c r="K372" i="1"/>
  <c r="L372" i="1" s="1"/>
  <c r="K98" i="1"/>
  <c r="L98" i="1" s="1"/>
  <c r="K1916" i="1"/>
  <c r="L1916" i="1" s="1"/>
  <c r="K1362" i="1"/>
  <c r="L1362" i="1" s="1"/>
  <c r="K321" i="1"/>
  <c r="L321" i="1" s="1"/>
  <c r="K1746" i="1"/>
  <c r="L1746" i="1" s="1"/>
  <c r="K1222" i="1"/>
  <c r="L1222" i="1" s="1"/>
  <c r="K115" i="1"/>
  <c r="L115" i="1" s="1"/>
  <c r="K1466" i="1"/>
  <c r="L1466" i="1" s="1"/>
  <c r="K1312" i="1"/>
  <c r="L1312" i="1" s="1"/>
  <c r="K1719" i="1"/>
  <c r="L1719" i="1" s="1"/>
  <c r="K1356" i="1"/>
  <c r="L1356" i="1" s="1"/>
  <c r="K1868" i="1"/>
  <c r="L1868" i="1" s="1"/>
  <c r="K1855" i="1"/>
  <c r="L1855" i="1" s="1"/>
  <c r="K1376" i="1"/>
  <c r="L1376" i="1" s="1"/>
  <c r="K676" i="1"/>
  <c r="L676" i="1" s="1"/>
  <c r="K829" i="1"/>
  <c r="L829" i="1" s="1"/>
  <c r="K1776" i="1"/>
  <c r="L1776" i="1" s="1"/>
  <c r="K916" i="1"/>
  <c r="L916" i="1" s="1"/>
  <c r="K720" i="1"/>
  <c r="L720" i="1" s="1"/>
  <c r="K1665" i="1"/>
  <c r="L1665" i="1" s="1"/>
  <c r="K38" i="1"/>
  <c r="L38" i="1" s="1"/>
  <c r="K702" i="1"/>
  <c r="L702" i="1" s="1"/>
  <c r="K226" i="1"/>
  <c r="L226" i="1" s="1"/>
  <c r="K892" i="1"/>
  <c r="L892" i="1" s="1"/>
  <c r="K1936" i="1"/>
  <c r="L1936" i="1" s="1"/>
  <c r="K1664" i="1"/>
  <c r="L1664" i="1" s="1"/>
  <c r="K348" i="1"/>
  <c r="L348" i="1" s="1"/>
  <c r="K683" i="1"/>
  <c r="L683" i="1" s="1"/>
  <c r="K463" i="1"/>
  <c r="L463" i="1" s="1"/>
  <c r="K1032" i="1"/>
  <c r="L1032" i="1" s="1"/>
  <c r="K328" i="1"/>
  <c r="L328" i="1" s="1"/>
  <c r="K1474" i="1"/>
  <c r="L1474" i="1" s="1"/>
  <c r="K1135" i="1"/>
  <c r="L1135" i="1" s="1"/>
  <c r="K630" i="1"/>
  <c r="L630" i="1" s="1"/>
  <c r="K1284" i="1"/>
  <c r="L1284" i="1" s="1"/>
  <c r="K1586" i="1"/>
  <c r="L1586" i="1" s="1"/>
  <c r="K1430" i="1"/>
  <c r="L1430" i="1" s="1"/>
  <c r="K1851" i="1"/>
  <c r="L1851" i="1" s="1"/>
  <c r="K818" i="1"/>
  <c r="L818" i="1" s="1"/>
  <c r="K576" i="1"/>
  <c r="L576" i="1" s="1"/>
  <c r="K1488" i="1"/>
  <c r="L1488" i="1" s="1"/>
  <c r="K1931" i="1"/>
  <c r="L1931" i="1" s="1"/>
  <c r="K578" i="1"/>
  <c r="L578" i="1" s="1"/>
  <c r="K1903" i="1"/>
  <c r="L1903" i="1" s="1"/>
  <c r="K555" i="1"/>
  <c r="L555" i="1" s="1"/>
  <c r="K277" i="1"/>
  <c r="L277" i="1" s="1"/>
  <c r="K91" i="1"/>
  <c r="L91" i="1" s="1"/>
  <c r="K613" i="1"/>
  <c r="L613" i="1" s="1"/>
  <c r="K667" i="1"/>
  <c r="L667" i="1" s="1"/>
  <c r="K1217" i="1"/>
  <c r="L1217" i="1" s="1"/>
  <c r="K1720" i="1"/>
  <c r="L1720" i="1" s="1"/>
  <c r="K1113" i="1"/>
  <c r="L1113" i="1" s="1"/>
  <c r="K1390" i="1"/>
  <c r="L1390" i="1" s="1"/>
  <c r="K721" i="1"/>
  <c r="L721" i="1" s="1"/>
  <c r="K1841" i="1"/>
  <c r="L1841" i="1" s="1"/>
  <c r="K714" i="1"/>
  <c r="L714" i="1" s="1"/>
  <c r="K570" i="1"/>
  <c r="L570" i="1" s="1"/>
  <c r="K663" i="1"/>
  <c r="L663" i="1" s="1"/>
  <c r="K1216" i="1"/>
  <c r="L1216" i="1" s="1"/>
  <c r="K457" i="1"/>
  <c r="L457" i="1" s="1"/>
  <c r="K492" i="1"/>
  <c r="L492" i="1" s="1"/>
  <c r="K1025" i="1"/>
  <c r="L1025" i="1" s="1"/>
  <c r="K909" i="1"/>
  <c r="L909" i="1" s="1"/>
  <c r="K1247" i="1"/>
  <c r="L1247" i="1" s="1"/>
  <c r="K1896" i="1"/>
  <c r="L1896" i="1" s="1"/>
  <c r="K1515" i="1"/>
  <c r="L1515" i="1" s="1"/>
  <c r="K1207" i="1"/>
  <c r="L1207" i="1" s="1"/>
  <c r="K1802" i="1"/>
  <c r="L1802" i="1" s="1"/>
  <c r="K1248" i="1"/>
  <c r="L1248" i="1" s="1"/>
  <c r="K242" i="1"/>
  <c r="L242" i="1" s="1"/>
  <c r="K615" i="1"/>
  <c r="L615" i="1" s="1"/>
  <c r="K628" i="1"/>
  <c r="L628" i="1" s="1"/>
  <c r="K459" i="1"/>
  <c r="L459" i="1" s="1"/>
  <c r="K1485" i="1"/>
  <c r="L1485" i="1" s="1"/>
  <c r="K1954" i="1"/>
  <c r="L1954" i="1" s="1"/>
  <c r="K265" i="1"/>
  <c r="L265" i="1" s="1"/>
  <c r="K1910" i="1"/>
  <c r="L1910" i="1" s="1"/>
  <c r="K114" i="1"/>
  <c r="L114" i="1" s="1"/>
  <c r="K20" i="1"/>
  <c r="L20" i="1" s="1"/>
  <c r="K975" i="1"/>
  <c r="L975" i="1" s="1"/>
  <c r="K212" i="1"/>
  <c r="L212" i="1" s="1"/>
  <c r="K597" i="1"/>
  <c r="L597" i="1" s="1"/>
  <c r="K1142" i="1"/>
  <c r="L1142" i="1" s="1"/>
  <c r="K1415" i="1"/>
  <c r="L1415" i="1" s="1"/>
  <c r="K1590" i="1"/>
  <c r="L1590" i="1" s="1"/>
  <c r="K497" i="1"/>
  <c r="L497" i="1" s="1"/>
  <c r="K832" i="1"/>
  <c r="L832" i="1" s="1"/>
  <c r="K359" i="1"/>
  <c r="L359" i="1" s="1"/>
  <c r="K549" i="1"/>
  <c r="L549" i="1" s="1"/>
  <c r="K1251" i="1"/>
  <c r="L1251" i="1" s="1"/>
  <c r="K1326" i="1"/>
  <c r="L1326" i="1" s="1"/>
  <c r="K518" i="1"/>
  <c r="L518" i="1" s="1"/>
  <c r="K850" i="1"/>
  <c r="L850" i="1" s="1"/>
  <c r="K789" i="1"/>
  <c r="L789" i="1" s="1"/>
  <c r="K131" i="1"/>
  <c r="L131" i="1" s="1"/>
  <c r="K235" i="1"/>
  <c r="L235" i="1" s="1"/>
  <c r="K1468" i="1"/>
  <c r="L1468" i="1" s="1"/>
  <c r="K1394" i="1"/>
  <c r="L1394" i="1" s="1"/>
  <c r="K1663" i="1"/>
  <c r="L1663" i="1" s="1"/>
  <c r="K1310" i="1"/>
  <c r="L1310" i="1" s="1"/>
  <c r="K1040" i="1"/>
  <c r="L1040" i="1" s="1"/>
  <c r="K1436" i="1"/>
  <c r="L1436" i="1" s="1"/>
  <c r="K748" i="1"/>
  <c r="L748" i="1" s="1"/>
  <c r="K795" i="1"/>
  <c r="L795" i="1" s="1"/>
  <c r="K409" i="1"/>
  <c r="L409" i="1" s="1"/>
  <c r="K1576" i="1"/>
  <c r="L1576" i="1" s="1"/>
  <c r="K858" i="1"/>
  <c r="L858" i="1" s="1"/>
  <c r="K718" i="1"/>
  <c r="L718" i="1" s="1"/>
  <c r="K1605" i="1"/>
  <c r="L1605" i="1" s="1"/>
  <c r="K1020" i="1"/>
  <c r="L1020" i="1" s="1"/>
  <c r="K394" i="1"/>
  <c r="L394" i="1" s="1"/>
  <c r="K806" i="1"/>
  <c r="L806" i="1" s="1"/>
  <c r="K1332" i="1"/>
  <c r="L1332" i="1" s="1"/>
  <c r="K939" i="1"/>
  <c r="L939" i="1" s="1"/>
  <c r="K1495" i="1"/>
  <c r="L1495" i="1" s="1"/>
  <c r="K844" i="1"/>
  <c r="L844" i="1" s="1"/>
  <c r="K1761" i="1"/>
  <c r="L1761" i="1" s="1"/>
  <c r="K728" i="1"/>
  <c r="L728" i="1" s="1"/>
  <c r="K1191" i="1"/>
  <c r="L1191" i="1" s="1"/>
  <c r="K1550" i="1"/>
  <c r="L1550" i="1" s="1"/>
  <c r="K1024" i="1"/>
  <c r="L1024" i="1" s="1"/>
  <c r="K513" i="1"/>
  <c r="L513" i="1" s="1"/>
  <c r="K810" i="1"/>
  <c r="L810" i="1" s="1"/>
  <c r="K408" i="1"/>
  <c r="L408" i="1" s="1"/>
  <c r="K1171" i="1"/>
  <c r="L1171" i="1" s="1"/>
  <c r="K1374" i="1"/>
  <c r="L1374" i="1" s="1"/>
  <c r="K1116" i="1"/>
  <c r="L1116" i="1" s="1"/>
  <c r="K1610" i="1"/>
  <c r="L1610" i="1" s="1"/>
  <c r="K794" i="1"/>
  <c r="L794" i="1" s="1"/>
  <c r="K356" i="1"/>
  <c r="L356" i="1" s="1"/>
  <c r="K891" i="1"/>
  <c r="L891" i="1" s="1"/>
  <c r="K1631" i="1"/>
  <c r="L1631" i="1" s="1"/>
  <c r="K1220" i="1"/>
  <c r="L1220" i="1" s="1"/>
  <c r="K1553" i="1"/>
  <c r="L1553" i="1" s="1"/>
  <c r="K709" i="1"/>
  <c r="L709" i="1" s="1"/>
  <c r="K1654" i="1"/>
  <c r="L1654" i="1" s="1"/>
  <c r="K1467" i="1"/>
  <c r="L1467" i="1" s="1"/>
  <c r="K1775" i="1"/>
  <c r="L1775" i="1" s="1"/>
  <c r="K126" i="1"/>
  <c r="L126" i="1" s="1"/>
  <c r="K150" i="1"/>
  <c r="L150" i="1" s="1"/>
  <c r="K1710" i="1"/>
  <c r="L1710" i="1" s="1"/>
  <c r="K594" i="1"/>
  <c r="L594" i="1" s="1"/>
  <c r="K743" i="1"/>
  <c r="L743" i="1" s="1"/>
  <c r="K1932" i="1"/>
  <c r="L1932" i="1" s="1"/>
  <c r="K1501" i="1"/>
  <c r="L1501" i="1" s="1"/>
  <c r="K413" i="1"/>
  <c r="L413" i="1" s="1"/>
  <c r="K788" i="1"/>
  <c r="L788" i="1" s="1"/>
  <c r="K1511" i="1"/>
  <c r="L1511" i="1" s="1"/>
  <c r="K99" i="1"/>
  <c r="L99" i="1" s="1"/>
  <c r="K1018" i="1"/>
  <c r="L1018" i="1" s="1"/>
  <c r="K1172" i="1"/>
  <c r="L1172" i="1" s="1"/>
  <c r="K284" i="1"/>
  <c r="L284" i="1" s="1"/>
  <c r="K1899" i="1"/>
  <c r="L1899" i="1" s="1"/>
  <c r="K402" i="1"/>
  <c r="L402" i="1" s="1"/>
  <c r="K1793" i="1"/>
  <c r="L1793" i="1" s="1"/>
  <c r="K304" i="1"/>
  <c r="L304" i="1" s="1"/>
  <c r="K94" i="1"/>
  <c r="L94" i="1" s="1"/>
  <c r="K1003" i="1"/>
  <c r="L1003" i="1" s="1"/>
  <c r="K695" i="1"/>
  <c r="L695" i="1" s="1"/>
  <c r="K655" i="1"/>
  <c r="L655" i="1" s="1"/>
  <c r="K1035" i="1"/>
  <c r="L1035" i="1" s="1"/>
  <c r="K339" i="1"/>
  <c r="L339" i="1" s="1"/>
  <c r="K1996" i="1"/>
  <c r="L1996" i="1" s="1"/>
  <c r="K124" i="1"/>
  <c r="L124" i="1" s="1"/>
  <c r="K1205" i="1"/>
  <c r="L1205" i="1" s="1"/>
  <c r="K129" i="1"/>
  <c r="L129" i="1" s="1"/>
  <c r="K735" i="1"/>
  <c r="L735" i="1" s="1"/>
  <c r="K704" i="1"/>
  <c r="L704" i="1" s="1"/>
  <c r="K12" i="1"/>
  <c r="L12" i="1" s="1"/>
  <c r="K40" i="1"/>
  <c r="L40" i="1" s="1"/>
  <c r="K412" i="1"/>
  <c r="L412" i="1" s="1"/>
  <c r="K1127" i="1"/>
  <c r="L1127" i="1" s="1"/>
  <c r="K598" i="1"/>
  <c r="L598" i="1" s="1"/>
  <c r="K1168" i="1"/>
  <c r="L1168" i="1" s="1"/>
  <c r="K575" i="1"/>
  <c r="L575" i="1" s="1"/>
  <c r="K200" i="1"/>
  <c r="L200" i="1" s="1"/>
  <c r="K1714" i="1"/>
  <c r="L1714" i="1" s="1"/>
  <c r="K1603" i="1"/>
  <c r="L1603" i="1" s="1"/>
  <c r="K1766" i="1"/>
  <c r="L1766" i="1" s="1"/>
  <c r="K1952" i="1"/>
  <c r="L1952" i="1" s="1"/>
  <c r="K120" i="1"/>
  <c r="L120" i="1" s="1"/>
  <c r="K1850" i="1"/>
  <c r="L1850" i="1" s="1"/>
  <c r="K1806" i="1"/>
  <c r="L1806" i="1" s="1"/>
  <c r="K1831" i="1"/>
  <c r="L1831" i="1" s="1"/>
  <c r="K1484" i="1"/>
  <c r="L1484" i="1" s="1"/>
  <c r="K1689" i="1"/>
  <c r="L1689" i="1" s="1"/>
  <c r="K428" i="1"/>
  <c r="L428" i="1" s="1"/>
  <c r="K817" i="1"/>
  <c r="L817" i="1" s="1"/>
  <c r="K681" i="1"/>
  <c r="L681" i="1" s="1"/>
  <c r="K854" i="1"/>
  <c r="L854" i="1" s="1"/>
  <c r="K309" i="1"/>
  <c r="L309" i="1" s="1"/>
  <c r="K86" i="1"/>
  <c r="L86" i="1" s="1"/>
  <c r="K1799" i="1"/>
  <c r="L1799" i="1" s="1"/>
  <c r="K1695" i="1"/>
  <c r="L1695" i="1" s="1"/>
  <c r="K337" i="1"/>
  <c r="L337" i="1" s="1"/>
</calcChain>
</file>

<file path=xl/sharedStrings.xml><?xml version="1.0" encoding="utf-8"?>
<sst xmlns="http://schemas.openxmlformats.org/spreadsheetml/2006/main" count="12936" uniqueCount="1094">
  <si>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</si>
  <si>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</si>
  <si>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</si>
  <si>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</si>
  <si>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</si>
  <si>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</si>
  <si>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</si>
  <si>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</si>
  <si>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</si>
  <si>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</si>
  <si>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</si>
  <si>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</si>
  <si>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</si>
  <si>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</si>
  <si>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</si>
  <si>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</si>
  <si>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</si>
  <si>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</si>
  <si>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</si>
  <si>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</si>
  <si>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</si>
  <si>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</si>
  <si>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</si>
  <si>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</si>
  <si>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</si>
  <si>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</si>
  <si>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</si>
  <si>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</si>
  <si>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</si>
  <si>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</si>
  <si>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</si>
  <si>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</si>
  <si>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</si>
  <si>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</si>
  <si>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</si>
  <si>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</si>
  <si>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</si>
  <si>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</si>
  <si>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</si>
  <si>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</si>
  <si>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</si>
  <si>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</si>
  <si>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</si>
  <si>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</si>
  <si>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</si>
  <si>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</si>
  <si>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</si>
  <si>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</si>
  <si>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</si>
  <si>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</si>
  <si>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</si>
  <si>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</si>
  <si>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</si>
  <si>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</si>
  <si>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</si>
  <si>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</si>
  <si>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</si>
  <si>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</si>
  <si>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</si>
  <si>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</si>
  <si>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</si>
  <si>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</si>
  <si>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</si>
  <si>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</si>
  <si>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</si>
  <si>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</si>
  <si>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</si>
  <si>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</si>
  <si>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</si>
  <si>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</si>
  <si>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</si>
  <si>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</si>
  <si>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</si>
  <si>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</si>
  <si>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</si>
  <si>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</si>
  <si>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</si>
  <si>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</si>
  <si>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</si>
  <si>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</si>
  <si>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</si>
  <si>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</si>
  <si>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</si>
  <si>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</si>
  <si>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</si>
  <si>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</si>
  <si>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</si>
  <si>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</si>
  <si>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</si>
  <si>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</si>
  <si>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</si>
  <si>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</si>
  <si>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</si>
  <si>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</si>
  <si>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</si>
  <si>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</si>
  <si>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</si>
  <si>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</si>
  <si>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</si>
  <si>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</si>
  <si>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</si>
  <si>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</si>
  <si>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</si>
  <si>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</si>
  <si>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</si>
  <si>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</si>
  <si>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</si>
  <si>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</si>
  <si>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</si>
  <si>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</si>
  <si>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</si>
  <si>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</si>
  <si>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</si>
  <si>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</si>
  <si>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</si>
  <si>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</si>
  <si>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</si>
  <si>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</si>
  <si>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</si>
  <si>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</si>
  <si>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</si>
  <si>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</si>
  <si>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</si>
  <si>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</si>
  <si>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</si>
  <si>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</si>
  <si>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</si>
  <si>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</si>
  <si>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</si>
  <si>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</si>
  <si>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</si>
  <si>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</si>
  <si>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</si>
  <si>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</si>
  <si>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</si>
  <si>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</si>
  <si>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</si>
  <si>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</si>
  <si>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</si>
  <si>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</si>
  <si>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</si>
  <si>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</si>
  <si>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</si>
  <si>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</si>
  <si>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</si>
  <si>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</si>
  <si>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</si>
  <si>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</si>
  <si>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</si>
  <si>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</si>
  <si>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</si>
  <si>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</si>
  <si>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</si>
  <si>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</si>
  <si>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</si>
  <si>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</si>
  <si>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</si>
  <si>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</si>
  <si>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</si>
  <si>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</si>
  <si>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</si>
  <si>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</si>
  <si>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</si>
  <si>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</si>
  <si>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</si>
  <si>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</si>
  <si>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</si>
  <si>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</si>
  <si>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</si>
  <si>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</si>
  <si>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</si>
  <si>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</si>
  <si>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</si>
  <si>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</si>
  <si>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</si>
  <si>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</si>
  <si>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</si>
  <si>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</si>
  <si>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</si>
  <si>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</si>
  <si>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</si>
  <si>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</si>
  <si>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</si>
  <si>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</si>
  <si>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</si>
  <si>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</si>
  <si>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</si>
  <si>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</si>
  <si>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</si>
  <si>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</si>
  <si>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</si>
  <si>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</si>
  <si>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</si>
  <si>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</si>
  <si>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</si>
  <si>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</si>
  <si>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</si>
  <si>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</si>
  <si>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</si>
  <si>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</si>
  <si>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</si>
  <si>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</si>
  <si>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</si>
  <si>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</si>
  <si>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</si>
  <si>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</si>
  <si>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</si>
  <si>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</si>
  <si>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</si>
  <si>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</si>
  <si>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</si>
  <si>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</si>
  <si>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</si>
  <si>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</si>
  <si>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</si>
  <si>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</si>
  <si>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</si>
  <si>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</si>
  <si>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</si>
  <si>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</si>
  <si>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</si>
  <si>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</si>
  <si>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</si>
  <si>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</si>
  <si>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</si>
  <si>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</si>
  <si>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HPE MSA 2050 LFF Disk Enclosure - EXTENSION 1</t>
  </si>
  <si>
    <t>Disk Enclosure - EXTENSION 1</t>
  </si>
  <si>
    <t>Q1J06A</t>
  </si>
  <si>
    <t>HPE SPS-6GB MSA IO MODULE</t>
  </si>
  <si>
    <t>Disk Enclosure</t>
  </si>
  <si>
    <t>876146-001</t>
  </si>
  <si>
    <t>HPE MSA 2050 LFF Disk Enclosure - EXTENSION 2</t>
  </si>
  <si>
    <t>Disk Enclosure - EXTENSION 2</t>
  </si>
  <si>
    <t>To be scanned</t>
  </si>
  <si>
    <t>Sorcímkék</t>
  </si>
  <si>
    <t>Végösszeg</t>
  </si>
  <si>
    <t>Full Inv Packs</t>
  </si>
  <si>
    <t>YES</t>
  </si>
  <si>
    <t>Mennyiség / Serial number</t>
  </si>
  <si>
    <t/>
  </si>
  <si>
    <t>(üres)</t>
  </si>
  <si>
    <t>IRIS-A01</t>
  </si>
  <si>
    <t>CZJ91702JG</t>
  </si>
  <si>
    <t>IRIS-SRV1-A01</t>
  </si>
  <si>
    <t>7CR839442G</t>
  </si>
  <si>
    <t>MY8911123R</t>
  </si>
  <si>
    <t>MY8911123X</t>
  </si>
  <si>
    <t>CZJ91702JH</t>
  </si>
  <si>
    <t>IRIS-SRV2-A01</t>
  </si>
  <si>
    <t>7CR83941WR</t>
  </si>
  <si>
    <t>7CR8394312</t>
  </si>
  <si>
    <t>MY8911120N</t>
  </si>
  <si>
    <t>MY8911123B</t>
  </si>
  <si>
    <t>FOC2307U0FG</t>
  </si>
  <si>
    <t>IRIS-SW1-A01</t>
  </si>
  <si>
    <t>AVD2305D1NC</t>
  </si>
  <si>
    <t>AVD2305D7H5</t>
  </si>
  <si>
    <t>AVD2305D7GK</t>
  </si>
  <si>
    <t>ACW23040Z9S</t>
  </si>
  <si>
    <t>ACW23040ZDW</t>
  </si>
  <si>
    <t>ACW23040YW4</t>
  </si>
  <si>
    <t>ACW23031MX0</t>
  </si>
  <si>
    <t>ACW23031NRX</t>
  </si>
  <si>
    <t>ACW23040YW3</t>
  </si>
  <si>
    <t>AVC230721F8</t>
  </si>
  <si>
    <t>AVC230721FA</t>
  </si>
  <si>
    <t>AVC230721FN</t>
  </si>
  <si>
    <t>FOC2309U027</t>
  </si>
  <si>
    <t>IRIS-SW2-A01</t>
  </si>
  <si>
    <t>AVD2305D7G9</t>
  </si>
  <si>
    <t>AVD2305D7GE</t>
  </si>
  <si>
    <t>AVD2305D7GT</t>
  </si>
  <si>
    <t>ACW23040ZA3</t>
  </si>
  <si>
    <t>ACW23040YM0</t>
  </si>
  <si>
    <t>ACW23040YS0</t>
  </si>
  <si>
    <t>ACW23040ZAG</t>
  </si>
  <si>
    <t>ACW2304168L</t>
  </si>
  <si>
    <t>AVC230721F9</t>
  </si>
  <si>
    <t>AVC230721EX</t>
  </si>
  <si>
    <t>AVC230721EU</t>
  </si>
  <si>
    <t>2S6910B089</t>
  </si>
  <si>
    <t>IRIS-MSA-A01</t>
  </si>
  <si>
    <t>7CE903M549</t>
  </si>
  <si>
    <t>7CE901M900</t>
  </si>
  <si>
    <t>THH917Z0DA</t>
  </si>
  <si>
    <t>IRIS-MSA-A01-01</t>
  </si>
  <si>
    <t>THH917Z08V</t>
  </si>
  <si>
    <t>IRIS-MSA-A01-02</t>
  </si>
  <si>
    <t>THH917Z093</t>
  </si>
  <si>
    <t>IRIS-MSA-A01-03</t>
  </si>
  <si>
    <t>THH917Z0D9</t>
  </si>
  <si>
    <t>IRIS-MSA-A01-04</t>
  </si>
  <si>
    <t>THH917Z0CT</t>
  </si>
  <si>
    <t>IRIS-MSA-A01-05</t>
  </si>
  <si>
    <t>THH917Z08W</t>
  </si>
  <si>
    <t>IRIS-MSA-A01-06</t>
  </si>
  <si>
    <t>THH917Z0D8</t>
  </si>
  <si>
    <t>IRIS-MSA-A01-07</t>
  </si>
  <si>
    <t>THH917Z0DC</t>
  </si>
  <si>
    <t>IRIS-MSA-A01-08</t>
  </si>
  <si>
    <t>THH917Z08E</t>
  </si>
  <si>
    <t>IRIS-MSA-A01-09</t>
  </si>
  <si>
    <t>THH917Z0DB</t>
  </si>
  <si>
    <t>IRIS-MSA-A01-10</t>
  </si>
  <si>
    <t>THH917Z098</t>
  </si>
  <si>
    <t>IRIS-MSA-A01-11</t>
  </si>
  <si>
    <t>THH917Z09F</t>
  </si>
  <si>
    <t>IRIS-MSA-A01-12</t>
  </si>
  <si>
    <t>MY8905122U</t>
  </si>
  <si>
    <t>MY8905123G</t>
  </si>
  <si>
    <t>MY890511G5</t>
  </si>
  <si>
    <t>MY890511G7</t>
  </si>
  <si>
    <t>MY890511YF</t>
  </si>
  <si>
    <t>MY89051235</t>
  </si>
  <si>
    <t>MY890511F8</t>
  </si>
  <si>
    <t>MY890511GE</t>
  </si>
  <si>
    <t>2S6912D144</t>
  </si>
  <si>
    <t>IRIS-DEN-A01-1</t>
  </si>
  <si>
    <t>7CE909G709</t>
  </si>
  <si>
    <t>7CE909G912</t>
  </si>
  <si>
    <t>THH923Z06Z</t>
  </si>
  <si>
    <t>IRIS-DEN-A01-1-01</t>
  </si>
  <si>
    <t>THH923Z094</t>
  </si>
  <si>
    <t>IRIS-DEN-A01-1-02</t>
  </si>
  <si>
    <t>THH923Z05L</t>
  </si>
  <si>
    <t>IRIS-DEN-A01-1-03</t>
  </si>
  <si>
    <t>THH923Z070</t>
  </si>
  <si>
    <t>IRIS-DEN-A01-1-04</t>
  </si>
  <si>
    <t>THH923Z093</t>
  </si>
  <si>
    <t>IRIS-DEN-A01-1-05</t>
  </si>
  <si>
    <t>THH923Z05J</t>
  </si>
  <si>
    <t>IRIS-DEN-A01-1-06</t>
  </si>
  <si>
    <t>THH923Z071</t>
  </si>
  <si>
    <t>IRIS-DEN-A01-1-07</t>
  </si>
  <si>
    <t>THH923Z092</t>
  </si>
  <si>
    <t>IRIS-DEN-A01-1-08</t>
  </si>
  <si>
    <t>THH923Z05G</t>
  </si>
  <si>
    <t>IRIS-DEN-A01-1-09</t>
  </si>
  <si>
    <t>THH923Z072</t>
  </si>
  <si>
    <t>IRIS-DEN-A01-1-10</t>
  </si>
  <si>
    <t>THH923Z091</t>
  </si>
  <si>
    <t>IRIS-DEN-A01-1-11</t>
  </si>
  <si>
    <t>THH923Z05H</t>
  </si>
  <si>
    <t>IRIS-DEN-A01-1-12</t>
  </si>
  <si>
    <t>2S6912D142</t>
  </si>
  <si>
    <t>IRIS-DEN-A01-2</t>
  </si>
  <si>
    <t>7CE909G710</t>
  </si>
  <si>
    <t>7CE909G719</t>
  </si>
  <si>
    <t>THH923Z06L</t>
  </si>
  <si>
    <t>IRIS-DEN-A01-2-01</t>
  </si>
  <si>
    <t>THH923Z068</t>
  </si>
  <si>
    <t>IRIS-DEN-A01-2-02</t>
  </si>
  <si>
    <t>THH923Z06W</t>
  </si>
  <si>
    <t>IRIS-DEN-A01-2-03</t>
  </si>
  <si>
    <t>THH923Z06M</t>
  </si>
  <si>
    <t>IRIS-DEN-A01-2-04</t>
  </si>
  <si>
    <t>THH923Z06T</t>
  </si>
  <si>
    <t>IRIS-DEN-A01-2-05</t>
  </si>
  <si>
    <t>THH923Z06X</t>
  </si>
  <si>
    <t>IRIS-DEN-A01-2-06</t>
  </si>
  <si>
    <t>THH923Z06N</t>
  </si>
  <si>
    <t>IRIS-DEN-A01-2-07</t>
  </si>
  <si>
    <t>THH923Z06S</t>
  </si>
  <si>
    <t>IRIS-DEN-A01-2-08</t>
  </si>
  <si>
    <t>THH923Z06Y</t>
  </si>
  <si>
    <t>IRIS-DEN-A01-2-09</t>
  </si>
  <si>
    <t>THH923Z06P</t>
  </si>
  <si>
    <t>IRIS-DEN-A01-2-10</t>
  </si>
  <si>
    <t>THH923Z06R</t>
  </si>
  <si>
    <t>IRIS-DEN-A01-2-11</t>
  </si>
  <si>
    <t>THH923Z06V</t>
  </si>
  <si>
    <t>IRIS-DEN-A01-2-12</t>
  </si>
  <si>
    <t>0814298</t>
  </si>
  <si>
    <t>IRIS-NTP-A01</t>
  </si>
  <si>
    <t>3C88140789</t>
  </si>
  <si>
    <t>IRIS-UPS-A01</t>
  </si>
  <si>
    <t>CARTON BOX / IRIS - A01</t>
  </si>
  <si>
    <t>Delivery External Usb Hard Disk - WD Elements Portable SE 1TB USB 3.0 2.5In</t>
  </si>
  <si>
    <t>Disk WDE - Delivery</t>
  </si>
  <si>
    <t>ACTIVIUM</t>
  </si>
  <si>
    <t>WDBUZG0010BBK-0B</t>
  </si>
  <si>
    <t>WXS1A480PJ4V</t>
  </si>
  <si>
    <t>VM Initial Backup - WD Elements Portable SE 2TB USB 3.0 2.5In</t>
  </si>
  <si>
    <t>Disk WDE - VM Iinitial BKP</t>
  </si>
  <si>
    <t>WDBU6Y0020BBK-0B</t>
  </si>
  <si>
    <t>WXQ1EC82XK7V</t>
  </si>
  <si>
    <t>Deployment Workstation - DataTraveler 100 G3 - 32 Go</t>
  </si>
  <si>
    <t>DT100G3/32GB</t>
  </si>
  <si>
    <t>N/A</t>
  </si>
  <si>
    <t>2019.07.20261</t>
  </si>
  <si>
    <t>ADM A01 Workstation</t>
  </si>
  <si>
    <t>IRIS-OPR01-A01</t>
  </si>
  <si>
    <t>HP 512GB 2280 M2 PCIe 3x4 DS NVME EU</t>
  </si>
  <si>
    <t>HP 512GB M2</t>
  </si>
  <si>
    <t>861960-003</t>
  </si>
  <si>
    <t>HP USB Business Slim Keyboard - Hungarian</t>
  </si>
  <si>
    <t>Keyboard</t>
  </si>
  <si>
    <t>803181-211</t>
  </si>
  <si>
    <t>2019.07.20239</t>
  </si>
  <si>
    <t>HP USB Optical Mouse</t>
  </si>
  <si>
    <t>Mouse</t>
  </si>
  <si>
    <t>678652-001</t>
  </si>
  <si>
    <t>USB 3.0 to Gigabit Ethernet Fiber Optic Network Adapter - 1000Base-SX SC</t>
  </si>
  <si>
    <t>USB-Fiber</t>
  </si>
  <si>
    <t>US1GA30SXSC</t>
  </si>
  <si>
    <t>2019.06.18230</t>
  </si>
  <si>
    <t>Thunderbolts 3 to dual DisplayPort Adapter</t>
  </si>
  <si>
    <t>Thunderbolt</t>
  </si>
  <si>
    <t>TB32DP2T</t>
  </si>
  <si>
    <t>2019.06.18266</t>
  </si>
  <si>
    <t>2019.05.17313</t>
  </si>
  <si>
    <t>IRIS-24-SCR01-A01</t>
  </si>
  <si>
    <t>2019.05.17314</t>
  </si>
  <si>
    <t>IRIS-24-SCR02-A01</t>
  </si>
  <si>
    <t>CASE 1 / IRIS - A01</t>
  </si>
  <si>
    <t>2019.07.20259</t>
  </si>
  <si>
    <t>Incluses I4DEXPLORER</t>
  </si>
  <si>
    <t>IRIS-OPR02-A01</t>
  </si>
  <si>
    <t>2019.07.20237</t>
  </si>
  <si>
    <t>2019.06.18243</t>
  </si>
  <si>
    <t>2019.06.18252</t>
  </si>
  <si>
    <t>2019.05.17317</t>
  </si>
  <si>
    <t>IRIS-24-SCR03-A01</t>
  </si>
  <si>
    <t>2019.05.17318</t>
  </si>
  <si>
    <t>IRIS-24-SCR04-A01</t>
  </si>
  <si>
    <t>2019.07.20254</t>
  </si>
  <si>
    <t>IRIS-OPR03-A01</t>
  </si>
  <si>
    <t>2019.07.20232</t>
  </si>
  <si>
    <t>2019.06.18227</t>
  </si>
  <si>
    <t>2019.06.18253</t>
  </si>
  <si>
    <t>2019.05.17319</t>
  </si>
  <si>
    <t>IRIS-24-SCR05-A01</t>
  </si>
  <si>
    <t>2019.05.17320</t>
  </si>
  <si>
    <t>IRIS-24-SCR06-A01</t>
  </si>
  <si>
    <t>CASE 2 / IRIS - A01</t>
  </si>
  <si>
    <t>2019.07.20267</t>
  </si>
  <si>
    <t>IRIS-OPR04-A01</t>
  </si>
  <si>
    <t>2019.07.20245</t>
  </si>
  <si>
    <t>2019.06.18242</t>
  </si>
  <si>
    <t>2019.06.18246</t>
  </si>
  <si>
    <t>2019.05.17321</t>
  </si>
  <si>
    <t>IRIS-24-SCR07-A01</t>
  </si>
  <si>
    <t>2019.05.17322</t>
  </si>
  <si>
    <t>IRIS-24-SCR08-A01</t>
  </si>
  <si>
    <t>2019.07.20264</t>
  </si>
  <si>
    <t>IRIS-OPR05-A01</t>
  </si>
  <si>
    <t>2019.07.20242</t>
  </si>
  <si>
    <t>2019.06.18237</t>
  </si>
  <si>
    <t>2019.06.18263</t>
  </si>
  <si>
    <t>2019.05.17323</t>
  </si>
  <si>
    <t>IRIS-24-SCR09-A01</t>
  </si>
  <si>
    <t>2019.05.17324</t>
  </si>
  <si>
    <t>IRIS-24-SCR10-A01</t>
  </si>
  <si>
    <t>CASE 3 / IRIS - A01</t>
  </si>
  <si>
    <t>2019.07.20262</t>
  </si>
  <si>
    <t>IRIS-OPR06-A01</t>
  </si>
  <si>
    <t>2019.07.20240</t>
  </si>
  <si>
    <t>2019.06.18231</t>
  </si>
  <si>
    <t>2019.06.18247</t>
  </si>
  <si>
    <t>2019.05.17325</t>
  </si>
  <si>
    <t>IRIS-24-SCR11-A01</t>
  </si>
  <si>
    <t>2019.05.17326</t>
  </si>
  <si>
    <t>IRIS-24-SCR12-A01</t>
  </si>
  <si>
    <t>2019.07.20260</t>
  </si>
  <si>
    <t>IRIS-OPR07-A01</t>
  </si>
  <si>
    <t>2019.07.20238</t>
  </si>
  <si>
    <t>2019.06.18226</t>
  </si>
  <si>
    <t>2019.06.18261</t>
  </si>
  <si>
    <t>2019.05.17327</t>
  </si>
  <si>
    <t>IRIS-24-SCR13-A01</t>
  </si>
  <si>
    <t>2019.05.17328</t>
  </si>
  <si>
    <t>IRIS-24-SCR14-A01</t>
  </si>
  <si>
    <t>CASE 4 / IRIS - A01</t>
  </si>
  <si>
    <t>2019.07.20257</t>
  </si>
  <si>
    <t>IRIS-OPR08-A01</t>
  </si>
  <si>
    <t>2019.07.20235</t>
  </si>
  <si>
    <t>2019.06.18224</t>
  </si>
  <si>
    <t>2019.06.18254</t>
  </si>
  <si>
    <t>2019.05.17329</t>
  </si>
  <si>
    <t>IRIS-24-SCR15-A01</t>
  </si>
  <si>
    <t>2019.05.17330</t>
  </si>
  <si>
    <t>IRIS-24-SCR16-A01</t>
  </si>
  <si>
    <t>2019.07.20256</t>
  </si>
  <si>
    <t>IRIS-OPR09-A01</t>
  </si>
  <si>
    <t>2019.07.20234</t>
  </si>
  <si>
    <t>2019.06.18239</t>
  </si>
  <si>
    <t>2019.06.18260</t>
  </si>
  <si>
    <t>IIYAMA B2783QSU</t>
  </si>
  <si>
    <t>B2783QSU</t>
  </si>
  <si>
    <t>2019.07.22337</t>
  </si>
  <si>
    <t>IRIS-27-SCR01-A01</t>
  </si>
  <si>
    <t>2019.07.22336</t>
  </si>
  <si>
    <t>IRIS-27-SCR02-A01</t>
  </si>
  <si>
    <t>SPARE CASE 1 / IRIS - A01</t>
  </si>
  <si>
    <t>2019.07.20258</t>
  </si>
  <si>
    <t>IRIS-SPARE01-A01</t>
  </si>
  <si>
    <t>2019.07.20236</t>
  </si>
  <si>
    <t>2019.06.18223</t>
  </si>
  <si>
    <t>2019.06.18258</t>
  </si>
  <si>
    <t>2019.05.17331</t>
  </si>
  <si>
    <t>IRIS-24-SPARE01-A01</t>
  </si>
  <si>
    <t>2019.05.17332</t>
  </si>
  <si>
    <t>IRIS-24-SPARE02-A01</t>
  </si>
  <si>
    <t>2019.07.20255</t>
  </si>
  <si>
    <t>IRIS-SPARE02-A01</t>
  </si>
  <si>
    <t>2019.07.20233</t>
  </si>
  <si>
    <t>2019.06.18238</t>
  </si>
  <si>
    <t>2019.06.18245</t>
  </si>
  <si>
    <t>2019.05.17333</t>
  </si>
  <si>
    <t>IRIS-24-SPARE03-A01</t>
  </si>
  <si>
    <t>2019.05.17334</t>
  </si>
  <si>
    <t>IRIS-24-SPARE04-A01</t>
  </si>
  <si>
    <t>SPARE CASE 2 / IRIS - A01</t>
  </si>
  <si>
    <t>SPARE CASE 2</t>
  </si>
  <si>
    <t>2019.05.17335</t>
  </si>
  <si>
    <t>IRIS-24-SPARE05-A01</t>
  </si>
  <si>
    <t>2019.05.17336</t>
  </si>
  <si>
    <t>IRIS-24-SPARE06-A01</t>
  </si>
  <si>
    <t>2019.07.22335</t>
  </si>
  <si>
    <t>IRIS-27-SPARE01-A01</t>
  </si>
  <si>
    <t>2019.07.22334</t>
  </si>
  <si>
    <t>IRIS-27-SPARE02-A01</t>
  </si>
  <si>
    <t>SPARE / IRIS - A01</t>
  </si>
  <si>
    <t>SPARE</t>
  </si>
  <si>
    <t>SDC4/8GB - 8GB microSDHC (Class 4)</t>
  </si>
  <si>
    <t>SDC4/8GB</t>
  </si>
  <si>
    <t>SDC4/8GBSP - 8GB2 microSDHC (Class 4)</t>
  </si>
  <si>
    <t>IRIS-8GB-SPARE-A01</t>
  </si>
  <si>
    <t>S34CNX0K821454</t>
  </si>
  <si>
    <t>IRIS-512GB-SPARE01-A01</t>
  </si>
  <si>
    <t>IRIS-10TB-SPARE01-A01</t>
  </si>
  <si>
    <t>IRIS-10TB-SPARE02-A01</t>
  </si>
  <si>
    <t>DIMENSION DATA</t>
  </si>
  <si>
    <t>AVD2305D9JH</t>
  </si>
  <si>
    <t>IRIS-10GB-SR-SPARE01-A01</t>
  </si>
  <si>
    <t>AVD2305D9J9</t>
  </si>
  <si>
    <t>IRIS-10GB-SR-SPARE02-A01</t>
  </si>
  <si>
    <t>ACW230502UM</t>
  </si>
  <si>
    <t>IRIS-1GB-SX-SPARE01-A01</t>
  </si>
  <si>
    <t>ACW230503HY</t>
  </si>
  <si>
    <t>IRIS-1GB-SX-SPARE02-A01</t>
  </si>
  <si>
    <t>IRIS-1GB-T-SPARE-A01</t>
  </si>
  <si>
    <t>IRIS-G01</t>
  </si>
  <si>
    <t>CZJ8510C1C</t>
  </si>
  <si>
    <t>IRIS-SRV1-G01</t>
  </si>
  <si>
    <t>7CR841N1WK</t>
  </si>
  <si>
    <t>7CR841N1WL</t>
  </si>
  <si>
    <t>MY883701S8</t>
  </si>
  <si>
    <t>MY883701UL</t>
  </si>
  <si>
    <t>CZJ8510C1M</t>
  </si>
  <si>
    <t>IRIS-SRV2-G01</t>
  </si>
  <si>
    <t>7CR841N0NX</t>
  </si>
  <si>
    <t>7CR841N1W6</t>
  </si>
  <si>
    <t>MY883701RX</t>
  </si>
  <si>
    <t>MY883701UH</t>
  </si>
  <si>
    <t>FCW2247D0AC</t>
  </si>
  <si>
    <t>IRIS-SW1-G01</t>
  </si>
  <si>
    <t>FOC2247X096</t>
  </si>
  <si>
    <t>IRIS-SW2-G01</t>
  </si>
  <si>
    <t>CZJ8510C11</t>
  </si>
  <si>
    <t>IRIS-SRV3-G01</t>
  </si>
  <si>
    <t>7CR841N1UB</t>
  </si>
  <si>
    <t>7CR841N1VW</t>
  </si>
  <si>
    <t>MY883701UC</t>
  </si>
  <si>
    <t>MY883701UD</t>
  </si>
  <si>
    <t>CZJ8510C17</t>
  </si>
  <si>
    <t>IRIS-SRV4-G01</t>
  </si>
  <si>
    <t>7CR841N1VZ</t>
  </si>
  <si>
    <t>7CR841N1WH</t>
  </si>
  <si>
    <t>MY884805UV</t>
  </si>
  <si>
    <t>MY884805PC</t>
  </si>
  <si>
    <t>P09088-B21</t>
  </si>
  <si>
    <t>5C3904J04B</t>
  </si>
  <si>
    <t>IRIS-SRV4-G01-01</t>
  </si>
  <si>
    <t>5C3905J075</t>
  </si>
  <si>
    <t>IRIS-SRV4-G01-02</t>
  </si>
  <si>
    <t>2S6849B200</t>
  </si>
  <si>
    <t>IRIS-MSA-G01</t>
  </si>
  <si>
    <t>7CE847M249</t>
  </si>
  <si>
    <t>7CE847M256</t>
  </si>
  <si>
    <t>THH851Z06I</t>
  </si>
  <si>
    <t>IRIS-MSA-G01-01</t>
  </si>
  <si>
    <t>THH851Z06J</t>
  </si>
  <si>
    <t>IRIS-MSA-G01-02</t>
  </si>
  <si>
    <t>THH851Z06K</t>
  </si>
  <si>
    <t>IRIS-MSA-G01-03</t>
  </si>
  <si>
    <t>THH851Z06L</t>
  </si>
  <si>
    <t>IRIS-MSA-G01-04</t>
  </si>
  <si>
    <t>THH851Z06R</t>
  </si>
  <si>
    <t>IRIS-MSA-G01-05</t>
  </si>
  <si>
    <t>THH851Z06P</t>
  </si>
  <si>
    <t>IRIS-MSA-G01-06</t>
  </si>
  <si>
    <t>THH851Z06E</t>
  </si>
  <si>
    <t>IRIS-MSA-G01-07</t>
  </si>
  <si>
    <t>THH851Z06M</t>
  </si>
  <si>
    <t>IRIS-MSA-G01-08</t>
  </si>
  <si>
    <t>THH851Z06N</t>
  </si>
  <si>
    <t>IRIS-MSA-G01-09</t>
  </si>
  <si>
    <t>THH851Z06B</t>
  </si>
  <si>
    <t>IRIS-MSA-G01-10</t>
  </si>
  <si>
    <t>THH851Z06C</t>
  </si>
  <si>
    <t>IRIS-MSA-G01-11</t>
  </si>
  <si>
    <t>THH851Z06D</t>
  </si>
  <si>
    <t>IRIS-MSA-G01-12</t>
  </si>
  <si>
    <t>MY884204T3</t>
  </si>
  <si>
    <t>MY884204FU</t>
  </si>
  <si>
    <t>MY884201PP</t>
  </si>
  <si>
    <t>MY884201N9</t>
  </si>
  <si>
    <t>MY884204ZQ</t>
  </si>
  <si>
    <t>MY884302B7</t>
  </si>
  <si>
    <t>MY884201PE</t>
  </si>
  <si>
    <t>MY884201CG</t>
  </si>
  <si>
    <t>0814292</t>
  </si>
  <si>
    <t>IRIS-NTP-G01</t>
  </si>
  <si>
    <t>ACC8390056</t>
  </si>
  <si>
    <t>IRIS-UPS-G01</t>
  </si>
  <si>
    <t>CASE 1 / IRIS - G01</t>
  </si>
  <si>
    <t>WX51AA88AXAV</t>
  </si>
  <si>
    <t>WXQ1EC86Y698</t>
  </si>
  <si>
    <t>2019.01.3204</t>
  </si>
  <si>
    <t>OSINT Workstation</t>
  </si>
  <si>
    <t>IRIS-MMCO-G01</t>
  </si>
  <si>
    <t>HP 1TB 7200RPM SATA 6.0 Gbps 2.5 64MB</t>
  </si>
  <si>
    <t>HP 1TB 7.2K</t>
  </si>
  <si>
    <t>Y3J93AV</t>
  </si>
  <si>
    <t>2019.01.3268</t>
  </si>
  <si>
    <t>2019.01.3088</t>
  </si>
  <si>
    <t>2019.01.3529</t>
  </si>
  <si>
    <t>IRIS-24-SCR01-G01</t>
  </si>
  <si>
    <t>2019.01.3530</t>
  </si>
  <si>
    <t>IRIS-24-SCR02-G01</t>
  </si>
  <si>
    <t>OSINT Data Collection - WD Elements Portable SE 2TB USB 3.0 2.5In</t>
  </si>
  <si>
    <t>Disk WDE - OSINT Data</t>
  </si>
  <si>
    <t>2019.01.3118</t>
  </si>
  <si>
    <t>2019.01.3117</t>
  </si>
  <si>
    <t>2019.01.3175</t>
  </si>
  <si>
    <t>IRIS-OPR01-G01</t>
  </si>
  <si>
    <t>2019.01.3239</t>
  </si>
  <si>
    <t>2019.01.3012</t>
  </si>
  <si>
    <t>2019.01.3087</t>
  </si>
  <si>
    <t>2019.01.3531</t>
  </si>
  <si>
    <t>IRIS-24-SCR03-G01</t>
  </si>
  <si>
    <t>2019.01.3532</t>
  </si>
  <si>
    <t>IRIS-24-SCR04-G01</t>
  </si>
  <si>
    <t>CASE 2 / IRIS - G01</t>
  </si>
  <si>
    <t>2019.01.3176</t>
  </si>
  <si>
    <t>IRIS-OPR02-G01</t>
  </si>
  <si>
    <t>2019.01.3240</t>
  </si>
  <si>
    <t>2019.01.3009</t>
  </si>
  <si>
    <t>2019.01.3086</t>
  </si>
  <si>
    <t>2019.01.3533</t>
  </si>
  <si>
    <t>IRIS-24-SCR05-G01</t>
  </si>
  <si>
    <t>2019.01.3534</t>
  </si>
  <si>
    <t>IRIS-24-SCR06-G01</t>
  </si>
  <si>
    <t>2019.01.3177</t>
  </si>
  <si>
    <t>IRIS-OPR03-G01</t>
  </si>
  <si>
    <t>2019.01.3241</t>
  </si>
  <si>
    <t>2019.01.3011</t>
  </si>
  <si>
    <t>2019.01.3085</t>
  </si>
  <si>
    <t>2019.01.3535</t>
  </si>
  <si>
    <t>IRIS-24-SCR07-G01</t>
  </si>
  <si>
    <t>2019.01.3536</t>
  </si>
  <si>
    <t>IRIS-24-SCR08-G01</t>
  </si>
  <si>
    <t>CASE 3 / IRIS - G01</t>
  </si>
  <si>
    <t>2019.01.3178</t>
  </si>
  <si>
    <t>IRIS-OPR04-G01</t>
  </si>
  <si>
    <t>2019.01.3242</t>
  </si>
  <si>
    <t>2019.01.3010</t>
  </si>
  <si>
    <t>2019.01.3084</t>
  </si>
  <si>
    <t>2019.01.3537</t>
  </si>
  <si>
    <t>IRIS-24-SCR09-G01</t>
  </si>
  <si>
    <t>2019.01.3538</t>
  </si>
  <si>
    <t>IRIS-24-SCR10-G01</t>
  </si>
  <si>
    <t>SPARE CASE 1 / IRIS - G01</t>
  </si>
  <si>
    <t>2019.01.3195</t>
  </si>
  <si>
    <t>IRIS-MM-SPARE-G01</t>
  </si>
  <si>
    <t>2019.01.3259</t>
  </si>
  <si>
    <t>2019.01.3539</t>
  </si>
  <si>
    <t>IRIS-24-SPARE01-G01</t>
  </si>
  <si>
    <t>2019.01.3554</t>
  </si>
  <si>
    <t>IRIS-24-SPARE02-G01</t>
  </si>
  <si>
    <t>2019.01.3192</t>
  </si>
  <si>
    <t>IRIS-SPARE01-G01</t>
  </si>
  <si>
    <t>2019.01.3256</t>
  </si>
  <si>
    <t>2019.01.3555</t>
  </si>
  <si>
    <t>IRIS-24-SPARE03-G01</t>
  </si>
  <si>
    <t>2019.01.3556</t>
  </si>
  <si>
    <t>IRIS-24-SPARE04-G01</t>
  </si>
  <si>
    <t>2019.01.3008</t>
  </si>
  <si>
    <t>2019.01.3083</t>
  </si>
  <si>
    <t>2019.01.3082</t>
  </si>
  <si>
    <t>HARD DISK / IRIS - G01</t>
  </si>
  <si>
    <t>HARD DISK</t>
  </si>
  <si>
    <t>Pack fan - ebmpapts 7855 ES</t>
  </si>
  <si>
    <t>Fan</t>
  </si>
  <si>
    <t>SOCAMONT</t>
  </si>
  <si>
    <t>W2S130-AA03-01</t>
  </si>
  <si>
    <t>IRIS-FAN-SPARE-G01</t>
  </si>
  <si>
    <t>IRIS-8GB-SPARE-G01</t>
  </si>
  <si>
    <t>5C3905J06A</t>
  </si>
  <si>
    <t>IRIS-400GB-SPARE-G01</t>
  </si>
  <si>
    <t>S34CNX0K821354</t>
  </si>
  <si>
    <t>IRIS-512GB-SPARE01-G01</t>
  </si>
  <si>
    <t>JEHGK52N</t>
  </si>
  <si>
    <t>IRIS-10TB-SPARE01-G01</t>
  </si>
  <si>
    <t>JEHGEUPN</t>
  </si>
  <si>
    <t>IRIS-10TB-SPARE02-G01</t>
  </si>
  <si>
    <t>AVD2305D9J1</t>
  </si>
  <si>
    <t>IRIS-10GB-SR-SPARE01-G01</t>
  </si>
  <si>
    <t>AVD2305D9KL</t>
  </si>
  <si>
    <t>IRIS-10GB-SR-SPARE02-G01</t>
  </si>
  <si>
    <t>ACW230503YN</t>
  </si>
  <si>
    <t>IRIS-1GB-SX-SPARE01-G01</t>
  </si>
  <si>
    <t>ACW230503Y3</t>
  </si>
  <si>
    <t>IRIS-1GB-SX-SPARE02-G01</t>
  </si>
  <si>
    <t>IRIS-1GB-T-SPARE-G01</t>
  </si>
  <si>
    <t>WXV1A881SUX1</t>
  </si>
  <si>
    <t>WXR1EA8AN4DA</t>
  </si>
  <si>
    <t>2019.05.17134</t>
  </si>
  <si>
    <t>2019.09.27865</t>
  </si>
  <si>
    <t>2019.09.27889</t>
  </si>
  <si>
    <t>2019.09.27888</t>
  </si>
  <si>
    <t>2019.05.17147</t>
  </si>
  <si>
    <t>2019.09.27815</t>
  </si>
  <si>
    <t>2019.09.27856</t>
  </si>
  <si>
    <t>2019.05.17148</t>
  </si>
  <si>
    <t>2019.09.27812</t>
  </si>
  <si>
    <t>2019.09.27843</t>
  </si>
  <si>
    <t>2019.05.17149</t>
  </si>
  <si>
    <t>2019.09.27813</t>
  </si>
  <si>
    <t>2019.09.27842</t>
  </si>
  <si>
    <t>2019.05.17150</t>
  </si>
  <si>
    <t>2019.09.27814</t>
  </si>
  <si>
    <t>2019.09.27846</t>
  </si>
  <si>
    <t>2019.05.17151</t>
  </si>
  <si>
    <t>2019.09.27816</t>
  </si>
  <si>
    <t>2019.09.27866</t>
  </si>
  <si>
    <t>2019.05.17152</t>
  </si>
  <si>
    <t>2019.09.27825</t>
  </si>
  <si>
    <t>2019.01.3054</t>
  </si>
  <si>
    <t>2019.05.17135</t>
  </si>
  <si>
    <t>2019.09.27818</t>
  </si>
  <si>
    <t>2019.09.27845</t>
  </si>
  <si>
    <t>2019.09.27844</t>
  </si>
  <si>
    <t>IRIS-27-SPARE01-H01</t>
  </si>
  <si>
    <t>HARD DISK / IRIS - H01</t>
  </si>
  <si>
    <t>IRIS-FAN-SPARE-H01</t>
  </si>
  <si>
    <t>IRIS-8GB-SPARE-H01</t>
  </si>
  <si>
    <t>5C3905J06C</t>
  </si>
  <si>
    <t>IRIS-400GB-SPARE-H01</t>
  </si>
  <si>
    <t>S34CNX0K821395</t>
  </si>
  <si>
    <t>IRIS-512GB-SPARE-H01</t>
  </si>
  <si>
    <t>IRIS-10TB-SPARE01-H01</t>
  </si>
  <si>
    <t>IRIS-10TB-SPARE02-H01</t>
  </si>
  <si>
    <t>AVD2305D76H</t>
  </si>
  <si>
    <t>IRIS-10GB-SR-SPARE01-H01</t>
  </si>
  <si>
    <t>AVD2305D76F</t>
  </si>
  <si>
    <t>IRIS-10GB-SR-SPARE02-H01</t>
  </si>
  <si>
    <t>ACW230503XN</t>
  </si>
  <si>
    <t>IRIS-1GB-SX-SPARE01-H01</t>
  </si>
  <si>
    <t>ACW23040YLH</t>
  </si>
  <si>
    <t>IRIS-1GB-SX-SPARE02-H01</t>
  </si>
  <si>
    <t>SMTC22380AWD</t>
  </si>
  <si>
    <t>IRIS-1GB-T-SPARE-H01</t>
  </si>
  <si>
    <t>IRIS-I01</t>
  </si>
  <si>
    <t>CZJ91702JM</t>
  </si>
  <si>
    <t>IRIS-SRV1-I01</t>
  </si>
  <si>
    <t>7CR8394385</t>
  </si>
  <si>
    <t>7CR839420J</t>
  </si>
  <si>
    <t>MY891115AQ</t>
  </si>
  <si>
    <t>MY891115C5</t>
  </si>
  <si>
    <t>CZJ91702JQ</t>
  </si>
  <si>
    <t>IRIS-SRV2-I01</t>
  </si>
  <si>
    <t>7CR839420P</t>
  </si>
  <si>
    <t>7CR839438G</t>
  </si>
  <si>
    <t>MY891115BG</t>
  </si>
  <si>
    <t>MY891114JH</t>
  </si>
  <si>
    <t>FOC2247X09P</t>
  </si>
  <si>
    <t>IRIS-SW1-I01</t>
  </si>
  <si>
    <t>AVD3205D7FA</t>
  </si>
  <si>
    <t>ACW23031NSD</t>
  </si>
  <si>
    <t>ACW230415SV</t>
  </si>
  <si>
    <t>ACW2304168G</t>
  </si>
  <si>
    <t>ACW230415T1</t>
  </si>
  <si>
    <t>AVC230721E6</t>
  </si>
  <si>
    <t>AVC230721E7</t>
  </si>
  <si>
    <t>AVC230721E4</t>
  </si>
  <si>
    <t>AVC230721E8</t>
  </si>
  <si>
    <t>FOC2247U0AS</t>
  </si>
  <si>
    <t>IRIS-SW2-I01</t>
  </si>
  <si>
    <t>ACW230416KX</t>
  </si>
  <si>
    <t>ACW230416HF</t>
  </si>
  <si>
    <t>ACW230416JA</t>
  </si>
  <si>
    <t>ACW230416K5</t>
  </si>
  <si>
    <t>AVC230721E5</t>
  </si>
  <si>
    <t>AVC230721ET</t>
  </si>
  <si>
    <t>AVC230720UW</t>
  </si>
  <si>
    <t>AVC230721FR</t>
  </si>
  <si>
    <t>CZJ91702K0</t>
  </si>
  <si>
    <t>IRIS-SRV3-I01</t>
  </si>
  <si>
    <t>7CR839420F</t>
  </si>
  <si>
    <t>7CR839420H</t>
  </si>
  <si>
    <t>MY89111578</t>
  </si>
  <si>
    <t>MY891115AF</t>
  </si>
  <si>
    <t>CZJ91702K3</t>
  </si>
  <si>
    <t>IRIS-SRV4-I01</t>
  </si>
  <si>
    <t>7CR839420U</t>
  </si>
  <si>
    <t>7CR839420R</t>
  </si>
  <si>
    <t>MY891119U2</t>
  </si>
  <si>
    <t>MY891119M0</t>
  </si>
  <si>
    <t>5C3905J06T</t>
  </si>
  <si>
    <t>IRIS-SRV4-I01-01</t>
  </si>
  <si>
    <t>5C3905J06R</t>
  </si>
  <si>
    <t>IRIS-SRV4-I01-02</t>
  </si>
  <si>
    <t>2S6910B091</t>
  </si>
  <si>
    <t>IRIS-MSA-I01</t>
  </si>
  <si>
    <t>7CE901M842</t>
  </si>
  <si>
    <t>7CE901M918</t>
  </si>
  <si>
    <t>THH917Z08N</t>
  </si>
  <si>
    <t>IRIS-MSA-I01-01</t>
  </si>
  <si>
    <t>THH917Z07U</t>
  </si>
  <si>
    <t>IRIS-MSA-I01-02</t>
  </si>
  <si>
    <t>THH917Z08G</t>
  </si>
  <si>
    <t>IRIS-MSA-I01-03</t>
  </si>
  <si>
    <t>THH917Z082</t>
  </si>
  <si>
    <t>IRIS-MSA-I01-04</t>
  </si>
  <si>
    <t>THH917Z07F</t>
  </si>
  <si>
    <t>IRIS-MSA-I01-05</t>
  </si>
  <si>
    <t>THH917Z08D</t>
  </si>
  <si>
    <t>IRIS-MSA-I01-06</t>
  </si>
  <si>
    <t>THH917Z07G</t>
  </si>
  <si>
    <t>IRIS-MSA-I01-07</t>
  </si>
  <si>
    <t>THH917Z07P</t>
  </si>
  <si>
    <t>IRIS-MSA-I01-08</t>
  </si>
  <si>
    <t>THH917Z08C</t>
  </si>
  <si>
    <t>IRIS-MSA-I01-09</t>
  </si>
  <si>
    <t>THH917Z086</t>
  </si>
  <si>
    <t>IRIS-MSA-I01-10</t>
  </si>
  <si>
    <t>THH917Z07E</t>
  </si>
  <si>
    <t>IRIS-MSA-I01-11</t>
  </si>
  <si>
    <t>THH917Z07A</t>
  </si>
  <si>
    <t>IRIS-MSA-I01-12</t>
  </si>
  <si>
    <t>MY890510HH</t>
  </si>
  <si>
    <t>MY890510H7</t>
  </si>
  <si>
    <t>MY890510HB</t>
  </si>
  <si>
    <t>MY890510H9</t>
  </si>
  <si>
    <t>MY890511KG</t>
  </si>
  <si>
    <t>MY890511K1</t>
  </si>
  <si>
    <t>MY890511KM</t>
  </si>
  <si>
    <t>MY890511JW</t>
  </si>
  <si>
    <t>0814296</t>
  </si>
  <si>
    <t>IRIS-NTP-I01</t>
  </si>
  <si>
    <t>ACC8390071</t>
  </si>
  <si>
    <t>IRIS-UPS-I01</t>
  </si>
  <si>
    <t>WesternDigital</t>
  </si>
  <si>
    <t>WXV1A881S44R</t>
  </si>
  <si>
    <t>WXW1EB83FM5L</t>
  </si>
  <si>
    <t>2019.05.17099</t>
  </si>
  <si>
    <t>IOSINT Worsktation</t>
  </si>
  <si>
    <t>IRIS-MMCO1-I01</t>
  </si>
  <si>
    <t>2019.05.17138</t>
  </si>
  <si>
    <t>2019.09.27859</t>
  </si>
  <si>
    <t>2019.05.17514</t>
  </si>
  <si>
    <t>IRIS-24-SCR01-I01</t>
  </si>
  <si>
    <t>2019.05.17513</t>
  </si>
  <si>
    <t>IRIS-24-SCR02-I01</t>
  </si>
  <si>
    <t>2019.09.27884</t>
  </si>
  <si>
    <t>2019.09.27885</t>
  </si>
  <si>
    <t>2019.05.17120</t>
  </si>
  <si>
    <t>IRIS-OPR01-I01</t>
  </si>
  <si>
    <t>2019.05.17159</t>
  </si>
  <si>
    <t>2019.09.27805</t>
  </si>
  <si>
    <t>2019.09.27847</t>
  </si>
  <si>
    <t>2019.05.17512</t>
  </si>
  <si>
    <t>IRIS-24-SCR03-I01</t>
  </si>
  <si>
    <t>2019.05.17511</t>
  </si>
  <si>
    <t>IRIS-24-SCR04-I01</t>
  </si>
  <si>
    <t>2019.05.17121</t>
  </si>
  <si>
    <t>IRIS-OPR02-I01</t>
  </si>
  <si>
    <t>2019.05.17160</t>
  </si>
  <si>
    <t>2019.09.27829</t>
  </si>
  <si>
    <t>2019.09.27850</t>
  </si>
  <si>
    <t>2019.05.17510</t>
  </si>
  <si>
    <t>IRIS-24-SCR05-I01</t>
  </si>
  <si>
    <t>2019.05.17515</t>
  </si>
  <si>
    <t>IRIS-24-SCR06-I01</t>
  </si>
  <si>
    <t>2019.05.17122</t>
  </si>
  <si>
    <t>IRIS-OPR03-I01</t>
  </si>
  <si>
    <t>2019.05.17161</t>
  </si>
  <si>
    <t>2019.09.27830</t>
  </si>
  <si>
    <t>2019.09.27860</t>
  </si>
  <si>
    <t>2019.05.17536</t>
  </si>
  <si>
    <t>IRIS-24-SCR07-I01</t>
  </si>
  <si>
    <t>2019.05.17539</t>
  </si>
  <si>
    <t>IRIS-24-SCR08-I01</t>
  </si>
  <si>
    <t>2019.05.17123</t>
  </si>
  <si>
    <t>IRIS-OPR04-I01</t>
  </si>
  <si>
    <t>2019.05.17162</t>
  </si>
  <si>
    <t>2019.09.27806</t>
  </si>
  <si>
    <t>2019.09.27848</t>
  </si>
  <si>
    <t>2019.05.17535</t>
  </si>
  <si>
    <t>IRIS-24-SCR09-I01</t>
  </si>
  <si>
    <t>2019.05.17534</t>
  </si>
  <si>
    <t>IRIS-24-SCR10-I01</t>
  </si>
  <si>
    <t>2019.05.17124</t>
  </si>
  <si>
    <t>IRIS-OPR05-I01</t>
  </si>
  <si>
    <t>2019.05.17163</t>
  </si>
  <si>
    <t>2019.09.27804</t>
  </si>
  <si>
    <t>2019.09.27849</t>
  </si>
  <si>
    <t>2019.05.17537</t>
  </si>
  <si>
    <t>IRIS-24-SCR11-I01</t>
  </si>
  <si>
    <t>2019.05.17540</t>
  </si>
  <si>
    <t>IRIS-24-SCR12-I01</t>
  </si>
  <si>
    <t>2019.05.17125</t>
  </si>
  <si>
    <t>IRIS-OPR06-I01</t>
  </si>
  <si>
    <t>2019.05.17164</t>
  </si>
  <si>
    <t>2019.09.27832</t>
  </si>
  <si>
    <t>2019.09.27851</t>
  </si>
  <si>
    <t>2019.05.17556</t>
  </si>
  <si>
    <t>IRIS-27-SCR01-I01</t>
  </si>
  <si>
    <t>2019.05.17560</t>
  </si>
  <si>
    <t>IRIS-27-SCR02-I01</t>
  </si>
  <si>
    <t>SPARE / IRIS - I01</t>
  </si>
  <si>
    <t>2019.05.17100</t>
  </si>
  <si>
    <t>IRIS-MM-SPARE-I01</t>
  </si>
  <si>
    <t>2019.05.17139</t>
  </si>
  <si>
    <t>2019.09.27831</t>
  </si>
  <si>
    <t>2019.09.27871</t>
  </si>
  <si>
    <t>2019.09.27870</t>
  </si>
  <si>
    <t>2019.05.17544</t>
  </si>
  <si>
    <t>IRIS-24-SPARE01-I01</t>
  </si>
  <si>
    <t>2019.05.17542</t>
  </si>
  <si>
    <t>IRIS-24-SPARE02-I01</t>
  </si>
  <si>
    <t>2019.05.17564</t>
  </si>
  <si>
    <t>IRIS-27-SPARE01-I01</t>
  </si>
  <si>
    <t>IRIS-8GB-SPARE-I01</t>
  </si>
  <si>
    <t>5C3905J06K</t>
  </si>
  <si>
    <t>IRIS-400GB-SPARE-I01</t>
  </si>
  <si>
    <t>S34CNX0K821452</t>
  </si>
  <si>
    <t>IRIS-512GB-SPARE-I01</t>
  </si>
  <si>
    <t>JEHGMSJN</t>
  </si>
  <si>
    <t>IRIS-10TB-SPARE01-I01</t>
  </si>
  <si>
    <t>JEHDZHHN</t>
  </si>
  <si>
    <t>IRIS-10TB-SPARE02-I01</t>
  </si>
  <si>
    <t>AVD2305D7EE</t>
  </si>
  <si>
    <t>IRIS-10GB-SR-SPARE01-I01</t>
  </si>
  <si>
    <t>AVD2305D7EG</t>
  </si>
  <si>
    <t>IRIS-10GB-SR-SPARE02-I01</t>
  </si>
  <si>
    <t>ACW23040YUT</t>
  </si>
  <si>
    <t>IRIS-1GB-SX-SPARE01-I01</t>
  </si>
  <si>
    <t>ACW23040Z2R</t>
  </si>
  <si>
    <t>IRIS-1GB-SX-SPARE02-I01</t>
  </si>
  <si>
    <t>SMTC22380BHC</t>
  </si>
  <si>
    <t>IRIS-1GB-T-SPARE-I01</t>
  </si>
  <si>
    <t>7CR83941ZR</t>
  </si>
  <si>
    <t>Csere</t>
  </si>
  <si>
    <t>7CR83941ZH</t>
  </si>
  <si>
    <t>7CR83941ZW</t>
  </si>
  <si>
    <t>Checked</t>
  </si>
  <si>
    <t>AVD2305D7F4</t>
  </si>
  <si>
    <t>AVD2305D7FA</t>
  </si>
  <si>
    <t>AVD2305D7FK</t>
  </si>
  <si>
    <t>AVD2305D7FB</t>
  </si>
  <si>
    <t>AVD2305D7FL</t>
  </si>
  <si>
    <t>AVD2305D7GL</t>
  </si>
  <si>
    <t>AVD2305D7GB</t>
  </si>
  <si>
    <t>AVD2305D7GG</t>
  </si>
  <si>
    <t>AVD2305D7GY</t>
  </si>
  <si>
    <t>AVD2305D7H3</t>
  </si>
  <si>
    <t>MTC22380BHC</t>
  </si>
  <si>
    <t>B118C300CD3</t>
  </si>
  <si>
    <t>B118C300CCX</t>
  </si>
  <si>
    <t>OK</t>
  </si>
  <si>
    <t>B118C300CCU</t>
  </si>
  <si>
    <t>B118C300CCI</t>
  </si>
  <si>
    <t>OPM22411UGL</t>
  </si>
  <si>
    <t>OPM22411UG9</t>
  </si>
  <si>
    <t>OPM22411UGJ</t>
  </si>
  <si>
    <t>OPM22411UGK</t>
  </si>
  <si>
    <t>OPM22411UGP</t>
  </si>
  <si>
    <t>OPM22390B7U</t>
  </si>
  <si>
    <t>OPM22390B9J</t>
  </si>
  <si>
    <t>OPM22390B9M</t>
  </si>
  <si>
    <t>OPM22411SU3</t>
  </si>
  <si>
    <t>OPM22411SU5</t>
  </si>
  <si>
    <t>OPM22411SU7</t>
  </si>
  <si>
    <t>OPM22411SU8</t>
  </si>
  <si>
    <t>OPM22411SUL</t>
  </si>
  <si>
    <t>OPM22390B7X</t>
  </si>
  <si>
    <t>OPM22390B8G</t>
  </si>
  <si>
    <t>OPM22390BG1</t>
  </si>
  <si>
    <t>MTC22380CB6</t>
  </si>
  <si>
    <t>MTC22380CB0</t>
  </si>
  <si>
    <t>MTC22380AY5</t>
  </si>
  <si>
    <t>MTC22380B9B</t>
  </si>
  <si>
    <t>MTC22380AWU</t>
  </si>
  <si>
    <t>MTC22380BHK</t>
  </si>
  <si>
    <t>MTC22380AXR</t>
  </si>
  <si>
    <t>MTC223808K0</t>
  </si>
  <si>
    <t>MTC22380CAN</t>
  </si>
  <si>
    <t>JR1004BNKKUKUM</t>
  </si>
  <si>
    <t>UGXVT01J7B4RF8</t>
  </si>
  <si>
    <t>JR1004BNKKX9YM</t>
  </si>
  <si>
    <t>UGXVT01J7B4R6Z</t>
  </si>
  <si>
    <t>UGXVT01J1B505U</t>
  </si>
  <si>
    <t>UGXVT01J7B4RPE</t>
  </si>
  <si>
    <t>UGXVT01J1B507L</t>
  </si>
  <si>
    <t>UGXVT01J7B1YMN</t>
  </si>
  <si>
    <t>UGXVT01J1B5056</t>
  </si>
  <si>
    <t>UGXVT01J1B507T</t>
  </si>
  <si>
    <t>JR1004BNKK9G9M</t>
  </si>
  <si>
    <t>UGXVT01J7B4RAQ</t>
  </si>
  <si>
    <t>UGXVT01J7B1U6X</t>
  </si>
  <si>
    <t>UGXVT01J7B4S7H</t>
  </si>
  <si>
    <t>UGXVT01J7B4SFG</t>
  </si>
  <si>
    <t>UGXVT01J1B5071</t>
  </si>
  <si>
    <t>UGXVT01J7B4S31</t>
  </si>
  <si>
    <t>UGXVT01J1B501X</t>
  </si>
  <si>
    <t>JR1004BNKKKNAM</t>
  </si>
  <si>
    <t>UGXVT01J7B4SIL</t>
  </si>
  <si>
    <t>2019.07.20283</t>
  </si>
  <si>
    <t>PSU2-A TEMPEST power supply</t>
  </si>
  <si>
    <t>Power supply</t>
  </si>
  <si>
    <t>MTC22380CBB</t>
  </si>
  <si>
    <t>2019.07.20276</t>
  </si>
  <si>
    <t>2019.07.20281</t>
  </si>
  <si>
    <t>wxq1ec82xk7v</t>
  </si>
  <si>
    <t>2019.07.20289</t>
  </si>
  <si>
    <t>2019.07.20286</t>
  </si>
  <si>
    <t>2019.07.20284</t>
  </si>
  <si>
    <t>2019.07.20282</t>
  </si>
  <si>
    <t>2019.07.20279</t>
  </si>
  <si>
    <t>2019.07.20278</t>
  </si>
  <si>
    <t>2019.07.20280</t>
  </si>
  <si>
    <t>IRIS-SPARE-A01</t>
  </si>
  <si>
    <t>2019.07.20277</t>
  </si>
  <si>
    <t>B118C300CCF</t>
  </si>
  <si>
    <t>B118C300CCA</t>
  </si>
  <si>
    <t>SOPM22411UG9</t>
  </si>
  <si>
    <t>SOPM22411UGJ</t>
  </si>
  <si>
    <t>SOPM22411UGK</t>
  </si>
  <si>
    <t>SOPM22411UGL</t>
  </si>
  <si>
    <t>SOPM22411UGP</t>
  </si>
  <si>
    <t>SOPM22390B7U</t>
  </si>
  <si>
    <t>SOPM22390B9J</t>
  </si>
  <si>
    <t>SOPM22390B9M</t>
  </si>
  <si>
    <t>SMTC22380CB0</t>
  </si>
  <si>
    <t>SMTC22380CB6</t>
  </si>
  <si>
    <t>SMTC22380AY5</t>
  </si>
  <si>
    <t>SMTC22380B9B</t>
  </si>
  <si>
    <t>SOPM22411SU3</t>
  </si>
  <si>
    <t>SOPM22411SU5</t>
  </si>
  <si>
    <t>SOPM22411SU7</t>
  </si>
  <si>
    <t>SOPM22411SU8</t>
  </si>
  <si>
    <t>SOPM22411SUL</t>
  </si>
  <si>
    <t>SOPM22390B7X</t>
  </si>
  <si>
    <t>SOPM22390B8G</t>
  </si>
  <si>
    <t>SOPM22390BG1</t>
  </si>
  <si>
    <t>SMTC22380AWU</t>
  </si>
  <si>
    <t>SMTC22380BHK</t>
  </si>
  <si>
    <t>SMTC22380AXR</t>
  </si>
  <si>
    <t>SMTC223808K0</t>
  </si>
  <si>
    <t>SMTC22380CAN</t>
  </si>
  <si>
    <t>UGXVT01J7B4S8O</t>
  </si>
  <si>
    <t>UGXVT01J7B4S63</t>
  </si>
  <si>
    <t>UGXVT01J1B506D</t>
  </si>
  <si>
    <t>UGXVT01J7B1YN5</t>
  </si>
  <si>
    <t>UGXVT01J7B4RF3</t>
  </si>
  <si>
    <t>UGXVT01J1B505C</t>
  </si>
  <si>
    <t>UGXVT01J1B500T</t>
  </si>
  <si>
    <t>UGXVT01J1B5067</t>
  </si>
  <si>
    <t>UGXVT01J1B507Q</t>
  </si>
  <si>
    <t>UGXVT01J7B3FGZ</t>
  </si>
  <si>
    <t>UGXVT01J1B508C</t>
  </si>
  <si>
    <t>UGXVT01J7B1YQU</t>
  </si>
  <si>
    <t>UGXVT01J1B5079</t>
  </si>
  <si>
    <t>UGXVT01J7B4RU0</t>
  </si>
  <si>
    <t>UGXVT01J7B1YPJ</t>
  </si>
  <si>
    <t>JR1004BNKMUY2M</t>
  </si>
  <si>
    <t>UGXVT01J7B1YPM</t>
  </si>
  <si>
    <t>JR1004BNKK9ESM</t>
  </si>
  <si>
    <t>UGXVT01J7B4RTG</t>
  </si>
  <si>
    <t>UGXVT01J7B4SBX</t>
  </si>
  <si>
    <t>B118C300CC3</t>
  </si>
  <si>
    <t>B118C300CCC</t>
  </si>
  <si>
    <t>JEHH68EN</t>
  </si>
  <si>
    <t>JEHEJ88N</t>
  </si>
  <si>
    <t>SMTC22380CBB</t>
  </si>
  <si>
    <t>UGXVT01J1B4R6Z</t>
  </si>
  <si>
    <t>UGXVT01J1B4RPE</t>
  </si>
  <si>
    <t>UGXVT01J1B1YMN</t>
  </si>
  <si>
    <t>Öbetü</t>
  </si>
  <si>
    <t xml:space="preserve">     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</si>
</sst>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  <xf numFmtId="0" fontId="0" fillId="4" borderId="0" xfId="0" applyFill="1" applyAlignment="1"/>
    <xf numFmtId="49" fontId="0" fillId="5" borderId="0" xfId="0" applyNumberFormat="1" applyFill="1" applyProtection="1">
      <protection locked="0"/>
    </xf>
    <xf numFmtId="49" fontId="0" fillId="5" borderId="0" xfId="0" applyNumberFormat="1" applyFill="1" applyAlignment="1"/>
    <xf numFmtId="49" fontId="0" fillId="4" borderId="0" xfId="0" applyNumberFormat="1" applyFill="1" applyAlignment="1"/>
    <xf numFmtId="49" fontId="0" fillId="0" borderId="0" xfId="0" applyNumberFormat="1" applyFill="1" applyAlignment="1"/>
    <xf numFmtId="49" fontId="0" fillId="0" borderId="0" xfId="0" applyNumberFormat="1" applyFill="1"/>
    <xf numFmtId="49" fontId="0" fillId="5" borderId="0" xfId="0" applyNumberFormat="1" applyFill="1"/>
    <xf numFmtId="0" fontId="0" fillId="6" borderId="0" xfId="0" applyFill="1"/>
    <xf numFmtId="49" fontId="0" fillId="0" borderId="0" xfId="0" applyNumberFormat="1" applyAlignment="1" applyProtection="1">
      <protection locked="0"/>
    </xf>
    <xf numFmtId="0" fontId="0" fillId="0" borderId="0" xfId="0" applyFill="1" applyAlignment="1"/>
    <xf numFmtId="49" fontId="0" fillId="0" borderId="0" xfId="0" applyNumberFormat="1" applyFill="1" applyProtection="1">
      <protection locked="0"/>
    </xf>
  </cellXfs>
  <cellStyles count="2">
    <cellStyle name="Normál" xfId="0" builtinId="0"/>
    <cellStyle name="Normal 4 3" xfId="1"/>
  </cellStyles>
  <dxfs count="8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66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2" name="Flag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9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más László9" refreshedDate="43866.555691550922" createdVersion="6" refreshedVersion="6" minRefreshableVersion="3" recordCount="2123">
  <cacheSource type="worksheet">
    <worksheetSource ref="A1:J1048576" sheet="Full Inventory"/>
  </cacheSource>
  <cacheFields count="10">
    <cacheField name="Package" numFmtId="0">
      <sharedItems containsBlank="1" count="9">
        <s v="IRIS-A01"/>
        <s v="IRIS-G01"/>
        <s v="IRIS-H01"/>
        <s v="IRIS-I01"/>
        <m/>
        <s v="IRIS-H02" u="1"/>
        <s v="IRIS-B01" u="1"/>
        <s v="IRIS-C01" u="1"/>
        <s v="IRIS-A02" u="1"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 count="13">
        <s v="HPE"/>
        <s v="CISCO"/>
        <s v="HEOL DESIGN"/>
        <s v="CARTON BOX / IRIS - A01"/>
        <s v="ACTIVIUM"/>
        <s v="EUROTEMPEST"/>
        <s v="_"/>
        <s v="DIMENSION DATA"/>
        <s v="SOCAMONT"/>
        <s v="WesternDigital"/>
        <m/>
        <s v="SPARE / IRIS - B01" u="1"/>
        <s v="SPARE / IRIS - C01" u="1"/>
      </sharedItems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Blank="1" containsMixedTypes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  <cacheField name="To be scanned" numFmtId="0">
      <sharedItems containsBlank="1" count="3"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amás László9" refreshedDate="43866.555691898146" createdVersion="6" refreshedVersion="6" minRefreshableVersion="3" recordCount="944">
  <cacheSource type="worksheet">
    <worksheetSource ref="A1:I1048576" sheet="Full Inventory"/>
  </cacheSource>
  <cacheFields count="9">
    <cacheField name="Package" numFmtId="0">
      <sharedItems containsBlank="1" count="9">
        <s v="IRIS-A01"/>
        <s v="IRIS-G01"/>
        <s v="IRIS-H01"/>
        <s v="IRIS-I01"/>
        <m/>
        <s v="IRIS-H02" u="1"/>
        <s v="IRIS-B01" u="1"/>
        <s v="IRIS-C01" u="1"/>
        <s v="IRIS-A02" u="1"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/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Blank="1" containsMixedTypes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23">
  <r>
    <x v="0"/>
    <s v="HPE DL360 Gen10 8SFF CTO Server"/>
    <s v="Server"/>
    <x v="0"/>
    <s v="867959-B21"/>
    <s v="CZJ91702JG"/>
    <n v="1"/>
    <s v="_"/>
    <s v="IRIS-SRV1-A01"/>
    <x v="0"/>
  </r>
  <r>
    <x v="0"/>
    <s v="HPE BLc 10G SFP+ SR Transceiver"/>
    <s v="SFP module"/>
    <x v="0"/>
    <s v="455883-B21"/>
    <s v="7CR839442G"/>
    <n v="1"/>
    <s v="_"/>
    <s v="_"/>
    <x v="0"/>
  </r>
  <r>
    <x v="0"/>
    <s v="HPE BLc 10G SFP+ SR Transceiver"/>
    <s v="SFP module"/>
    <x v="0"/>
    <s v="455883-B21"/>
    <s v="7CR83941ZH"/>
    <n v="1"/>
    <s v="_"/>
    <s v="_"/>
    <x v="0"/>
  </r>
  <r>
    <x v="0"/>
    <s v="HPE 16G SFP+ SW XCVR-C"/>
    <s v="SFP module"/>
    <x v="0"/>
    <s v="E7Y10-63001"/>
    <s v="MY8911123R"/>
    <n v="1"/>
    <s v="_"/>
    <s v="_"/>
    <x v="0"/>
  </r>
  <r>
    <x v="0"/>
    <s v="HPE 16G SFP+ SW XCVR-C"/>
    <s v="SFP module"/>
    <x v="0"/>
    <s v="E7Y10-63001"/>
    <s v="MY8911123X"/>
    <n v="1"/>
    <s v="_"/>
    <s v="_"/>
    <x v="0"/>
  </r>
  <r>
    <x v="0"/>
    <s v="HPE DL360 Gen10 8SFF CTO Server"/>
    <s v="Server"/>
    <x v="0"/>
    <s v="867959-B21"/>
    <s v="CZJ91702JH"/>
    <n v="1"/>
    <s v="_"/>
    <s v="IRIS-SRV2-A01"/>
    <x v="0"/>
  </r>
  <r>
    <x v="0"/>
    <s v="HPE BLc 10G SFP+ SR Transceiver"/>
    <s v="SFP module"/>
    <x v="0"/>
    <s v="455883-B21"/>
    <s v="7CR83941ZR"/>
    <n v="1"/>
    <s v="_"/>
    <s v="_"/>
    <x v="0"/>
  </r>
  <r>
    <x v="0"/>
    <s v="HPE BLc 10G SFP+ SR Transceiver"/>
    <s v="SFP module"/>
    <x v="0"/>
    <s v="455883-B21"/>
    <s v="7CR8394312"/>
    <n v="1"/>
    <s v="_"/>
    <s v="_"/>
    <x v="0"/>
  </r>
  <r>
    <x v="0"/>
    <s v="HPE 16G SFP+ SW XCVR-C"/>
    <s v="SFP module"/>
    <x v="0"/>
    <s v="E7Y10-63001"/>
    <s v="MY8911120N"/>
    <n v="1"/>
    <s v="_"/>
    <s v="_"/>
    <x v="0"/>
  </r>
  <r>
    <x v="0"/>
    <s v="HPE 16G SFP+ SW XCVR-C"/>
    <s v="SFP module"/>
    <x v="0"/>
    <s v="E7Y10-63001"/>
    <s v="MY8911123B"/>
    <n v="1"/>
    <s v="_"/>
    <s v="_"/>
    <x v="0"/>
  </r>
  <r>
    <x v="0"/>
    <s v="CATALYST 3850 24 PORT 10G FIBER SWITCH BASE"/>
    <s v="Switch"/>
    <x v="1"/>
    <s v="WS-C3850-24XS-S"/>
    <s v="FOC2307U0FG"/>
    <n v="1"/>
    <s v="_"/>
    <s v="IRIS-SW1-A01"/>
    <x v="0"/>
  </r>
  <r>
    <x v="0"/>
    <s v="10GBASE-SR SFP MODULE"/>
    <s v="SFP module"/>
    <x v="1"/>
    <s v="SFP-10G-SR-S"/>
    <s v="AVD2305D1NC"/>
    <n v="1"/>
    <s v="_"/>
    <s v="_"/>
    <x v="0"/>
  </r>
  <r>
    <x v="0"/>
    <s v="10GBASE-SR SFP MODULE"/>
    <s v="SFP module"/>
    <x v="1"/>
    <s v="SFP-10G-SR-S"/>
    <s v="AVD2305D7H5"/>
    <n v="1"/>
    <s v="_"/>
    <s v="_"/>
    <x v="0"/>
  </r>
  <r>
    <x v="0"/>
    <s v="10GBASE-SR SFP MODULE"/>
    <s v="SFP module"/>
    <x v="1"/>
    <s v="SFP-10G-SR-S"/>
    <s v="AVD2305D7GK"/>
    <n v="1"/>
    <s v="_"/>
    <s v="_"/>
    <x v="0"/>
  </r>
  <r>
    <x v="0"/>
    <s v="1000BASE-SX SFP TRANSCEIVER MODULE"/>
    <s v="SFP module"/>
    <x v="1"/>
    <s v="GLC-SX-MMD"/>
    <s v="ACW23040Z9S"/>
    <n v="1"/>
    <s v="_"/>
    <s v="_"/>
    <x v="0"/>
  </r>
  <r>
    <x v="0"/>
    <s v="1000BASE-SX SFP TRANSCEIVER MODULE"/>
    <s v="SFP module"/>
    <x v="1"/>
    <s v="GLC-SX-MMD"/>
    <s v="ACW23040ZDW"/>
    <n v="1"/>
    <s v="_"/>
    <s v="_"/>
    <x v="0"/>
  </r>
  <r>
    <x v="0"/>
    <s v="1000BASE-SX SFP TRANSCEIVER MODULE"/>
    <s v="SFP module"/>
    <x v="1"/>
    <s v="GLC-SX-MMD"/>
    <s v="ACW23040YW4"/>
    <n v="1"/>
    <s v="_"/>
    <s v="_"/>
    <x v="0"/>
  </r>
  <r>
    <x v="0"/>
    <s v="1000BASE-SX SFP TRANSCEIVER MODULE"/>
    <s v="SFP module"/>
    <x v="1"/>
    <s v="GLC-SX-MMD"/>
    <s v="ACW23031MX0"/>
    <n v="1"/>
    <s v="_"/>
    <s v="_"/>
    <x v="0"/>
  </r>
  <r>
    <x v="0"/>
    <s v="1000BASE-SX SFP TRANSCEIVER MODULE"/>
    <s v="SFP module"/>
    <x v="1"/>
    <s v="GLC-SX-MMD"/>
    <s v="ACW23031NRX"/>
    <n v="1"/>
    <s v="_"/>
    <s v="_"/>
    <x v="0"/>
  </r>
  <r>
    <x v="0"/>
    <s v="1000BASE-SX SFP TRANSCEIVER MODULE"/>
    <s v="SFP module"/>
    <x v="1"/>
    <s v="GLC-SX-MMD"/>
    <s v="ACW23040YW3"/>
    <n v="1"/>
    <s v="_"/>
    <s v="_"/>
    <x v="0"/>
  </r>
  <r>
    <x v="0"/>
    <s v="1000BASE-T SFP TRANSCEIVER MODULE FOR CATEGORY 5 COPPER WIRE"/>
    <s v="SFP module"/>
    <x v="1"/>
    <s v="GLC-TE"/>
    <s v="AVC230721F8"/>
    <n v="1"/>
    <s v="_"/>
    <s v="_"/>
    <x v="0"/>
  </r>
  <r>
    <x v="0"/>
    <s v="1000BASE-T SFP TRANSCEIVER MODULE FOR CATEGORY 5 COPPER WIRE"/>
    <s v="SFP module"/>
    <x v="1"/>
    <s v="GLC-TE"/>
    <s v="AVC230721FA"/>
    <n v="1"/>
    <s v="_"/>
    <s v="_"/>
    <x v="0"/>
  </r>
  <r>
    <x v="0"/>
    <s v="1000BASE-T SFP TRANSCEIVER MODULE FOR CATEGORY 5 COPPER WIRE"/>
    <s v="SFP module"/>
    <x v="1"/>
    <s v="GLC-TE"/>
    <s v="AVC230721FN"/>
    <n v="1"/>
    <s v="_"/>
    <s v="_"/>
    <x v="0"/>
  </r>
  <r>
    <x v="0"/>
    <s v="CATALYST 3850 24 PORT 10G FIBER SWITCH BASE"/>
    <s v="Switch"/>
    <x v="1"/>
    <s v="WS-C3850-24XS-S"/>
    <s v="FOC2309U027"/>
    <n v="1"/>
    <s v="_"/>
    <s v="IRIS-SW2-A01"/>
    <x v="0"/>
  </r>
  <r>
    <x v="0"/>
    <s v="10GBASE-SR SFP MODULE"/>
    <s v="SFP module"/>
    <x v="1"/>
    <s v="SFP-10G-SR-S"/>
    <s v="AVD2305D7G9"/>
    <n v="1"/>
    <s v="_"/>
    <s v="_"/>
    <x v="0"/>
  </r>
  <r>
    <x v="0"/>
    <s v="10GBASE-SR SFP MODULE"/>
    <s v="SFP module"/>
    <x v="1"/>
    <s v="SFP-10G-SR-S"/>
    <s v="AVD2305D7GE"/>
    <n v="1"/>
    <s v="_"/>
    <s v="_"/>
    <x v="0"/>
  </r>
  <r>
    <x v="0"/>
    <s v="10GBASE-SR SFP MODULE"/>
    <s v="SFP module"/>
    <x v="1"/>
    <s v="SFP-10G-SR-S"/>
    <s v="AVD2305D7GT"/>
    <n v="1"/>
    <s v="_"/>
    <s v="_"/>
    <x v="0"/>
  </r>
  <r>
    <x v="0"/>
    <s v="1000BASE-SX SFP TRANSCEIVER MODULE"/>
    <s v="SFP module"/>
    <x v="1"/>
    <s v="GLC-SX-MMD"/>
    <s v="ACW23040ZA3"/>
    <n v="1"/>
    <s v="_"/>
    <s v="_"/>
    <x v="0"/>
  </r>
  <r>
    <x v="0"/>
    <s v="1000BASE-SX SFP TRANSCEIVER MODULE"/>
    <s v="SFP module"/>
    <x v="1"/>
    <s v="GLC-SX-MMD"/>
    <s v="ACW23040YM0"/>
    <n v="1"/>
    <s v="_"/>
    <s v="_"/>
    <x v="0"/>
  </r>
  <r>
    <x v="0"/>
    <s v="1000BASE-SX SFP TRANSCEIVER MODULE"/>
    <s v="SFP module"/>
    <x v="1"/>
    <s v="GLC-SX-MMD"/>
    <s v="ACW23040YS0"/>
    <n v="1"/>
    <s v="_"/>
    <s v="_"/>
    <x v="0"/>
  </r>
  <r>
    <x v="0"/>
    <s v="1000BASE-SX SFP TRANSCEIVER MODULE"/>
    <s v="SFP module"/>
    <x v="1"/>
    <s v="GLC-SX-MMD"/>
    <s v="ACW23040ZAG"/>
    <n v="1"/>
    <s v="_"/>
    <s v="_"/>
    <x v="0"/>
  </r>
  <r>
    <x v="0"/>
    <s v="1000BASE-SX SFP TRANSCEIVER MODULE"/>
    <s v="SFP module"/>
    <x v="1"/>
    <s v="GLC-SX-MMD"/>
    <s v="ACW2304168L"/>
    <n v="1"/>
    <s v="_"/>
    <s v="_"/>
    <x v="0"/>
  </r>
  <r>
    <x v="0"/>
    <s v="1000BASE-T SFP TRANSCEIVER MODULE FOR CATEGORY 5 COPPER WIRE"/>
    <s v="SFP module"/>
    <x v="1"/>
    <s v="GLC-TE"/>
    <s v="AVC230721F9"/>
    <n v="1"/>
    <s v="_"/>
    <s v="_"/>
    <x v="0"/>
  </r>
  <r>
    <x v="0"/>
    <s v="1000BASE-T SFP TRANSCEIVER MODULE FOR CATEGORY 5 COPPER WIRE"/>
    <s v="SFP module"/>
    <x v="1"/>
    <s v="GLC-TE"/>
    <s v="AVC230721EX"/>
    <n v="1"/>
    <s v="_"/>
    <s v="_"/>
    <x v="0"/>
  </r>
  <r>
    <x v="0"/>
    <s v="1000BASE-T SFP TRANSCEIVER MODULE FOR CATEGORY 5 COPPER WIRE"/>
    <s v="SFP module"/>
    <x v="1"/>
    <s v="GLC-TE"/>
    <s v="AVC230721EU"/>
    <n v="1"/>
    <s v="_"/>
    <s v="_"/>
    <x v="0"/>
  </r>
  <r>
    <x v="0"/>
    <s v="HPE MSA 2050 SAN DC LFF Storage"/>
    <s v="MSA SAN"/>
    <x v="0"/>
    <s v="Q1J00A"/>
    <s v="2S6910B089"/>
    <n v="1"/>
    <s v="_"/>
    <s v="IRIS-MSA-A01"/>
    <x v="0"/>
  </r>
  <r>
    <x v="0"/>
    <s v="MSA 2050 SAN dual controller"/>
    <s v="MSA SAN"/>
    <x v="0"/>
    <s v="876127-001"/>
    <s v="7CE903M549"/>
    <n v="1"/>
    <s v="_"/>
    <s v="_"/>
    <x v="0"/>
  </r>
  <r>
    <x v="0"/>
    <s v="MSA 2050 SAN dual controller"/>
    <s v="MSA SAN"/>
    <x v="0"/>
    <s v="876127-001"/>
    <s v="7CE901M900"/>
    <n v="1"/>
    <s v="_"/>
    <s v="_"/>
    <x v="0"/>
  </r>
  <r>
    <x v="0"/>
    <s v="HPE MSA 10TB 12G SAS 7.2K LFF 512e HDD"/>
    <s v="Disk"/>
    <x v="0"/>
    <s v="P9M82A"/>
    <s v="THH917Z0DA"/>
    <n v="1"/>
    <s v="IRIS-MSA-A01-01"/>
    <s v="_"/>
    <x v="0"/>
  </r>
  <r>
    <x v="0"/>
    <s v="HPE MSA 10TB 12G SAS 7.2K LFF 512e HDD"/>
    <s v="Disk"/>
    <x v="0"/>
    <s v="P9M82A"/>
    <s v="THH917Z08V"/>
    <n v="1"/>
    <s v="IRIS-MSA-A01-02"/>
    <s v="_"/>
    <x v="0"/>
  </r>
  <r>
    <x v="0"/>
    <s v="HPE MSA 10TB 12G SAS 7.2K LFF 512e HDD"/>
    <s v="Disk"/>
    <x v="0"/>
    <s v="P9M82A"/>
    <s v="THH917Z093"/>
    <n v="1"/>
    <s v="IRIS-MSA-A01-03"/>
    <s v="_"/>
    <x v="0"/>
  </r>
  <r>
    <x v="0"/>
    <s v="HPE MSA 10TB 12G SAS 7.2K LFF 512e HDD"/>
    <s v="Disk"/>
    <x v="0"/>
    <s v="P9M82A"/>
    <s v="THH917Z0D9"/>
    <n v="1"/>
    <s v="IRIS-MSA-A01-04"/>
    <s v="_"/>
    <x v="0"/>
  </r>
  <r>
    <x v="0"/>
    <s v="HPE MSA 10TB 12G SAS 7.2K LFF 512e HDD"/>
    <s v="Disk"/>
    <x v="0"/>
    <s v="P9M82A"/>
    <s v="THH917Z0CT"/>
    <n v="1"/>
    <s v="IRIS-MSA-A01-05"/>
    <s v="_"/>
    <x v="0"/>
  </r>
  <r>
    <x v="0"/>
    <s v="HPE MSA 10TB 12G SAS 7.2K LFF 512e HDD"/>
    <s v="Disk"/>
    <x v="0"/>
    <s v="P9M82A"/>
    <s v="THH917Z08W"/>
    <n v="1"/>
    <s v="IRIS-MSA-A01-06"/>
    <s v="_"/>
    <x v="0"/>
  </r>
  <r>
    <x v="0"/>
    <s v="HPE MSA 10TB 12G SAS 7.2K LFF 512e HDD"/>
    <s v="Disk"/>
    <x v="0"/>
    <s v="P9M82A"/>
    <s v="THH917Z0D8"/>
    <n v="1"/>
    <s v="IRIS-MSA-A01-07"/>
    <s v="_"/>
    <x v="0"/>
  </r>
  <r>
    <x v="0"/>
    <s v="HPE MSA 10TB 12G SAS 7.2K LFF 512e HDD"/>
    <s v="Disk"/>
    <x v="0"/>
    <s v="P9M82A"/>
    <s v="THH917Z0DC"/>
    <n v="1"/>
    <s v="IRIS-MSA-A01-08"/>
    <s v="_"/>
    <x v="0"/>
  </r>
  <r>
    <x v="0"/>
    <s v="HPE MSA 10TB 12G SAS 7.2K LFF 512e HDD"/>
    <s v="Disk"/>
    <x v="0"/>
    <s v="P9M82A"/>
    <s v="THH917Z08E"/>
    <n v="1"/>
    <s v="IRIS-MSA-A01-09"/>
    <s v="_"/>
    <x v="0"/>
  </r>
  <r>
    <x v="0"/>
    <s v="HPE MSA 10TB 12G SAS 7.2K LFF 512e HDD"/>
    <s v="Disk"/>
    <x v="0"/>
    <s v="P9M82A"/>
    <s v="THH917Z0DB"/>
    <n v="1"/>
    <s v="IRIS-MSA-A01-10"/>
    <s v="_"/>
    <x v="0"/>
  </r>
  <r>
    <x v="0"/>
    <s v="HPE MSA 10TB 12G SAS 7.2K LFF 512e HDD"/>
    <s v="Disk"/>
    <x v="0"/>
    <s v="P9M82A"/>
    <s v="THH917Z098"/>
    <n v="1"/>
    <s v="IRIS-MSA-A01-11"/>
    <s v="_"/>
    <x v="0"/>
  </r>
  <r>
    <x v="0"/>
    <s v="HPE MSA 10TB 12G SAS 7.2K LFF 512e HDD"/>
    <s v="Disk"/>
    <x v="0"/>
    <s v="P9M82A"/>
    <s v="THH917Z09F"/>
    <n v="1"/>
    <s v="IRIS-MSA-A01-12"/>
    <s v="_"/>
    <x v="0"/>
  </r>
  <r>
    <x v="0"/>
    <s v="HPE MSA 16GB SW FC SFP"/>
    <s v="SFP module"/>
    <x v="0"/>
    <s v="720999-002"/>
    <s v="MY8905122U"/>
    <n v="1"/>
    <s v="_"/>
    <s v="_"/>
    <x v="0"/>
  </r>
  <r>
    <x v="0"/>
    <s v="HPE MSA 16GB SW FC SFP"/>
    <s v="SFP module"/>
    <x v="0"/>
    <s v="720999-002"/>
    <s v="MY8905123G"/>
    <n v="1"/>
    <s v="_"/>
    <s v="_"/>
    <x v="0"/>
  </r>
  <r>
    <x v="0"/>
    <s v="HPE MSA 16GB SW FC SFP"/>
    <s v="SFP module"/>
    <x v="0"/>
    <s v="720999-002"/>
    <s v="MY890511G5"/>
    <n v="1"/>
    <s v="_"/>
    <s v="_"/>
    <x v="0"/>
  </r>
  <r>
    <x v="0"/>
    <s v="HPE MSA 16GB SW FC SFP"/>
    <s v="SFP module"/>
    <x v="0"/>
    <s v="720999-002"/>
    <s v="MY890511G7"/>
    <n v="1"/>
    <s v="_"/>
    <s v="_"/>
    <x v="0"/>
  </r>
  <r>
    <x v="0"/>
    <s v="HPE MSA 16GB SW FC SFP"/>
    <s v="SFP module"/>
    <x v="0"/>
    <s v="720999-002"/>
    <s v="MY890511YF"/>
    <n v="1"/>
    <s v="_"/>
    <s v="_"/>
    <x v="0"/>
  </r>
  <r>
    <x v="0"/>
    <s v="HPE MSA 16GB SW FC SFP"/>
    <s v="SFP module"/>
    <x v="0"/>
    <s v="720999-002"/>
    <s v="MY89051235"/>
    <n v="1"/>
    <s v="_"/>
    <s v="_"/>
    <x v="0"/>
  </r>
  <r>
    <x v="0"/>
    <s v="HPE MSA 16GB SW FC SFP"/>
    <s v="SFP module"/>
    <x v="0"/>
    <s v="720999-002"/>
    <s v="MY890511F8"/>
    <n v="1"/>
    <s v="_"/>
    <s v="_"/>
    <x v="0"/>
  </r>
  <r>
    <x v="0"/>
    <s v="HPE MSA 16GB SW FC SFP"/>
    <s v="SFP module"/>
    <x v="0"/>
    <s v="720999-002"/>
    <s v="MY890511GE"/>
    <n v="1"/>
    <s v="_"/>
    <s v="_"/>
    <x v="0"/>
  </r>
  <r>
    <x v="0"/>
    <s v="HPE MSA 2050 LFF Disk Enclosure - EXTENSION 1"/>
    <s v="Disk Enclosure - EXTENSION 1"/>
    <x v="0"/>
    <s v="Q1J06A"/>
    <s v="2S6912D144"/>
    <n v="1"/>
    <s v="_"/>
    <s v="IRIS-DEN-A01-1"/>
    <x v="0"/>
  </r>
  <r>
    <x v="0"/>
    <s v="HPE SPS-6GB MSA IO MODULE"/>
    <s v="Disk Enclosure"/>
    <x v="0"/>
    <s v="876146-001"/>
    <s v="7CE909G709"/>
    <n v="1"/>
    <s v="_"/>
    <s v="_"/>
    <x v="0"/>
  </r>
  <r>
    <x v="0"/>
    <s v="HPE SPS-6GB MSA IO MODULE"/>
    <s v="Disk Enclosure"/>
    <x v="0"/>
    <s v="876146-001"/>
    <s v="7CE909G912"/>
    <n v="1"/>
    <s v="_"/>
    <s v="_"/>
    <x v="0"/>
  </r>
  <r>
    <x v="0"/>
    <s v="HPE MSA 10TB 12G SAS 7.2K LFF 512e HDD"/>
    <s v="Disk"/>
    <x v="0"/>
    <s v="P9M82A"/>
    <s v="THH923Z06Z"/>
    <n v="1"/>
    <s v="IRIS-DEN-A01-1-01"/>
    <s v="_"/>
    <x v="0"/>
  </r>
  <r>
    <x v="0"/>
    <s v="HPE MSA 10TB 12G SAS 7.2K LFF 512e HDD"/>
    <s v="Disk"/>
    <x v="0"/>
    <s v="P9M82A"/>
    <s v="THH923Z094"/>
    <n v="1"/>
    <s v="IRIS-DEN-A01-1-02"/>
    <s v="_"/>
    <x v="0"/>
  </r>
  <r>
    <x v="0"/>
    <s v="HPE MSA 10TB 12G SAS 7.2K LFF 512e HDD"/>
    <s v="Disk"/>
    <x v="0"/>
    <s v="P9M82A"/>
    <s v="THH923Z05L"/>
    <n v="1"/>
    <s v="IRIS-DEN-A01-1-03"/>
    <s v="_"/>
    <x v="0"/>
  </r>
  <r>
    <x v="0"/>
    <s v="HPE MSA 10TB 12G SAS 7.2K LFF 512e HDD"/>
    <s v="Disk"/>
    <x v="0"/>
    <s v="P9M82A"/>
    <s v="THH923Z070"/>
    <n v="1"/>
    <s v="IRIS-DEN-A01-1-04"/>
    <s v="_"/>
    <x v="0"/>
  </r>
  <r>
    <x v="0"/>
    <s v="HPE MSA 10TB 12G SAS 7.2K LFF 512e HDD"/>
    <s v="Disk"/>
    <x v="0"/>
    <s v="P9M82A"/>
    <s v="THH923Z093"/>
    <n v="1"/>
    <s v="IRIS-DEN-A01-1-05"/>
    <s v="_"/>
    <x v="0"/>
  </r>
  <r>
    <x v="0"/>
    <s v="HPE MSA 10TB 12G SAS 7.2K LFF 512e HDD"/>
    <s v="Disk"/>
    <x v="0"/>
    <s v="P9M82A"/>
    <s v="THH923Z05J"/>
    <n v="1"/>
    <s v="IRIS-DEN-A01-1-06"/>
    <s v="_"/>
    <x v="0"/>
  </r>
  <r>
    <x v="0"/>
    <s v="HPE MSA 10TB 12G SAS 7.2K LFF 512e HDD"/>
    <s v="Disk"/>
    <x v="0"/>
    <s v="P9M82A"/>
    <s v="THH923Z071"/>
    <n v="1"/>
    <s v="IRIS-DEN-A01-1-07"/>
    <s v="_"/>
    <x v="0"/>
  </r>
  <r>
    <x v="0"/>
    <s v="HPE MSA 10TB 12G SAS 7.2K LFF 512e HDD"/>
    <s v="Disk"/>
    <x v="0"/>
    <s v="P9M82A"/>
    <s v="THH923Z092"/>
    <n v="1"/>
    <s v="IRIS-DEN-A01-1-08"/>
    <s v="_"/>
    <x v="0"/>
  </r>
  <r>
    <x v="0"/>
    <s v="HPE MSA 10TB 12G SAS 7.2K LFF 512e HDD"/>
    <s v="Disk"/>
    <x v="0"/>
    <s v="P9M82A"/>
    <s v="THH923Z05G"/>
    <n v="1"/>
    <s v="IRIS-DEN-A01-1-09"/>
    <s v="_"/>
    <x v="0"/>
  </r>
  <r>
    <x v="0"/>
    <s v="HPE MSA 10TB 12G SAS 7.2K LFF 512e HDD"/>
    <s v="Disk"/>
    <x v="0"/>
    <s v="P9M82A"/>
    <s v="THH923Z072"/>
    <n v="1"/>
    <s v="IRIS-DEN-A01-1-10"/>
    <s v="_"/>
    <x v="0"/>
  </r>
  <r>
    <x v="0"/>
    <s v="HPE MSA 10TB 12G SAS 7.2K LFF 512e HDD"/>
    <s v="Disk"/>
    <x v="0"/>
    <s v="P9M82A"/>
    <s v="THH923Z091"/>
    <n v="1"/>
    <s v="IRIS-DEN-A01-1-11"/>
    <s v="_"/>
    <x v="0"/>
  </r>
  <r>
    <x v="0"/>
    <s v="HPE MSA 10TB 12G SAS 7.2K LFF 512e HDD"/>
    <s v="Disk"/>
    <x v="0"/>
    <s v="P9M82A"/>
    <s v="THH923Z05H"/>
    <n v="1"/>
    <s v="IRIS-DEN-A01-1-12"/>
    <s v="_"/>
    <x v="0"/>
  </r>
  <r>
    <x v="0"/>
    <s v="HPE MSA 2050 LFF Disk Enclosure - EXTENSION 2"/>
    <s v="Disk Enclosure - EXTENSION 2"/>
    <x v="0"/>
    <s v="Q1J06A"/>
    <s v="2S6912D142"/>
    <n v="1"/>
    <s v="_"/>
    <s v="IRIS-DEN-A01-2"/>
    <x v="0"/>
  </r>
  <r>
    <x v="0"/>
    <s v="HPE SPS-6GB MSA IO MODULE"/>
    <s v="Disk Enclosure"/>
    <x v="0"/>
    <s v="876146-001"/>
    <s v="7CE909G710"/>
    <n v="1"/>
    <s v="_"/>
    <s v="_"/>
    <x v="0"/>
  </r>
  <r>
    <x v="0"/>
    <s v="HPE SPS-6GB MSA IO MODULE"/>
    <s v="Disk Enclosure"/>
    <x v="0"/>
    <s v="876146-001"/>
    <s v="7CE909G719"/>
    <n v="1"/>
    <s v="_"/>
    <s v="_"/>
    <x v="0"/>
  </r>
  <r>
    <x v="0"/>
    <s v="HPE MSA 10TB 12G SAS 7.2K LFF 512e HDD"/>
    <s v="Disk"/>
    <x v="0"/>
    <s v="P9M82A"/>
    <s v="THH923Z06L"/>
    <n v="1"/>
    <s v="IRIS-DEN-A01-2-01"/>
    <s v="_"/>
    <x v="0"/>
  </r>
  <r>
    <x v="0"/>
    <s v="HPE MSA 10TB 12G SAS 7.2K LFF 512e HDD"/>
    <s v="Disk"/>
    <x v="0"/>
    <s v="P9M82A"/>
    <s v="THH923Z068"/>
    <n v="1"/>
    <s v="IRIS-DEN-A01-2-02"/>
    <s v="_"/>
    <x v="0"/>
  </r>
  <r>
    <x v="0"/>
    <s v="HPE MSA 10TB 12G SAS 7.2K LFF 512e HDD"/>
    <s v="Disk"/>
    <x v="0"/>
    <s v="P9M82A"/>
    <s v="THH923Z06W"/>
    <n v="1"/>
    <s v="IRIS-DEN-A01-2-03"/>
    <s v="_"/>
    <x v="0"/>
  </r>
  <r>
    <x v="0"/>
    <s v="HPE MSA 10TB 12G SAS 7.2K LFF 512e HDD"/>
    <s v="Disk"/>
    <x v="0"/>
    <s v="P9M82A"/>
    <s v="THH923Z06M"/>
    <n v="1"/>
    <s v="IRIS-DEN-A01-2-04"/>
    <s v="_"/>
    <x v="0"/>
  </r>
  <r>
    <x v="0"/>
    <s v="HPE MSA 10TB 12G SAS 7.2K LFF 512e HDD"/>
    <s v="Disk"/>
    <x v="0"/>
    <s v="P9M82A"/>
    <s v="THH923Z06T"/>
    <n v="1"/>
    <s v="IRIS-DEN-A01-2-05"/>
    <s v="_"/>
    <x v="0"/>
  </r>
  <r>
    <x v="0"/>
    <s v="HPE MSA 10TB 12G SAS 7.2K LFF 512e HDD"/>
    <s v="Disk"/>
    <x v="0"/>
    <s v="P9M82A"/>
    <s v="THH923Z06X"/>
    <n v="1"/>
    <s v="IRIS-DEN-A01-2-06"/>
    <s v="_"/>
    <x v="0"/>
  </r>
  <r>
    <x v="0"/>
    <s v="HPE MSA 10TB 12G SAS 7.2K LFF 512e HDD"/>
    <s v="Disk"/>
    <x v="0"/>
    <s v="P9M82A"/>
    <s v="THH923Z06N"/>
    <n v="1"/>
    <s v="IRIS-DEN-A01-2-07"/>
    <s v="_"/>
    <x v="0"/>
  </r>
  <r>
    <x v="0"/>
    <s v="HPE MSA 10TB 12G SAS 7.2K LFF 512e HDD"/>
    <s v="Disk"/>
    <x v="0"/>
    <s v="P9M82A"/>
    <s v="THH923Z06S"/>
    <n v="1"/>
    <s v="IRIS-DEN-A01-2-08"/>
    <s v="_"/>
    <x v="0"/>
  </r>
  <r>
    <x v="0"/>
    <s v="HPE MSA 10TB 12G SAS 7.2K LFF 512e HDD"/>
    <s v="Disk"/>
    <x v="0"/>
    <s v="P9M82A"/>
    <s v="THH923Z06Y"/>
    <n v="1"/>
    <s v="IRIS-DEN-A01-2-09"/>
    <s v="_"/>
    <x v="0"/>
  </r>
  <r>
    <x v="0"/>
    <s v="HPE MSA 10TB 12G SAS 7.2K LFF 512e HDD"/>
    <s v="Disk"/>
    <x v="0"/>
    <s v="P9M82A"/>
    <s v="THH923Z06P"/>
    <n v="1"/>
    <s v="IRIS-DEN-A01-2-10"/>
    <s v="_"/>
    <x v="0"/>
  </r>
  <r>
    <x v="0"/>
    <s v="HPE MSA 10TB 12G SAS 7.2K LFF 512e HDD"/>
    <s v="Disk"/>
    <x v="0"/>
    <s v="P9M82A"/>
    <s v="THH923Z06R"/>
    <n v="1"/>
    <s v="IRIS-DEN-A01-2-11"/>
    <s v="_"/>
    <x v="0"/>
  </r>
  <r>
    <x v="0"/>
    <s v="HPE MSA 10TB 12G SAS 7.2K LFF 512e HDD"/>
    <s v="Disk"/>
    <x v="0"/>
    <s v="P9M82A"/>
    <s v="THH923Z06V"/>
    <n v="1"/>
    <s v="IRIS-DEN-A01-2-12"/>
    <s v="_"/>
    <x v="0"/>
  </r>
  <r>
    <x v="0"/>
    <s v="NTP TIME SERVER WITH OCXO"/>
    <s v="NTP Server"/>
    <x v="2"/>
    <s v="T101R-10us-AC-I/O-OCXOMR"/>
    <s v="0814298"/>
    <n v="1"/>
    <s v="_"/>
    <s v="IRIS-NTP-A01"/>
    <x v="0"/>
  </r>
  <r>
    <x v="0"/>
    <s v="HPE R5000 3U IECSO9-32A HV INTL UPS"/>
    <s v="UPS"/>
    <x v="0"/>
    <s v="AF461A"/>
    <s v="3C88140789"/>
    <n v="1"/>
    <s v="_"/>
    <s v="IRIS-UPS-A01"/>
    <x v="0"/>
  </r>
  <r>
    <x v="0"/>
    <s v="CARTON BOX / IRIS - A01"/>
    <s v="CARTON BOX / IRIS - A01"/>
    <x v="3"/>
    <s v="CARTON BOX / IRIS - A01"/>
    <s v="CARTON BOX / IRIS - A01"/>
    <s v="CARTON BOX / IRIS - A01"/>
    <s v="CARTON BOX / IRIS - A01"/>
    <s v="CARTON BOX / IRIS - A01"/>
    <x v="1"/>
  </r>
  <r>
    <x v="0"/>
    <s v="Delivery External Usb Hard Disk - WD Elements Portable SE 1TB USB 3.0 2.5In"/>
    <s v="Disk WDE - Delivery"/>
    <x v="4"/>
    <s v="WDBUZG0010BBK-0B"/>
    <s v="WXS1A480PJ4V"/>
    <n v="1"/>
    <s v="_"/>
    <s v="_"/>
    <x v="0"/>
  </r>
  <r>
    <x v="0"/>
    <s v="VM Initial Backup - WD Elements Portable SE 2TB USB 3.0 2.5In"/>
    <s v="Disk WDE - VM Iinitial BKP"/>
    <x v="4"/>
    <s v="WDBU6Y0020BBK-0B"/>
    <s v="WXQ1EC82XK7V"/>
    <n v="1"/>
    <s v="_"/>
    <s v="_"/>
    <x v="0"/>
  </r>
  <r>
    <x v="0"/>
    <s v="Deployment Workstation - DataTraveler 100 G3 - 32 Go"/>
    <s v="DT100G3/32GB"/>
    <x v="4"/>
    <s v="DT100G3/32GB"/>
    <s v="N/A"/>
    <n v="1"/>
    <s v="_"/>
    <s v="_"/>
    <x v="0"/>
  </r>
  <r>
    <x v="0"/>
    <s v="Deployment Workstation - DataTraveler 100 G3 - 32 Go"/>
    <s v="DT100G3/32GB"/>
    <x v="4"/>
    <s v="DT100G3/32GB"/>
    <s v="N/A"/>
    <n v="1"/>
    <s v="_"/>
    <s v="_"/>
    <x v="0"/>
  </r>
  <r>
    <x v="0"/>
    <s v="HP ZBOOK 17 G4"/>
    <s v="Laptop"/>
    <x v="5"/>
    <s v="Y3J81AV"/>
    <s v="2019.07.20261"/>
    <n v="1"/>
    <s v="ADM A01 Workstation"/>
    <s v="IRIS-OPR01-A01"/>
    <x v="0"/>
  </r>
  <r>
    <x v="0"/>
    <s v="HP 512GB 2280 M2 PCIe 3x4 DS NVME EU"/>
    <s v="HP 512GB M2"/>
    <x v="4"/>
    <s v="861960-003"/>
    <s v=""/>
    <n v="1"/>
    <s v="IRIS-OPR01-A01"/>
    <s v="_"/>
    <x v="1"/>
  </r>
  <r>
    <x v="0"/>
    <s v="HP USB Business Slim Keyboard - Hungarian"/>
    <s v="Keyboard"/>
    <x v="5"/>
    <s v="803181-211"/>
    <s v="2019.07.20239"/>
    <n v="1"/>
    <s v="IRIS-OPR01-A01"/>
    <s v="_"/>
    <x v="0"/>
  </r>
  <r>
    <x v="0"/>
    <s v="HP USB Optical Mouse"/>
    <s v="Mouse"/>
    <x v="5"/>
    <s v="678652-001"/>
    <s v="N/A"/>
    <n v="1"/>
    <s v="IRIS-OPR01-A01"/>
    <s v="_"/>
    <x v="0"/>
  </r>
  <r>
    <x v="0"/>
    <s v="USB 3.0 to Gigabit Ethernet Fiber Optic Network Adapter - 1000Base-SX SC"/>
    <s v="USB-Fiber"/>
    <x v="5"/>
    <s v="US1GA30SXSC"/>
    <s v="2019.06.18230"/>
    <n v="1"/>
    <s v="IRIS-OPR01-A01"/>
    <s v="_"/>
    <x v="0"/>
  </r>
  <r>
    <x v="0"/>
    <s v="Thunderbolts 3 to dual DisplayPort Adapter"/>
    <s v="Thunderbolt"/>
    <x v="5"/>
    <s v="TB32DP2T"/>
    <s v="2019.06.18266"/>
    <n v="1"/>
    <s v="IRIS-OPR01-A01"/>
    <s v="_"/>
    <x v="0"/>
  </r>
  <r>
    <x v="0"/>
    <s v="HP EliteDisplay E243i"/>
    <s v="Screen"/>
    <x v="5"/>
    <s v="1FH49AT"/>
    <s v="2019.05.17313"/>
    <n v="1"/>
    <s v="IRIS-OPR01-A01"/>
    <s v="IRIS-24-SCR01-A01"/>
    <x v="0"/>
  </r>
  <r>
    <x v="0"/>
    <s v="HP EliteDisplay E243i"/>
    <s v="Screen"/>
    <x v="5"/>
    <s v="1FH49AT"/>
    <s v="2019.05.17314"/>
    <n v="1"/>
    <s v="IRIS-OPR01-A01"/>
    <s v="IRIS-24-SCR02-A01"/>
    <x v="0"/>
  </r>
  <r>
    <x v="0"/>
    <s v="CASE 1 / IRIS - A01"/>
    <s v="CASE 1"/>
    <x v="6"/>
    <s v="_"/>
    <s v="_"/>
    <n v="1"/>
    <s v="CASE 1 / IRIS - A01"/>
    <s v="_"/>
    <x v="1"/>
  </r>
  <r>
    <x v="0"/>
    <s v="HP ZBOOK 17 G4"/>
    <s v="Laptop"/>
    <x v="5"/>
    <s v="Y3J81AV"/>
    <s v="2019.07.20259"/>
    <n v="1"/>
    <s v="Incluses I4DEXPLORER"/>
    <s v="IRIS-OPR02-A01"/>
    <x v="0"/>
  </r>
  <r>
    <x v="0"/>
    <s v="HP 512GB 2280 M2 PCIe 3x4 DS NVME EU"/>
    <s v="HP 512GB M2"/>
    <x v="4"/>
    <s v="861960-003"/>
    <s v=""/>
    <n v="1"/>
    <s v="IRIS-OPR02-A01"/>
    <s v="_"/>
    <x v="1"/>
  </r>
  <r>
    <x v="0"/>
    <s v="HP USB Business Slim Keyboard - Hungarian"/>
    <s v="Keyboard"/>
    <x v="5"/>
    <s v="803181-211"/>
    <s v="2019.07.20237"/>
    <n v="1"/>
    <s v="IRIS-OPR02-A01"/>
    <s v="_"/>
    <x v="0"/>
  </r>
  <r>
    <x v="0"/>
    <s v="HP USB Optical Mouse"/>
    <s v="Mouse"/>
    <x v="5"/>
    <s v="678652-001"/>
    <s v="N/A"/>
    <n v="1"/>
    <s v="IRIS-OPR02-A01"/>
    <s v="_"/>
    <x v="0"/>
  </r>
  <r>
    <x v="0"/>
    <s v="USB 3.0 to Gigabit Ethernet Fiber Optic Network Adapter - 1000Base-SX SC"/>
    <s v="USB-Fiber"/>
    <x v="5"/>
    <s v="US1GA30SXSC"/>
    <s v="2019.06.18243"/>
    <n v="1"/>
    <s v="IRIS-OPR02-A01"/>
    <s v="_"/>
    <x v="0"/>
  </r>
  <r>
    <x v="0"/>
    <s v="Thunderbolts 3 to dual DisplayPort Adapter"/>
    <s v="Thunderbolt"/>
    <x v="5"/>
    <s v="TB32DP2T"/>
    <s v="2019.06.18252"/>
    <n v="1"/>
    <s v="IRIS-OPR02-A01"/>
    <s v="_"/>
    <x v="0"/>
  </r>
  <r>
    <x v="0"/>
    <s v="HP EliteDisplay E243i"/>
    <s v="Screen"/>
    <x v="5"/>
    <s v="1FH49AT"/>
    <s v="2019.05.17317"/>
    <n v="1"/>
    <s v="IRIS-OPR02-A01"/>
    <s v="IRIS-24-SCR03-A01"/>
    <x v="0"/>
  </r>
  <r>
    <x v="0"/>
    <s v="HP EliteDisplay E243i"/>
    <s v="Screen"/>
    <x v="5"/>
    <s v="1FH49AT"/>
    <s v="2019.05.17318"/>
    <n v="1"/>
    <s v="IRIS-OPR02-A01"/>
    <s v="IRIS-24-SCR04-A01"/>
    <x v="0"/>
  </r>
  <r>
    <x v="0"/>
    <s v="HP ZBOOK 17 G4"/>
    <s v="Laptop"/>
    <x v="5"/>
    <s v="Y3J81AV"/>
    <s v="2019.07.20254"/>
    <n v="1"/>
    <s v="Incluses I4DEXPLORER"/>
    <s v="IRIS-OPR03-A01"/>
    <x v="0"/>
  </r>
  <r>
    <x v="0"/>
    <s v="HP 512GB 2280 M2 PCIe 3x4 DS NVME EU"/>
    <s v="HP 512GB M2"/>
    <x v="4"/>
    <s v="861960-003"/>
    <s v=""/>
    <n v="1"/>
    <s v="IRIS-OPR03-A01"/>
    <s v="_"/>
    <x v="1"/>
  </r>
  <r>
    <x v="0"/>
    <s v="HP USB Business Slim Keyboard - Hungarian"/>
    <s v="Keyboard"/>
    <x v="5"/>
    <s v="803181-211"/>
    <s v="2019.07.20232"/>
    <n v="1"/>
    <s v="IRIS-OPR03-A01"/>
    <s v="_"/>
    <x v="0"/>
  </r>
  <r>
    <x v="0"/>
    <s v="HP USB Optical Mouse"/>
    <s v="Mouse"/>
    <x v="5"/>
    <s v="678652-001"/>
    <s v="N/A"/>
    <n v="1"/>
    <s v="IRIS-OPR03-A01"/>
    <s v="_"/>
    <x v="0"/>
  </r>
  <r>
    <x v="0"/>
    <s v="USB 3.0 to Gigabit Ethernet Fiber Optic Network Adapter - 1000Base-SX SC"/>
    <s v="USB-Fiber"/>
    <x v="5"/>
    <s v="US1GA30SXSC"/>
    <s v="2019.06.18227"/>
    <n v="1"/>
    <s v="IRIS-OPR03-A01"/>
    <s v="_"/>
    <x v="0"/>
  </r>
  <r>
    <x v="0"/>
    <s v="Thunderbolts 3 to dual DisplayPort Adapter"/>
    <s v="Thunderbolt"/>
    <x v="5"/>
    <s v="TB32DP2T"/>
    <s v="2019.06.18253"/>
    <n v="1"/>
    <s v="IRIS-OPR03-A01"/>
    <s v="_"/>
    <x v="0"/>
  </r>
  <r>
    <x v="0"/>
    <s v="HP EliteDisplay E243i"/>
    <s v="Screen"/>
    <x v="5"/>
    <s v="1FH49AT"/>
    <s v="2019.05.17319"/>
    <n v="1"/>
    <s v="IRIS-OPR03-A01"/>
    <s v="IRIS-24-SCR05-A01"/>
    <x v="0"/>
  </r>
  <r>
    <x v="0"/>
    <s v="HP EliteDisplay E243i"/>
    <s v="Screen"/>
    <x v="5"/>
    <s v="1FH49AT"/>
    <s v="2019.05.17320"/>
    <n v="1"/>
    <s v="IRIS-OPR03-A01"/>
    <s v="IRIS-24-SCR06-A01"/>
    <x v="0"/>
  </r>
  <r>
    <x v="0"/>
    <s v="CASE 2 / IRIS - A01"/>
    <s v="CASE 2"/>
    <x v="6"/>
    <s v="_"/>
    <s v="_"/>
    <n v="1"/>
    <s v="CASE 2 / IRIS - A01"/>
    <s v="_"/>
    <x v="1"/>
  </r>
  <r>
    <x v="0"/>
    <s v="HP ZBOOK 17 G4"/>
    <s v="Laptop"/>
    <x v="5"/>
    <s v="Y3J81AV"/>
    <s v="2019.07.20267"/>
    <n v="1"/>
    <s v="Incluses I4DEXPLORER"/>
    <s v="IRIS-OPR04-A01"/>
    <x v="0"/>
  </r>
  <r>
    <x v="0"/>
    <s v="HP 512GB 2280 M2 PCIe 3x4 DS NVME EU"/>
    <s v="HP 512GB M2"/>
    <x v="4"/>
    <s v="861960-003"/>
    <s v=""/>
    <n v="1"/>
    <s v="IRIS-OPR04-A01"/>
    <s v="_"/>
    <x v="1"/>
  </r>
  <r>
    <x v="0"/>
    <s v="HP USB Business Slim Keyboard - Hungarian"/>
    <s v="Keyboard"/>
    <x v="5"/>
    <s v="803181-211"/>
    <s v="2019.07.20245"/>
    <n v="1"/>
    <s v="IRIS-OPR04-A01"/>
    <s v="_"/>
    <x v="0"/>
  </r>
  <r>
    <x v="0"/>
    <s v="HP USB Optical Mouse"/>
    <s v="Mouse"/>
    <x v="5"/>
    <s v="678652-001"/>
    <s v="N/A"/>
    <n v="1"/>
    <s v="IRIS-OPR04-A01"/>
    <s v="_"/>
    <x v="0"/>
  </r>
  <r>
    <x v="0"/>
    <s v="USB 3.0 to Gigabit Ethernet Fiber Optic Network Adapter - 1000Base-SX SC"/>
    <s v="USB-Fiber"/>
    <x v="5"/>
    <s v="US1GA30SXSC"/>
    <s v="2019.06.18242"/>
    <n v="1"/>
    <s v="IRIS-OPR04-A01"/>
    <s v="_"/>
    <x v="0"/>
  </r>
  <r>
    <x v="0"/>
    <s v="Thunderbolts 3 to dual DisplayPort Adapter"/>
    <s v="Thunderbolt"/>
    <x v="5"/>
    <s v="TB32DP2T"/>
    <s v="2019.06.18246"/>
    <n v="1"/>
    <s v="IRIS-OPR04-A01"/>
    <s v="_"/>
    <x v="0"/>
  </r>
  <r>
    <x v="0"/>
    <s v="HP EliteDisplay E243i"/>
    <s v="Screen"/>
    <x v="5"/>
    <s v="1FH49AT"/>
    <s v="2019.05.17321"/>
    <n v="1"/>
    <s v="IRIS-OPR04-A01"/>
    <s v="IRIS-24-SCR07-A01"/>
    <x v="0"/>
  </r>
  <r>
    <x v="0"/>
    <s v="HP EliteDisplay E243i"/>
    <s v="Screen"/>
    <x v="5"/>
    <s v="1FH49AT"/>
    <s v="2019.05.17322"/>
    <n v="1"/>
    <s v="IRIS-OPR04-A01"/>
    <s v="IRIS-24-SCR08-A01"/>
    <x v="0"/>
  </r>
  <r>
    <x v="0"/>
    <s v="HP ZBOOK 17 G4"/>
    <s v="Laptop"/>
    <x v="5"/>
    <s v="Y3J81AV"/>
    <s v="2019.07.20264"/>
    <n v="1"/>
    <s v="Incluses I4DEXPLORER"/>
    <s v="IRIS-OPR05-A01"/>
    <x v="0"/>
  </r>
  <r>
    <x v="0"/>
    <s v="HP 512GB 2280 M2 PCIe 3x4 DS NVME EU"/>
    <s v="HP 512GB M2"/>
    <x v="4"/>
    <s v="861960-003"/>
    <s v=""/>
    <n v="1"/>
    <s v="IRIS-OPR05-A01"/>
    <s v="_"/>
    <x v="1"/>
  </r>
  <r>
    <x v="0"/>
    <s v="HP USB Business Slim Keyboard - Hungarian"/>
    <s v="Keyboard"/>
    <x v="5"/>
    <s v="803181-211"/>
    <s v="2019.07.20242"/>
    <n v="1"/>
    <s v="IRIS-OPR05-A01"/>
    <s v="_"/>
    <x v="0"/>
  </r>
  <r>
    <x v="0"/>
    <s v="HP USB Optical Mouse"/>
    <s v="Mouse"/>
    <x v="5"/>
    <s v="678652-001"/>
    <s v="N/A"/>
    <n v="1"/>
    <s v="IRIS-OPR05-A01"/>
    <s v="_"/>
    <x v="0"/>
  </r>
  <r>
    <x v="0"/>
    <s v="USB 3.0 to Gigabit Ethernet Fiber Optic Network Adapter - 1000Base-SX SC"/>
    <s v="USB-Fiber"/>
    <x v="5"/>
    <s v="US1GA30SXSC"/>
    <s v="2019.06.18237"/>
    <n v="1"/>
    <s v="IRIS-OPR05-A01"/>
    <s v="_"/>
    <x v="0"/>
  </r>
  <r>
    <x v="0"/>
    <s v="Thunderbolts 3 to dual DisplayPort Adapter"/>
    <s v="Thunderbolt"/>
    <x v="5"/>
    <s v="TB32DP2T"/>
    <s v="2019.06.18263"/>
    <n v="1"/>
    <s v="IRIS-OPR05-A01"/>
    <s v="_"/>
    <x v="0"/>
  </r>
  <r>
    <x v="0"/>
    <s v="HP EliteDisplay E243i"/>
    <s v="Screen"/>
    <x v="5"/>
    <s v="1FH49AT"/>
    <s v="2019.05.17323"/>
    <n v="1"/>
    <s v="IRIS-OPR05-A01"/>
    <s v="IRIS-24-SCR09-A01"/>
    <x v="0"/>
  </r>
  <r>
    <x v="0"/>
    <s v="HP EliteDisplay E243i"/>
    <s v="Screen"/>
    <x v="5"/>
    <s v="1FH49AT"/>
    <s v="2019.05.17324"/>
    <n v="1"/>
    <s v="IRIS-OPR05-A01"/>
    <s v="IRIS-24-SCR10-A01"/>
    <x v="0"/>
  </r>
  <r>
    <x v="0"/>
    <s v="CASE 3 / IRIS - A01"/>
    <s v="CASE 3"/>
    <x v="6"/>
    <s v="_"/>
    <s v="_"/>
    <n v="1"/>
    <s v="CASE 3 / IRIS - A01"/>
    <s v="_"/>
    <x v="1"/>
  </r>
  <r>
    <x v="0"/>
    <s v="HP ZBOOK 17 G4"/>
    <s v="Laptop"/>
    <x v="5"/>
    <s v="Y3J81AV"/>
    <s v="2019.07.20262"/>
    <n v="1"/>
    <s v="Incluses I4DEXPLORER"/>
    <s v="IRIS-OPR06-A01"/>
    <x v="0"/>
  </r>
  <r>
    <x v="0"/>
    <s v="HP 512GB 2280 M2 PCIe 3x4 DS NVME EU"/>
    <s v="HP 512GB M2"/>
    <x v="4"/>
    <s v="861960-003"/>
    <s v=""/>
    <n v="1"/>
    <s v="IRIS-OPR06-A01"/>
    <s v="_"/>
    <x v="1"/>
  </r>
  <r>
    <x v="0"/>
    <s v="HP USB Business Slim Keyboard - Hungarian"/>
    <s v="Keyboard"/>
    <x v="5"/>
    <s v="803181-211"/>
    <s v="2019.07.20240"/>
    <n v="1"/>
    <s v="IRIS-OPR06-A01"/>
    <s v="_"/>
    <x v="0"/>
  </r>
  <r>
    <x v="0"/>
    <s v="HP USB Optical Mouse"/>
    <s v="Mouse"/>
    <x v="5"/>
    <s v="678652-001"/>
    <s v="N/A"/>
    <n v="1"/>
    <s v="IRIS-OPR06-A01"/>
    <s v="_"/>
    <x v="0"/>
  </r>
  <r>
    <x v="0"/>
    <s v="USB 3.0 to Gigabit Ethernet Fiber Optic Network Adapter - 1000Base-SX SC"/>
    <s v="USB-Fiber"/>
    <x v="5"/>
    <s v="US1GA30SXSC"/>
    <s v="2019.06.18231"/>
    <n v="1"/>
    <s v="IRIS-OPR06-A01"/>
    <s v="_"/>
    <x v="0"/>
  </r>
  <r>
    <x v="0"/>
    <s v="Thunderbolts 3 to dual DisplayPort Adapter"/>
    <s v="Thunderbolt"/>
    <x v="5"/>
    <s v="TB32DP2T"/>
    <s v="2019.06.18247"/>
    <n v="1"/>
    <s v="IRIS-OPR06-A01"/>
    <s v="_"/>
    <x v="0"/>
  </r>
  <r>
    <x v="0"/>
    <s v="HP EliteDisplay E243i"/>
    <s v="Screen"/>
    <x v="5"/>
    <s v="1FH49AT"/>
    <s v="2019.05.17325"/>
    <n v="1"/>
    <s v="IRIS-OPR06-A01"/>
    <s v="IRIS-24-SCR11-A01"/>
    <x v="0"/>
  </r>
  <r>
    <x v="0"/>
    <s v="HP EliteDisplay E243i"/>
    <s v="Screen"/>
    <x v="5"/>
    <s v="1FH49AT"/>
    <s v="2019.05.17326"/>
    <n v="1"/>
    <s v="IRIS-OPR06-A01"/>
    <s v="IRIS-24-SCR12-A01"/>
    <x v="0"/>
  </r>
  <r>
    <x v="0"/>
    <s v="HP ZBOOK 17 G4"/>
    <s v="Laptop"/>
    <x v="5"/>
    <s v="Y3J81AV"/>
    <s v="2019.07.20260"/>
    <n v="1"/>
    <s v="_"/>
    <s v="IRIS-OPR07-A01"/>
    <x v="0"/>
  </r>
  <r>
    <x v="0"/>
    <s v="HP 512GB 2280 M2 PCIe 3x4 DS NVME EU"/>
    <s v="HP 512GB M2"/>
    <x v="4"/>
    <s v="861960-003"/>
    <s v=""/>
    <n v="1"/>
    <s v="IRIS-OPR07-A01"/>
    <s v="_"/>
    <x v="1"/>
  </r>
  <r>
    <x v="0"/>
    <s v="HP USB Business Slim Keyboard - Hungarian"/>
    <s v="Keyboard"/>
    <x v="5"/>
    <s v="803181-211"/>
    <s v="2019.07.20238"/>
    <n v="1"/>
    <s v="IRIS-OPR07-A01"/>
    <s v="_"/>
    <x v="0"/>
  </r>
  <r>
    <x v="0"/>
    <s v="HP USB Optical Mouse"/>
    <s v="Mouse"/>
    <x v="5"/>
    <s v="678652-001"/>
    <s v="N/A"/>
    <n v="1"/>
    <s v="IRIS-OPR07-A01"/>
    <s v="_"/>
    <x v="0"/>
  </r>
  <r>
    <x v="0"/>
    <s v="USB 3.0 to Gigabit Ethernet Fiber Optic Network Adapter - 1000Base-SX SC"/>
    <s v="USB-Fiber"/>
    <x v="5"/>
    <s v="US1GA30SXSC"/>
    <s v="2019.06.18226"/>
    <n v="1"/>
    <s v="IRIS-OPR07-A01"/>
    <s v="_"/>
    <x v="0"/>
  </r>
  <r>
    <x v="0"/>
    <s v="Thunderbolts 3 to dual DisplayPort Adapter"/>
    <s v="Thunderbolt"/>
    <x v="5"/>
    <s v="TB32DP2T"/>
    <s v="2019.06.18261"/>
    <n v="1"/>
    <s v="IRIS-OPR07-A01"/>
    <s v="_"/>
    <x v="0"/>
  </r>
  <r>
    <x v="0"/>
    <s v="HP EliteDisplay E243i"/>
    <s v="Screen"/>
    <x v="5"/>
    <s v="1FH49AT"/>
    <s v="2019.05.17327"/>
    <n v="1"/>
    <s v="IRIS-OPR07-A01"/>
    <s v="IRIS-24-SCR13-A01"/>
    <x v="0"/>
  </r>
  <r>
    <x v="0"/>
    <s v="HP EliteDisplay E243i"/>
    <s v="Screen"/>
    <x v="5"/>
    <s v="1FH49AT"/>
    <s v="2019.05.17328"/>
    <n v="1"/>
    <s v="IRIS-OPR07-A01"/>
    <s v="IRIS-24-SCR14-A01"/>
    <x v="0"/>
  </r>
  <r>
    <x v="0"/>
    <s v="CASE 4 / IRIS - A01"/>
    <s v="CASE 4"/>
    <x v="6"/>
    <s v="_"/>
    <s v="_"/>
    <n v="1"/>
    <s v="CASE 4 / IRIS - A01"/>
    <s v="_"/>
    <x v="1"/>
  </r>
  <r>
    <x v="0"/>
    <s v="HP ZBOOK 17 G4"/>
    <s v="Laptop"/>
    <x v="5"/>
    <s v="Y3J81AV"/>
    <s v="2019.07.20257"/>
    <n v="1"/>
    <s v="_"/>
    <s v="IRIS-OPR08-A01"/>
    <x v="0"/>
  </r>
  <r>
    <x v="0"/>
    <s v="HP 512GB 2280 M2 PCIe 3x4 DS NVME EU"/>
    <s v="HP 512GB M2"/>
    <x v="4"/>
    <s v="861960-003"/>
    <s v=""/>
    <n v="1"/>
    <s v="IRIS-OPR08-A01"/>
    <s v="_"/>
    <x v="1"/>
  </r>
  <r>
    <x v="0"/>
    <s v="HP USB Business Slim Keyboard - Hungarian"/>
    <s v="Keyboard"/>
    <x v="5"/>
    <s v="803181-211"/>
    <s v="2019.07.20235"/>
    <n v="1"/>
    <s v="IRIS-OPR08-A01"/>
    <s v="_"/>
    <x v="0"/>
  </r>
  <r>
    <x v="0"/>
    <s v="HP USB Optical Mouse"/>
    <s v="Mouse"/>
    <x v="5"/>
    <s v="678652-001"/>
    <s v="N/A"/>
    <n v="1"/>
    <s v="IRIS-OPR08-A01"/>
    <s v="_"/>
    <x v="0"/>
  </r>
  <r>
    <x v="0"/>
    <s v="USB 3.0 to Gigabit Ethernet Fiber Optic Network Adapter - 1000Base-SX SC"/>
    <s v="USB-Fiber"/>
    <x v="5"/>
    <s v="US1GA30SXSC"/>
    <s v="2019.06.18224"/>
    <n v="1"/>
    <s v="IRIS-OPR08-A01"/>
    <s v="_"/>
    <x v="0"/>
  </r>
  <r>
    <x v="0"/>
    <s v="Thunderbolts 3 to dual DisplayPort Adapter"/>
    <s v="Thunderbolt"/>
    <x v="5"/>
    <s v="TB32DP2T"/>
    <s v="2019.06.18254"/>
    <n v="1"/>
    <s v="IRIS-OPR08-A01"/>
    <s v="_"/>
    <x v="0"/>
  </r>
  <r>
    <x v="0"/>
    <s v="HP EliteDisplay E243i"/>
    <s v="Screen"/>
    <x v="5"/>
    <s v="1FH49AT"/>
    <s v="2019.05.17329"/>
    <n v="1"/>
    <s v="IRIS-OPR08-A01"/>
    <s v="IRIS-24-SCR15-A01"/>
    <x v="0"/>
  </r>
  <r>
    <x v="0"/>
    <s v="HP EliteDisplay E243i"/>
    <s v="Screen"/>
    <x v="5"/>
    <s v="1FH49AT"/>
    <s v="2019.05.17330"/>
    <n v="1"/>
    <s v="IRIS-OPR08-A01"/>
    <s v="IRIS-24-SCR16-A01"/>
    <x v="0"/>
  </r>
  <r>
    <x v="0"/>
    <s v="HP ZBOOK 17 G4"/>
    <s v="Laptop"/>
    <x v="5"/>
    <s v="Y3J81AV"/>
    <s v="2019.07.20256"/>
    <n v="1"/>
    <s v="_"/>
    <s v="IRIS-OPR09-A01"/>
    <x v="0"/>
  </r>
  <r>
    <x v="0"/>
    <s v="HP 512GB 2280 M2 PCIe 3x4 DS NVME EU"/>
    <s v="HP 512GB M2"/>
    <x v="4"/>
    <s v="861960-003"/>
    <s v=""/>
    <n v="1"/>
    <s v="IRIS-OPR09-A01"/>
    <s v="_"/>
    <x v="1"/>
  </r>
  <r>
    <x v="0"/>
    <s v="HP USB Business Slim Keyboard - Hungarian"/>
    <s v="Keyboard"/>
    <x v="5"/>
    <s v="803181-211"/>
    <s v="2019.07.20234"/>
    <n v="1"/>
    <s v="IRIS-OPR09-A01"/>
    <s v="_"/>
    <x v="0"/>
  </r>
  <r>
    <x v="0"/>
    <s v="HP USB Optical Mouse"/>
    <s v="Mouse"/>
    <x v="5"/>
    <s v="678652-001"/>
    <s v="N/A"/>
    <n v="1"/>
    <s v="IRIS-OPR09-A01"/>
    <s v="_"/>
    <x v="0"/>
  </r>
  <r>
    <x v="0"/>
    <s v="USB 3.0 to Gigabit Ethernet Fiber Optic Network Adapter - 1000Base-SX SC"/>
    <s v="USB-Fiber"/>
    <x v="5"/>
    <s v="US1GA30SXSC"/>
    <s v="2019.06.18239"/>
    <n v="1"/>
    <s v="IRIS-OPR09-A01"/>
    <s v="_"/>
    <x v="0"/>
  </r>
  <r>
    <x v="0"/>
    <s v="Thunderbolts 3 to dual DisplayPort Adapter"/>
    <s v="Thunderbolt"/>
    <x v="5"/>
    <s v="TB32DP2T"/>
    <s v="2019.06.18260"/>
    <n v="1"/>
    <s v="IRIS-OPR09-A01"/>
    <s v="_"/>
    <x v="0"/>
  </r>
  <r>
    <x v="0"/>
    <s v="IIYAMA B2783QSU"/>
    <s v="Screen"/>
    <x v="5"/>
    <s v="B2783QSU"/>
    <s v="2019.07.22337"/>
    <n v="1"/>
    <s v="IRIS-OPR09-A01"/>
    <s v="IRIS-27-SCR01-A01"/>
    <x v="0"/>
  </r>
  <r>
    <x v="0"/>
    <s v="IIYAMA B2783QSU"/>
    <s v="Screen"/>
    <x v="5"/>
    <s v="B2783QSU"/>
    <s v="2019.07.22336"/>
    <n v="1"/>
    <s v="IRIS-OPR09-A01"/>
    <s v="IRIS-27-SCR02-A01"/>
    <x v="0"/>
  </r>
  <r>
    <x v="0"/>
    <s v="SPARE CASE 1 / IRIS - A01"/>
    <s v="SPARE CASE 1"/>
    <x v="6"/>
    <s v="_"/>
    <s v="_"/>
    <n v="1"/>
    <s v="SPARE CASE 1 / IRIS - A01"/>
    <s v="_"/>
    <x v="1"/>
  </r>
  <r>
    <x v="0"/>
    <s v="HP ZBOOK 17 G4"/>
    <s v="Laptop"/>
    <x v="5"/>
    <s v="Y3J81AV"/>
    <s v="2019.07.20258"/>
    <n v="1"/>
    <s v="_"/>
    <s v="IRIS-SPARE01-A01"/>
    <x v="0"/>
  </r>
  <r>
    <x v="0"/>
    <s v="HP 512GB 2280 M2 PCIe 3x4 DS NVME EU"/>
    <s v="HP 512GB M2"/>
    <x v="4"/>
    <s v="861960-003"/>
    <s v=""/>
    <n v="1"/>
    <s v="IRIS-SPARE01-A01"/>
    <s v="_"/>
    <x v="1"/>
  </r>
  <r>
    <x v="0"/>
    <s v="HP USB Business Slim Keyboard - Hungarian"/>
    <s v="Keyboard"/>
    <x v="5"/>
    <s v="803181-211"/>
    <s v="2019.07.20236"/>
    <n v="1"/>
    <s v="IRIS-SPARE01-A01"/>
    <s v="_"/>
    <x v="0"/>
  </r>
  <r>
    <x v="0"/>
    <s v="HP USB Optical Mouse"/>
    <s v="Mouse"/>
    <x v="5"/>
    <s v="678652-001"/>
    <s v="N/A"/>
    <n v="1"/>
    <s v="IRIS-SPARE01-A01"/>
    <s v="_"/>
    <x v="0"/>
  </r>
  <r>
    <x v="0"/>
    <s v="USB 3.0 to Gigabit Ethernet Fiber Optic Network Adapter - 1000Base-SX SC"/>
    <s v="USB-Fiber"/>
    <x v="5"/>
    <s v="US1GA30SXSC"/>
    <s v="2019.06.18223"/>
    <n v="1"/>
    <s v="_"/>
    <s v="_"/>
    <x v="0"/>
  </r>
  <r>
    <x v="0"/>
    <s v="Thunderbolts 3 to dual DisplayPort Adapter"/>
    <s v="Thunderbolt"/>
    <x v="5"/>
    <s v="TB32DP2T"/>
    <s v="2019.06.18258"/>
    <n v="1"/>
    <s v="_"/>
    <s v="_"/>
    <x v="0"/>
  </r>
  <r>
    <x v="0"/>
    <s v="HP EliteDisplay E243i"/>
    <s v="Screen"/>
    <x v="5"/>
    <s v="1FH49AT"/>
    <s v="2019.05.17331"/>
    <n v="1"/>
    <s v="_"/>
    <s v="IRIS-24-SPARE01-A01"/>
    <x v="0"/>
  </r>
  <r>
    <x v="0"/>
    <s v="HP EliteDisplay E243i"/>
    <s v="Screen"/>
    <x v="5"/>
    <s v="1FH49AT"/>
    <s v="2019.05.17332"/>
    <n v="1"/>
    <s v="_"/>
    <s v="IRIS-24-SPARE02-A01"/>
    <x v="0"/>
  </r>
  <r>
    <x v="0"/>
    <s v="HP ZBOOK 17 G4"/>
    <s v="Laptop"/>
    <x v="5"/>
    <s v="Y3J81AV"/>
    <s v="2019.07.20255"/>
    <n v="1"/>
    <s v="_"/>
    <s v="IRIS-SPARE02-A01"/>
    <x v="0"/>
  </r>
  <r>
    <x v="0"/>
    <s v="HP 512GB 2280 M2 PCIe 3x4 DS NVME EU"/>
    <s v="HP 512GB M2"/>
    <x v="4"/>
    <s v="861960-003"/>
    <s v=""/>
    <n v="1"/>
    <s v="IRIS-SPARE02-A01"/>
    <s v="_"/>
    <x v="1"/>
  </r>
  <r>
    <x v="0"/>
    <s v="HP USB Business Slim Keyboard - Hungarian"/>
    <s v="Keyboard"/>
    <x v="5"/>
    <s v="803181-211"/>
    <s v="2019.07.20233"/>
    <n v="1"/>
    <s v="IRIS-SPARE02-A01"/>
    <s v="_"/>
    <x v="0"/>
  </r>
  <r>
    <x v="0"/>
    <s v="HP USB Optical Mouse"/>
    <s v="Mouse"/>
    <x v="5"/>
    <s v="678652-001"/>
    <s v="N/A"/>
    <n v="1"/>
    <s v="IRIS-SPARE02-A01"/>
    <s v="_"/>
    <x v="0"/>
  </r>
  <r>
    <x v="0"/>
    <s v="USB 3.0 to Gigabit Ethernet Fiber Optic Network Adapter - 1000Base-SX SC"/>
    <s v="USB-Fiber"/>
    <x v="5"/>
    <s v="US1GA30SXSC"/>
    <s v="2019.06.18238"/>
    <n v="1"/>
    <s v="_"/>
    <s v="_"/>
    <x v="0"/>
  </r>
  <r>
    <x v="0"/>
    <s v="Thunderbolts 3 to dual DisplayPort Adapter"/>
    <s v="Thunderbolt"/>
    <x v="5"/>
    <s v="TB32DP2T"/>
    <s v="2019.06.18245"/>
    <n v="1"/>
    <s v="_"/>
    <s v="_"/>
    <x v="0"/>
  </r>
  <r>
    <x v="0"/>
    <s v="HP EliteDisplay E243i"/>
    <s v="Screen"/>
    <x v="5"/>
    <s v="1FH49AT"/>
    <s v="2019.05.17333"/>
    <n v="1"/>
    <s v="_"/>
    <s v="IRIS-24-SPARE03-A01"/>
    <x v="0"/>
  </r>
  <r>
    <x v="0"/>
    <s v="HP EliteDisplay E243i"/>
    <s v="Screen"/>
    <x v="5"/>
    <s v="1FH49AT"/>
    <s v="2019.05.17334"/>
    <n v="1"/>
    <s v="_"/>
    <s v="IRIS-24-SPARE04-A01"/>
    <x v="0"/>
  </r>
  <r>
    <x v="0"/>
    <s v="SPARE CASE 2 / IRIS - A01"/>
    <s v="SPARE CASE 2"/>
    <x v="6"/>
    <s v="_"/>
    <s v="_"/>
    <n v="1"/>
    <s v="SPARE CASE 2 / IRIS - A01"/>
    <s v="_"/>
    <x v="1"/>
  </r>
  <r>
    <x v="0"/>
    <s v="HP EliteDisplay E243i"/>
    <s v="Screen"/>
    <x v="5"/>
    <s v="1FH49AT"/>
    <s v="2019.05.17335"/>
    <n v="1"/>
    <s v="_"/>
    <s v="IRIS-24-SPARE05-A01"/>
    <x v="0"/>
  </r>
  <r>
    <x v="0"/>
    <s v="HP EliteDisplay E243i"/>
    <s v="Screen"/>
    <x v="5"/>
    <s v="1FH49AT"/>
    <s v="2019.05.17336"/>
    <n v="1"/>
    <s v="_"/>
    <s v="IRIS-24-SPARE06-A01"/>
    <x v="0"/>
  </r>
  <r>
    <x v="0"/>
    <s v="IIYAMA B2783QSU"/>
    <s v="Screen"/>
    <x v="5"/>
    <s v="B2783QSU"/>
    <s v="2019.07.22335"/>
    <n v="1"/>
    <s v="_"/>
    <s v="IRIS-27-SPARE01-A01"/>
    <x v="0"/>
  </r>
  <r>
    <x v="0"/>
    <s v="IIYAMA B2783QSU"/>
    <s v="Screen"/>
    <x v="5"/>
    <s v="B2783QSU"/>
    <s v="2019.07.22334"/>
    <n v="1"/>
    <s v="_"/>
    <s v="IRIS-27-SPARE02-A01"/>
    <x v="0"/>
  </r>
  <r>
    <x v="0"/>
    <s v="SPARE / IRIS - A01"/>
    <s v="SPARE"/>
    <x v="6"/>
    <s v="_"/>
    <s v="_"/>
    <n v="1"/>
    <s v="SPARE / IRIS - A01"/>
    <s v="_"/>
    <x v="1"/>
  </r>
  <r>
    <x v="0"/>
    <s v="SDC4/8GB - 8GB microSDHC (Class 4)"/>
    <s v="SDC4/8GB"/>
    <x v="4"/>
    <s v="SDC4/8GBSP - 8GB2 microSDHC (Class 4)"/>
    <s v="N/A"/>
    <n v="1"/>
    <s v="_"/>
    <s v="IRIS-8GB-SPARE-A01"/>
    <x v="0"/>
  </r>
  <r>
    <x v="0"/>
    <s v="HP 512GB 2280 M2 PCIe 3x4 DS NVME EU"/>
    <s v="HP 512GB M2"/>
    <x v="4"/>
    <s v="861960-003"/>
    <s v="S34CNX0K821454"/>
    <n v="1"/>
    <s v="_"/>
    <s v="IRIS-512GB-SPARE01-A01"/>
    <x v="0"/>
  </r>
  <r>
    <x v="0"/>
    <s v="HPE MSA 10TB 12G SAS 7.2K LFF 512e HDD"/>
    <s v="Disk"/>
    <x v="4"/>
    <s v="P9M82A"/>
    <s v="JEHH68EN"/>
    <n v="1"/>
    <s v="_"/>
    <s v="IRIS-10TB-SPARE01-A01"/>
    <x v="0"/>
  </r>
  <r>
    <x v="0"/>
    <s v="HPE MSA 10TB 12G SAS 7.2K LFF 512e HDD"/>
    <s v="Disk"/>
    <x v="4"/>
    <s v="P9M82A"/>
    <s v="JEHEJ88N"/>
    <n v="1"/>
    <s v="_"/>
    <s v="IRIS-10TB-SPARE02-A01"/>
    <x v="0"/>
  </r>
  <r>
    <x v="0"/>
    <s v="10GBASE-SR SFP MODULE"/>
    <s v="SFP module"/>
    <x v="7"/>
    <s v="SFP-10G-SR-S"/>
    <s v="AVD2305D9JH"/>
    <n v="1"/>
    <s v="_"/>
    <s v="IRIS-10GB-SR-SPARE01-A01"/>
    <x v="0"/>
  </r>
  <r>
    <x v="0"/>
    <s v="10GBASE-SR SFP MODULE"/>
    <s v="SFP module"/>
    <x v="7"/>
    <s v="SFP-10G-SR-S"/>
    <s v="AVD2305D9J9"/>
    <n v="1"/>
    <s v="_"/>
    <s v="IRIS-10GB-SR-SPARE02-A01"/>
    <x v="0"/>
  </r>
  <r>
    <x v="0"/>
    <s v="1000BASE-SX SFP TRANSCEIVER MODULE"/>
    <s v="SFP module"/>
    <x v="7"/>
    <s v="GLC-SX-MMD"/>
    <s v="ACW230502UM"/>
    <n v="1"/>
    <s v="_"/>
    <s v="IRIS-1GB-SX-SPARE01-A01"/>
    <x v="0"/>
  </r>
  <r>
    <x v="0"/>
    <s v="1000BASE-SX SFP TRANSCEIVER MODULE"/>
    <s v="SFP module"/>
    <x v="7"/>
    <s v="GLC-SX-MMD"/>
    <s v="ACW230503HY"/>
    <n v="1"/>
    <s v="_"/>
    <s v="IRIS-1GB-SX-SPARE02-A01"/>
    <x v="0"/>
  </r>
  <r>
    <x v="0"/>
    <s v="1000BASE-T SFP TRANSCEIVER MODULE FOR CATEGORY 5 COPPER WIRE"/>
    <s v="SFP module"/>
    <x v="7"/>
    <s v="GLC-TE"/>
    <s v="SMTC22380CBB"/>
    <n v="1"/>
    <s v="_"/>
    <s v="IRIS-1GB-T-SPARE-A01"/>
    <x v="0"/>
  </r>
  <r>
    <x v="1"/>
    <s v="NETWORK TRANSPORT CASE"/>
    <s v="TRANSPORT CASE"/>
    <x v="6"/>
    <s v="_"/>
    <s v="_"/>
    <n v="1"/>
    <s v="NETWORK TRANSPORT CASE"/>
    <s v="_"/>
    <x v="1"/>
  </r>
  <r>
    <x v="1"/>
    <s v="HPE DL360 Gen10 8SFF CTO Server"/>
    <s v="Server"/>
    <x v="0"/>
    <s v="867959-B21"/>
    <s v="CZJ8510C1C"/>
    <n v="1"/>
    <s v="NETWORK TRANSPORT CASE"/>
    <s v="IRIS-SRV1-G01"/>
    <x v="0"/>
  </r>
  <r>
    <x v="1"/>
    <s v="HPE BLc 10G SFP+ SR Transceiver"/>
    <s v="SFP module"/>
    <x v="0"/>
    <s v="455883-B21"/>
    <s v="7CR841N1WK"/>
    <n v="1"/>
    <s v="_"/>
    <s v="_"/>
    <x v="0"/>
  </r>
  <r>
    <x v="1"/>
    <s v="HPE BLc 10G SFP+ SR Transceiver"/>
    <s v="SFP module"/>
    <x v="0"/>
    <s v="455883-B21"/>
    <s v="7CR841N1WL"/>
    <n v="1"/>
    <s v="_"/>
    <s v="_"/>
    <x v="0"/>
  </r>
  <r>
    <x v="1"/>
    <s v="HPE 16G SFP+ SW XCVR-C"/>
    <s v="SFP module"/>
    <x v="0"/>
    <s v="E7Y10-63001"/>
    <s v="MY883701S8"/>
    <n v="1"/>
    <s v="_"/>
    <s v="_"/>
    <x v="0"/>
  </r>
  <r>
    <x v="1"/>
    <s v="HPE 16G SFP+ SW XCVR-C"/>
    <s v="SFP module"/>
    <x v="0"/>
    <s v="E7Y10-63001"/>
    <s v="MY883701UL"/>
    <n v="1"/>
    <s v="_"/>
    <s v="_"/>
    <x v="0"/>
  </r>
  <r>
    <x v="1"/>
    <s v="HPE DL360 Gen10 8SFF CTO Server"/>
    <s v="Server"/>
    <x v="0"/>
    <s v="867959-B21"/>
    <s v="CZJ8510C1M"/>
    <n v="1"/>
    <s v="NETWORK TRANSPORT CASE"/>
    <s v="IRIS-SRV2-G01"/>
    <x v="0"/>
  </r>
  <r>
    <x v="1"/>
    <s v="HPE BLc 10G SFP+ SR Transceiver"/>
    <s v="SFP module"/>
    <x v="0"/>
    <s v="455883-B21"/>
    <s v="7CR841N0NX"/>
    <n v="1"/>
    <s v="_"/>
    <s v="_"/>
    <x v="0"/>
  </r>
  <r>
    <x v="1"/>
    <s v="HPE BLc 10G SFP+ SR Transceiver"/>
    <s v="SFP module"/>
    <x v="0"/>
    <s v="455883-B21"/>
    <s v="7CR841N1W6"/>
    <n v="1"/>
    <s v="_"/>
    <s v="_"/>
    <x v="0"/>
  </r>
  <r>
    <x v="1"/>
    <s v="HPE 16G SFP+ SW XCVR-C"/>
    <s v="SFP module"/>
    <x v="0"/>
    <s v="E7Y10-63001"/>
    <s v="MY883701RX"/>
    <n v="1"/>
    <s v="_"/>
    <s v="_"/>
    <x v="0"/>
  </r>
  <r>
    <x v="1"/>
    <s v="HPE 16G SFP+ SW XCVR-C"/>
    <s v="SFP module"/>
    <x v="0"/>
    <s v="E7Y10-63001"/>
    <s v="MY883701UH"/>
    <n v="1"/>
    <s v="_"/>
    <s v="_"/>
    <x v="0"/>
  </r>
  <r>
    <x v="1"/>
    <s v="CATALYST 3850 24 PORT 10G FIBER SWITCH BASE"/>
    <s v="Switch"/>
    <x v="1"/>
    <s v="WS-C3850-24XS-S"/>
    <s v="FCW2247D0AC"/>
    <n v="1"/>
    <s v="NETWORK TRANSPORT CASE"/>
    <s v="IRIS-SW1-G01"/>
    <x v="0"/>
  </r>
  <r>
    <x v="1"/>
    <s v="10GBASE-SR SFP MODULE"/>
    <s v="SFP module"/>
    <x v="1"/>
    <s v="SFP-10G-SR-S"/>
    <s v="SOPM22411UG9"/>
    <n v="1"/>
    <s v="_"/>
    <s v="_"/>
    <x v="0"/>
  </r>
  <r>
    <x v="1"/>
    <s v="10GBASE-SR SFP MODULE"/>
    <s v="SFP module"/>
    <x v="1"/>
    <s v="SFP-10G-SR-S"/>
    <s v="SOPM22411UGJ"/>
    <n v="1"/>
    <s v="_"/>
    <s v="_"/>
    <x v="0"/>
  </r>
  <r>
    <x v="1"/>
    <s v="10GBASE-SR SFP MODULE"/>
    <s v="SFP module"/>
    <x v="1"/>
    <s v="SFP-10G-SR-S"/>
    <s v="SOPM22411UGK"/>
    <n v="1"/>
    <s v="_"/>
    <s v="_"/>
    <x v="0"/>
  </r>
  <r>
    <x v="1"/>
    <s v="10GBASE-SR SFP MODULE"/>
    <s v="SFP module"/>
    <x v="1"/>
    <s v="SFP-10G-SR-S"/>
    <s v="SOPM22411UGL"/>
    <n v="1"/>
    <s v="_"/>
    <s v="_"/>
    <x v="0"/>
  </r>
  <r>
    <x v="1"/>
    <s v="10GBASE-SR SFP MODULE"/>
    <s v="SFP module"/>
    <x v="1"/>
    <s v="SFP-10G-SR-S"/>
    <s v="SOPM22411UGP"/>
    <n v="1"/>
    <s v="_"/>
    <s v="_"/>
    <x v="0"/>
  </r>
  <r>
    <x v="1"/>
    <s v="1000BASE-SX SFP TRANSCEIVER MODULE"/>
    <s v="SFP module"/>
    <x v="1"/>
    <s v="GLC-SX-MMD"/>
    <s v="SOPM22390B7U"/>
    <n v="1"/>
    <s v="_"/>
    <s v="_"/>
    <x v="0"/>
  </r>
  <r>
    <x v="1"/>
    <s v="1000BASE-SX SFP TRANSCEIVER MODULE"/>
    <s v="SFP module"/>
    <x v="1"/>
    <s v="GLC-SX-MMD"/>
    <s v="SOPM22390B9J"/>
    <n v="1"/>
    <s v="_"/>
    <s v="_"/>
    <x v="0"/>
  </r>
  <r>
    <x v="1"/>
    <s v="1000BASE-SX SFP TRANSCEIVER MODULE"/>
    <s v="SFP module"/>
    <x v="1"/>
    <s v="GLC-SX-MMD"/>
    <s v="SOPM22390B9M"/>
    <n v="1"/>
    <s v="_"/>
    <s v="_"/>
    <x v="0"/>
  </r>
  <r>
    <x v="1"/>
    <s v="1000BASE-T SFP TRANSCEIVER MODULE FOR CATEGORY 5 COPPER WIRE"/>
    <s v="SFP module"/>
    <x v="1"/>
    <s v="GLC-TE"/>
    <s v="SMTC22380CB0"/>
    <n v="1"/>
    <s v="_"/>
    <s v="_"/>
    <x v="0"/>
  </r>
  <r>
    <x v="1"/>
    <s v="1000BASE-T SFP TRANSCEIVER MODULE FOR CATEGORY 5 COPPER WIRE"/>
    <s v="SFP module"/>
    <x v="1"/>
    <s v="GLC-TE"/>
    <s v="SMTC22380CB6"/>
    <n v="1"/>
    <s v="_"/>
    <s v="_"/>
    <x v="0"/>
  </r>
  <r>
    <x v="1"/>
    <s v="1000BASE-T SFP TRANSCEIVER MODULE FOR CATEGORY 5 COPPER WIRE"/>
    <s v="SFP module"/>
    <x v="1"/>
    <s v="GLC-TE"/>
    <s v="SMTC22380AY5"/>
    <n v="1"/>
    <s v="_"/>
    <s v="_"/>
    <x v="0"/>
  </r>
  <r>
    <x v="1"/>
    <s v="1000BASE-T SFP TRANSCEIVER MODULE FOR CATEGORY 5 COPPER WIRE"/>
    <s v="SFP module"/>
    <x v="1"/>
    <s v="GLC-TE"/>
    <s v="SMTC22380B9B"/>
    <n v="1"/>
    <s v="_"/>
    <s v="_"/>
    <x v="0"/>
  </r>
  <r>
    <x v="1"/>
    <s v="CATALYST 3850 24 PORT 10G FIBER SWITCH BASE"/>
    <s v="Switch"/>
    <x v="1"/>
    <s v="WS-C3850-24XS-S"/>
    <s v="FOC2247X096"/>
    <n v="1"/>
    <s v="NETWORK TRANSPORT CASE"/>
    <s v="IRIS-SW2-G01"/>
    <x v="0"/>
  </r>
  <r>
    <x v="1"/>
    <s v="10GBASE-SR SFP MODULE"/>
    <s v="SFP module"/>
    <x v="1"/>
    <s v="SFP-10G-SR-S"/>
    <s v="SOPM22411SU3"/>
    <n v="1"/>
    <s v="_"/>
    <s v="_"/>
    <x v="0"/>
  </r>
  <r>
    <x v="1"/>
    <s v="10GBASE-SR SFP MODULE"/>
    <s v="SFP module"/>
    <x v="1"/>
    <s v="SFP-10G-SR-S"/>
    <s v="SOPM22411SU5"/>
    <n v="1"/>
    <s v="_"/>
    <s v="_"/>
    <x v="0"/>
  </r>
  <r>
    <x v="1"/>
    <s v="10GBASE-SR SFP MODULE"/>
    <s v="SFP module"/>
    <x v="1"/>
    <s v="SFP-10G-SR-S"/>
    <s v="SOPM22411SU7"/>
    <n v="1"/>
    <s v="_"/>
    <s v="_"/>
    <x v="0"/>
  </r>
  <r>
    <x v="1"/>
    <s v="10GBASE-SR SFP MODULE"/>
    <s v="SFP module"/>
    <x v="1"/>
    <s v="SFP-10G-SR-S"/>
    <s v="SOPM22411SU8"/>
    <n v="1"/>
    <s v="_"/>
    <s v="_"/>
    <x v="0"/>
  </r>
  <r>
    <x v="1"/>
    <s v="10GBASE-SR SFP MODULE"/>
    <s v="SFP module"/>
    <x v="1"/>
    <s v="SFP-10G-SR-S"/>
    <s v="SOPM22411SUL"/>
    <n v="1"/>
    <s v="_"/>
    <s v="_"/>
    <x v="0"/>
  </r>
  <r>
    <x v="1"/>
    <s v="1000BASE-SX SFP TRANSCEIVER MODULE"/>
    <s v="SFP module"/>
    <x v="1"/>
    <s v="GLC-SX-MMD"/>
    <s v="SOPM22390B7X"/>
    <n v="1"/>
    <s v="_"/>
    <s v="_"/>
    <x v="0"/>
  </r>
  <r>
    <x v="1"/>
    <s v="1000BASE-SX SFP TRANSCEIVER MODULE"/>
    <s v="SFP module"/>
    <x v="1"/>
    <s v="GLC-SX-MMD"/>
    <s v="SOPM22390B8G"/>
    <n v="1"/>
    <s v="_"/>
    <s v="_"/>
    <x v="0"/>
  </r>
  <r>
    <x v="1"/>
    <s v="1000BASE-SX SFP TRANSCEIVER MODULE"/>
    <s v="SFP module"/>
    <x v="1"/>
    <s v="GLC-SX-MMD"/>
    <s v="SOPM22390BG1"/>
    <n v="1"/>
    <s v="_"/>
    <s v="_"/>
    <x v="0"/>
  </r>
  <r>
    <x v="1"/>
    <s v="1000BASE-T SFP TRANSCEIVER MODULE FOR CATEGORY 5 COPPER WIRE"/>
    <s v="SFP module"/>
    <x v="1"/>
    <s v="GLC-TE"/>
    <s v="SMTC22380AWU"/>
    <n v="1"/>
    <s v="_"/>
    <s v="_"/>
    <x v="0"/>
  </r>
  <r>
    <x v="1"/>
    <s v="1000BASE-T SFP TRANSCEIVER MODULE FOR CATEGORY 5 COPPER WIRE"/>
    <s v="SFP module"/>
    <x v="1"/>
    <s v="GLC-TE"/>
    <s v="SMTC22380BHK"/>
    <n v="1"/>
    <s v="_"/>
    <s v="_"/>
    <x v="0"/>
  </r>
  <r>
    <x v="1"/>
    <s v="1000BASE-T SFP TRANSCEIVER MODULE FOR CATEGORY 5 COPPER WIRE"/>
    <s v="SFP module"/>
    <x v="1"/>
    <s v="GLC-TE"/>
    <s v="SMTC22380AXR"/>
    <n v="1"/>
    <s v="_"/>
    <s v="_"/>
    <x v="0"/>
  </r>
  <r>
    <x v="1"/>
    <s v="1000BASE-T SFP TRANSCEIVER MODULE FOR CATEGORY 5 COPPER WIRE"/>
    <s v="SFP module"/>
    <x v="1"/>
    <s v="GLC-TE"/>
    <s v="SMTC223808K0"/>
    <n v="1"/>
    <s v="_"/>
    <s v="_"/>
    <x v="0"/>
  </r>
  <r>
    <x v="1"/>
    <s v="SERVER TRANSPORT CASE"/>
    <s v="TRANSPORT CASE"/>
    <x v="6"/>
    <s v="_"/>
    <s v="_"/>
    <n v="1"/>
    <s v="SERVER TRANSPORT CASE"/>
    <s v="_"/>
    <x v="1"/>
  </r>
  <r>
    <x v="1"/>
    <s v="HPE DL360 Gen10 8SFF CTO Server"/>
    <s v="Server"/>
    <x v="0"/>
    <s v="867959-B21"/>
    <s v="CZJ8510C11"/>
    <n v="1"/>
    <s v="SERVER TRANSPORT CASE"/>
    <s v="IRIS-SRV3-G01"/>
    <x v="0"/>
  </r>
  <r>
    <x v="1"/>
    <s v="HPE BLc 10G SFP+ SR Transceiver"/>
    <s v="SFP module"/>
    <x v="0"/>
    <s v="455883-B21"/>
    <s v="7CR841N1UB"/>
    <n v="1"/>
    <s v="_"/>
    <s v="_"/>
    <x v="0"/>
  </r>
  <r>
    <x v="1"/>
    <s v="HPE BLc 10G SFP+ SR Transceiver"/>
    <s v="SFP module"/>
    <x v="0"/>
    <s v="455883-B21"/>
    <s v="7CR841N1VW"/>
    <n v="1"/>
    <s v="_"/>
    <s v="_"/>
    <x v="0"/>
  </r>
  <r>
    <x v="1"/>
    <s v="HPE 16G SFP+ SW XCVR-C"/>
    <s v="SFP module"/>
    <x v="0"/>
    <s v="E7Y10-63001"/>
    <s v="MY883701UC"/>
    <n v="1"/>
    <s v="_"/>
    <s v="_"/>
    <x v="0"/>
  </r>
  <r>
    <x v="1"/>
    <s v="HPE 16G SFP+ SW XCVR-C"/>
    <s v="SFP module"/>
    <x v="0"/>
    <s v="E7Y10-63001"/>
    <s v="MY883701UD"/>
    <n v="1"/>
    <s v="_"/>
    <s v="_"/>
    <x v="0"/>
  </r>
  <r>
    <x v="1"/>
    <s v="HPE DL360 Gen10 8SFF CTO Server"/>
    <s v="Server"/>
    <x v="0"/>
    <s v="867959-B21"/>
    <s v="CZJ8510C17"/>
    <n v="1"/>
    <s v="SERVER TRANSPORT CASE"/>
    <s v="IRIS-SRV4-G01"/>
    <x v="0"/>
  </r>
  <r>
    <x v="1"/>
    <s v="HPE BLc 10G SFP+ SR Transceiver"/>
    <s v="SFP module"/>
    <x v="0"/>
    <s v="455883-B21"/>
    <s v="7CR841N1VZ"/>
    <n v="1"/>
    <s v="_"/>
    <s v="_"/>
    <x v="0"/>
  </r>
  <r>
    <x v="1"/>
    <s v="HPE BLc 10G SFP+ SR Transceiver"/>
    <s v="SFP module"/>
    <x v="0"/>
    <s v="455883-B21"/>
    <s v="7CR841N1WH"/>
    <n v="1"/>
    <s v="_"/>
    <s v="_"/>
    <x v="0"/>
  </r>
  <r>
    <x v="1"/>
    <s v="HPE 16G SFP+ SW XCVR-C"/>
    <s v="SFP module"/>
    <x v="0"/>
    <s v="E7Y10-63001"/>
    <s v="MY884805UV"/>
    <n v="1"/>
    <s v="_"/>
    <s v="_"/>
    <x v="0"/>
  </r>
  <r>
    <x v="1"/>
    <s v="HPE 16G SFP+ SW XCVR-C"/>
    <s v="SFP module"/>
    <x v="0"/>
    <s v="E7Y10-63001"/>
    <s v="MY884805PC"/>
    <n v="1"/>
    <s v="_"/>
    <s v="_"/>
    <x v="0"/>
  </r>
  <r>
    <x v="1"/>
    <s v="HPE 400GB SAS 12G MU SFF SC DS 550"/>
    <s v="Disk"/>
    <x v="0"/>
    <s v="P09088-B21"/>
    <s v="5C3904J04B"/>
    <n v="1"/>
    <s v="IRIS-SRV4-G01-01"/>
    <s v="_"/>
    <x v="0"/>
  </r>
  <r>
    <x v="1"/>
    <s v="HPE 400GB SAS 12G MU SFF SC DS 550"/>
    <s v="Disk"/>
    <x v="0"/>
    <s v="P09088-B21"/>
    <s v="5C3905J075"/>
    <n v="1"/>
    <s v="IRIS-SRV4-G01-02"/>
    <s v="_"/>
    <x v="0"/>
  </r>
  <r>
    <x v="1"/>
    <s v="HPE MSA 2050 SAN DC LFF Storage"/>
    <s v="MSA SAN"/>
    <x v="0"/>
    <s v="Q1J00A"/>
    <s v="2S6849B200"/>
    <n v="1"/>
    <s v="SERVER TRANSPORT CASE"/>
    <s v="IRIS-MSA-G01"/>
    <x v="0"/>
  </r>
  <r>
    <x v="1"/>
    <s v="MSA 2050 SAN dual controller"/>
    <s v="MSA SAN"/>
    <x v="0"/>
    <s v="876127-001"/>
    <s v="7CE847M249"/>
    <n v="1"/>
    <s v="_"/>
    <s v="_"/>
    <x v="0"/>
  </r>
  <r>
    <x v="1"/>
    <s v="MSA 2050 SAN dual controller"/>
    <s v="MSA SAN"/>
    <x v="0"/>
    <s v="876127-001"/>
    <s v="7CE847M256"/>
    <n v="1"/>
    <s v="_"/>
    <s v="_"/>
    <x v="0"/>
  </r>
  <r>
    <x v="1"/>
    <s v="HPE MSA 10TB 12G SAS 7.2K LFF 512e HDD"/>
    <s v="Disk"/>
    <x v="0"/>
    <s v="P9M82A"/>
    <s v="THH851Z06I"/>
    <n v="1"/>
    <s v="IRIS-MSA-G01-01"/>
    <s v="_"/>
    <x v="0"/>
  </r>
  <r>
    <x v="1"/>
    <s v="HPE MSA 10TB 12G SAS 7.2K LFF 512e HDD"/>
    <s v="Disk"/>
    <x v="0"/>
    <s v="P9M82A"/>
    <s v="THH851Z06J"/>
    <n v="1"/>
    <s v="IRIS-MSA-G01-02"/>
    <s v="_"/>
    <x v="0"/>
  </r>
  <r>
    <x v="1"/>
    <s v="HPE MSA 10TB 12G SAS 7.2K LFF 512e HDD"/>
    <s v="Disk"/>
    <x v="0"/>
    <s v="P9M82A"/>
    <s v="THH851Z06K"/>
    <n v="1"/>
    <s v="IRIS-MSA-G01-03"/>
    <s v="_"/>
    <x v="0"/>
  </r>
  <r>
    <x v="1"/>
    <s v="HPE MSA 10TB 12G SAS 7.2K LFF 512e HDD"/>
    <s v="Disk"/>
    <x v="0"/>
    <s v="P9M82A"/>
    <s v="THH851Z06L"/>
    <n v="1"/>
    <s v="IRIS-MSA-G01-04"/>
    <s v="_"/>
    <x v="0"/>
  </r>
  <r>
    <x v="1"/>
    <s v="HPE MSA 10TB 12G SAS 7.2K LFF 512e HDD"/>
    <s v="Disk"/>
    <x v="0"/>
    <s v="P9M82A"/>
    <s v="THH851Z06R"/>
    <n v="1"/>
    <s v="IRIS-MSA-G01-05"/>
    <s v="_"/>
    <x v="0"/>
  </r>
  <r>
    <x v="1"/>
    <s v="HPE MSA 10TB 12G SAS 7.2K LFF 512e HDD"/>
    <s v="Disk"/>
    <x v="0"/>
    <s v="P9M82A"/>
    <s v="THH851Z06P"/>
    <n v="1"/>
    <s v="IRIS-MSA-G01-06"/>
    <s v="_"/>
    <x v="0"/>
  </r>
  <r>
    <x v="1"/>
    <s v="HPE MSA 10TB 12G SAS 7.2K LFF 512e HDD"/>
    <s v="Disk"/>
    <x v="0"/>
    <s v="P9M82A"/>
    <s v="THH851Z06E"/>
    <n v="1"/>
    <s v="IRIS-MSA-G01-07"/>
    <s v="_"/>
    <x v="0"/>
  </r>
  <r>
    <x v="1"/>
    <s v="HPE MSA 10TB 12G SAS 7.2K LFF 512e HDD"/>
    <s v="Disk"/>
    <x v="0"/>
    <s v="P9M82A"/>
    <s v="THH851Z06M"/>
    <n v="1"/>
    <s v="IRIS-MSA-G01-08"/>
    <s v="_"/>
    <x v="0"/>
  </r>
  <r>
    <x v="1"/>
    <s v="HPE MSA 10TB 12G SAS 7.2K LFF 512e HDD"/>
    <s v="Disk"/>
    <x v="0"/>
    <s v="P9M82A"/>
    <s v="THH851Z06N"/>
    <n v="1"/>
    <s v="IRIS-MSA-G01-09"/>
    <s v="_"/>
    <x v="0"/>
  </r>
  <r>
    <x v="1"/>
    <s v="HPE MSA 10TB 12G SAS 7.2K LFF 512e HDD"/>
    <s v="Disk"/>
    <x v="0"/>
    <s v="P9M82A"/>
    <s v="THH851Z06B"/>
    <n v="1"/>
    <s v="IRIS-MSA-G01-10"/>
    <s v="_"/>
    <x v="0"/>
  </r>
  <r>
    <x v="1"/>
    <s v="HPE MSA 10TB 12G SAS 7.2K LFF 512e HDD"/>
    <s v="Disk"/>
    <x v="0"/>
    <s v="P9M82A"/>
    <s v="THH851Z06C"/>
    <n v="1"/>
    <s v="IRIS-MSA-G01-11"/>
    <s v="_"/>
    <x v="0"/>
  </r>
  <r>
    <x v="1"/>
    <s v="HPE MSA 10TB 12G SAS 7.2K LFF 512e HDD"/>
    <s v="Disk"/>
    <x v="0"/>
    <s v="P9M82A"/>
    <s v="THH851Z06D"/>
    <n v="1"/>
    <s v="IRIS-MSA-G01-12"/>
    <s v="_"/>
    <x v="0"/>
  </r>
  <r>
    <x v="1"/>
    <s v="HPE MSA 16GB SW FC SFP"/>
    <s v="SFP module"/>
    <x v="0"/>
    <s v="720999-002"/>
    <s v="MY884204T3"/>
    <n v="1"/>
    <s v="_"/>
    <s v="_"/>
    <x v="0"/>
  </r>
  <r>
    <x v="1"/>
    <s v="HPE MSA 16GB SW FC SFP"/>
    <s v="SFP module"/>
    <x v="0"/>
    <s v="720999-002"/>
    <s v="MY884204FU"/>
    <n v="1"/>
    <s v="_"/>
    <s v="_"/>
    <x v="0"/>
  </r>
  <r>
    <x v="1"/>
    <s v="HPE MSA 16GB SW FC SFP"/>
    <s v="SFP module"/>
    <x v="0"/>
    <s v="720999-002"/>
    <s v="MY884201PP"/>
    <n v="1"/>
    <s v="_"/>
    <s v="_"/>
    <x v="0"/>
  </r>
  <r>
    <x v="1"/>
    <s v="HPE MSA 16GB SW FC SFP"/>
    <s v="SFP module"/>
    <x v="0"/>
    <s v="720999-002"/>
    <s v="MY884201N9"/>
    <n v="1"/>
    <s v="_"/>
    <s v="_"/>
    <x v="0"/>
  </r>
  <r>
    <x v="1"/>
    <s v="HPE MSA 16GB SW FC SFP"/>
    <s v="SFP module"/>
    <x v="0"/>
    <s v="720999-002"/>
    <s v="MY884204ZQ"/>
    <n v="1"/>
    <s v="_"/>
    <s v="_"/>
    <x v="0"/>
  </r>
  <r>
    <x v="1"/>
    <s v="HPE MSA 16GB SW FC SFP"/>
    <s v="SFP module"/>
    <x v="0"/>
    <s v="720999-002"/>
    <s v="MY884302B7"/>
    <n v="1"/>
    <s v="_"/>
    <s v="_"/>
    <x v="0"/>
  </r>
  <r>
    <x v="1"/>
    <s v="HPE MSA 16GB SW FC SFP"/>
    <s v="SFP module"/>
    <x v="0"/>
    <s v="720999-002"/>
    <s v="MY884201PE"/>
    <n v="1"/>
    <s v="_"/>
    <s v="_"/>
    <x v="0"/>
  </r>
  <r>
    <x v="1"/>
    <s v="HPE MSA 16GB SW FC SFP"/>
    <s v="SFP module"/>
    <x v="0"/>
    <s v="720999-002"/>
    <s v="MY884201CG"/>
    <n v="1"/>
    <s v="_"/>
    <s v="_"/>
    <x v="0"/>
  </r>
  <r>
    <x v="1"/>
    <s v="POWER TRANSPORT CASE"/>
    <s v="TRANSPORT CASE"/>
    <x v="6"/>
    <s v="_"/>
    <s v="_"/>
    <n v="1"/>
    <s v="POWER TRANSPORT CASE"/>
    <s v="_"/>
    <x v="1"/>
  </r>
  <r>
    <x v="1"/>
    <s v="NTP TIME SERVER WITH OCXO"/>
    <s v="NTP Server"/>
    <x v="2"/>
    <s v="T101R-10us-AC-I/O-OCXOMR"/>
    <s v="0814292"/>
    <n v="1"/>
    <s v="POWER TRANSPORT CASE"/>
    <s v="IRIS-NTP-G01"/>
    <x v="0"/>
  </r>
  <r>
    <x v="1"/>
    <s v="HPE R5000 3U IECSO9-32A HV INTL UPS"/>
    <s v="UPS"/>
    <x v="0"/>
    <s v="AF461A"/>
    <s v="ACC8390056"/>
    <n v="1"/>
    <s v="POWER TRANSPORT CASE"/>
    <s v="IRIS-UPS-G01"/>
    <x v="0"/>
  </r>
  <r>
    <x v="1"/>
    <s v="CASE 1 / IRIS - G01"/>
    <s v="CASE 1"/>
    <x v="6"/>
    <s v="_"/>
    <s v="_"/>
    <n v="1"/>
    <s v="CASE 1 / IRIS - G01"/>
    <s v="_"/>
    <x v="1"/>
  </r>
  <r>
    <x v="1"/>
    <s v="Delivery External Usb Hard Disk - WD Elements Portable SE 1TB USB 3.0 2.5In"/>
    <s v="Disk WDE - Delivery"/>
    <x v="4"/>
    <s v="WDBUZG0010BBK-0B"/>
    <s v="WX51AA88AXAV"/>
    <m/>
    <s v="_"/>
    <s v="_"/>
    <x v="0"/>
  </r>
  <r>
    <x v="1"/>
    <s v="VM Initial Backup - WD Elements Portable SE 2TB USB 3.0 2.5In"/>
    <s v="Disk WDE - VM Iinitial BKP"/>
    <x v="4"/>
    <s v="WDBU6Y0020BBK-0B"/>
    <s v="WXQ1EC86Y698"/>
    <m/>
    <s v="_"/>
    <s v="_"/>
    <x v="0"/>
  </r>
  <r>
    <x v="1"/>
    <s v="Deployment Workstation - DataTraveler 100 G3 - 32 Go"/>
    <s v="DT100G3/32GB"/>
    <x v="4"/>
    <s v="DT100G3/32GB"/>
    <s v="N/A"/>
    <n v="1"/>
    <s v="_"/>
    <s v="_"/>
    <x v="0"/>
  </r>
  <r>
    <x v="1"/>
    <s v="Deployment Workstation - DataTraveler 100 G3 - 32 Go"/>
    <s v="DT100G3/32GB"/>
    <x v="4"/>
    <s v="DT100G3/32GB"/>
    <s v="N/A"/>
    <n v="1"/>
    <s v="_"/>
    <s v="_"/>
    <x v="0"/>
  </r>
  <r>
    <x v="1"/>
    <s v="HP ZBOOK 17 G4"/>
    <s v="Laptop"/>
    <x v="5"/>
    <s v="Y3J81AV"/>
    <s v="2019.01.3204"/>
    <n v="1"/>
    <s v="OSINT Workstation"/>
    <s v="IRIS-MMCO-G01"/>
    <x v="0"/>
  </r>
  <r>
    <x v="1"/>
    <s v="HP 512GB 2280 M2 PCIe 3x4 DS NVME EU"/>
    <s v="HP 512GB M2"/>
    <x v="4"/>
    <s v="861960-003"/>
    <s v=""/>
    <n v="1"/>
    <s v="IRIS-MMCO-G01"/>
    <s v="_"/>
    <x v="1"/>
  </r>
  <r>
    <x v="1"/>
    <s v="HP 1TB 7200RPM SATA 6.0 Gbps 2.5 64MB"/>
    <s v="HP 1TB 7.2K"/>
    <x v="4"/>
    <s v="Y3J93AV"/>
    <s v=""/>
    <n v="1"/>
    <s v="IRIS-MMCO-G01"/>
    <s v="_"/>
    <x v="1"/>
  </r>
  <r>
    <x v="1"/>
    <s v="HP USB Business Slim Keyboard - Hungarian"/>
    <s v="Keyboard"/>
    <x v="5"/>
    <s v="803181-211"/>
    <s v="2019.01.3268"/>
    <n v="1"/>
    <s v="IRIS-MMCO-G01"/>
    <s v="_"/>
    <x v="0"/>
  </r>
  <r>
    <x v="1"/>
    <s v="HP USB Optical Mouse"/>
    <s v="Mouse"/>
    <x v="5"/>
    <s v="678652-001"/>
    <s v="N/A"/>
    <n v="1"/>
    <s v="IRIS-MMCO-G01"/>
    <s v="_"/>
    <x v="0"/>
  </r>
  <r>
    <x v="1"/>
    <s v="Thunderbolts 3 to dual DisplayPort Adapter"/>
    <s v="Thunderbolt"/>
    <x v="5"/>
    <s v="TB32DP2T"/>
    <s v="2019.01.3088"/>
    <n v="1"/>
    <s v="IRIS-MMCO-G01"/>
    <s v="_"/>
    <x v="0"/>
  </r>
  <r>
    <x v="1"/>
    <s v="HP EliteDisplay E243i"/>
    <s v="Screen"/>
    <x v="5"/>
    <s v="1FH49AT"/>
    <s v="2019.01.3529"/>
    <n v="1"/>
    <s v="IRIS-MMCO-G01"/>
    <s v="IRIS-24-SCR01-G01"/>
    <x v="0"/>
  </r>
  <r>
    <x v="1"/>
    <s v="HP EliteDisplay E243i"/>
    <s v="Screen"/>
    <x v="5"/>
    <s v="1FH49AT"/>
    <s v="2019.01.3530"/>
    <n v="1"/>
    <s v="IRIS-MMCO-G01"/>
    <s v="IRIS-24-SCR02-G01"/>
    <x v="0"/>
  </r>
  <r>
    <x v="1"/>
    <s v="OSINT Data Collection - WD Elements Portable SE 2TB USB 3.0 2.5In"/>
    <s v="Disk WDE - OSINT Data"/>
    <x v="5"/>
    <s v="WDBU6Y0020BBK-0B"/>
    <s v="2019.01.3118"/>
    <m/>
    <s v="IRIS-MMCO-G01"/>
    <s v="_"/>
    <x v="0"/>
  </r>
  <r>
    <x v="1"/>
    <s v="OSINT Data Collection - WD Elements Portable SE 2TB USB 3.0 2.5In"/>
    <s v="Disk WDE - OSINT Data"/>
    <x v="5"/>
    <s v="WDBU6Y0020BBK-0B"/>
    <s v="2019.01.3117"/>
    <m/>
    <s v="IRIS-MMCO-G01"/>
    <s v="_"/>
    <x v="0"/>
  </r>
  <r>
    <x v="1"/>
    <s v="HP ZBOOK 17 G4"/>
    <s v="Laptop"/>
    <x v="5"/>
    <s v="Y3J81AV"/>
    <s v="2019.01.3175"/>
    <n v="1"/>
    <s v="Incluses I4DEXPLORER"/>
    <s v="IRIS-OPR01-G01"/>
    <x v="0"/>
  </r>
  <r>
    <x v="1"/>
    <s v="HP 512GB 2280 M2 PCIe 3x4 DS NVME EU"/>
    <s v="HP 512GB M2"/>
    <x v="4"/>
    <s v="861960-003"/>
    <s v=""/>
    <n v="1"/>
    <s v="IRIS-OPR01-G01"/>
    <s v="_"/>
    <x v="1"/>
  </r>
  <r>
    <x v="1"/>
    <s v="HP USB Business Slim Keyboard - Hungarian"/>
    <s v="Keyboard"/>
    <x v="5"/>
    <s v="803181-211"/>
    <s v="2019.01.3239"/>
    <n v="1"/>
    <s v="IRIS-OPR01-G01"/>
    <s v="_"/>
    <x v="0"/>
  </r>
  <r>
    <x v="1"/>
    <s v="HP USB Optical Mouse"/>
    <s v="Mouse"/>
    <x v="5"/>
    <s v="678652-001"/>
    <s v="N/A"/>
    <n v="1"/>
    <s v="IRIS-OPR01-G01"/>
    <s v="_"/>
    <x v="0"/>
  </r>
  <r>
    <x v="1"/>
    <s v="USB 3.0 to Gigabit Ethernet Fiber Optic Network Adapter - 1000Base-SX SC"/>
    <s v="USB-Fiber"/>
    <x v="5"/>
    <s v="US1GA30SXSC"/>
    <s v="2019.01.3012"/>
    <n v="1"/>
    <s v="IRIS-OPR01-G01"/>
    <s v="_"/>
    <x v="0"/>
  </r>
  <r>
    <x v="1"/>
    <s v="Thunderbolts 3 to dual DisplayPort Adapter"/>
    <s v="Thunderbolt"/>
    <x v="5"/>
    <s v="TB32DP2T"/>
    <s v="2019.01.3087"/>
    <n v="1"/>
    <s v="IRIS-OPR01-G01"/>
    <s v="_"/>
    <x v="0"/>
  </r>
  <r>
    <x v="1"/>
    <s v="HP EliteDisplay E243i"/>
    <s v="Screen"/>
    <x v="5"/>
    <s v="1FH49AT"/>
    <s v="2019.01.3531"/>
    <n v="1"/>
    <s v="IRIS-OPR01-G01"/>
    <s v="IRIS-24-SCR03-G01"/>
    <x v="0"/>
  </r>
  <r>
    <x v="1"/>
    <s v="HP EliteDisplay E243i"/>
    <s v="Screen"/>
    <x v="5"/>
    <s v="1FH49AT"/>
    <s v="2019.01.3532"/>
    <n v="1"/>
    <s v="IRIS-OPR01-G01"/>
    <s v="IRIS-24-SCR04-G01"/>
    <x v="0"/>
  </r>
  <r>
    <x v="1"/>
    <s v="CASE 2 / IRIS - G01"/>
    <s v="CASE 2"/>
    <x v="6"/>
    <s v="_"/>
    <s v="_"/>
    <n v="1"/>
    <s v="CASE 2 / IRIS - G01"/>
    <s v="_"/>
    <x v="1"/>
  </r>
  <r>
    <x v="1"/>
    <s v="HP ZBOOK 17 G4"/>
    <s v="Laptop"/>
    <x v="5"/>
    <s v="Y3J81AV"/>
    <s v="2019.01.3176"/>
    <n v="1"/>
    <s v="Incluses I4DEXPLORER"/>
    <s v="IRIS-OPR02-G01"/>
    <x v="0"/>
  </r>
  <r>
    <x v="1"/>
    <s v="HP 512GB 2280 M2 PCIe 3x4 DS NVME EU"/>
    <s v="HP 512GB M2"/>
    <x v="4"/>
    <s v="861960-003"/>
    <s v=""/>
    <n v="1"/>
    <s v="IRIS-OPR02-G01"/>
    <s v="_"/>
    <x v="1"/>
  </r>
  <r>
    <x v="1"/>
    <s v="HP USB Business Slim Keyboard - Hungarian"/>
    <s v="Keyboard"/>
    <x v="5"/>
    <s v="803181-211"/>
    <s v="2019.01.3240"/>
    <n v="1"/>
    <s v="IRIS-OPR02-G01"/>
    <s v="_"/>
    <x v="0"/>
  </r>
  <r>
    <x v="1"/>
    <s v="HP USB Optical Mouse"/>
    <s v="Mouse"/>
    <x v="5"/>
    <s v="678652-001"/>
    <s v="N/A"/>
    <n v="1"/>
    <s v="IRIS-OPR02-G01"/>
    <s v="_"/>
    <x v="0"/>
  </r>
  <r>
    <x v="1"/>
    <s v="USB 3.0 to Gigabit Ethernet Fiber Optic Network Adapter - 1000Base-SX SC"/>
    <s v="USB-Fiber"/>
    <x v="5"/>
    <s v="US1GA30SXSC"/>
    <s v="2019.01.3009"/>
    <n v="1"/>
    <s v="IRIS-OPR02-G01"/>
    <s v="_"/>
    <x v="0"/>
  </r>
  <r>
    <x v="1"/>
    <s v="Thunderbolts 3 to dual DisplayPort Adapter"/>
    <s v="Thunderbolt"/>
    <x v="5"/>
    <s v="TB32DP2T"/>
    <s v="2019.01.3086"/>
    <n v="1"/>
    <s v="IRIS-OPR02-G01"/>
    <s v="_"/>
    <x v="0"/>
  </r>
  <r>
    <x v="1"/>
    <s v="HP EliteDisplay E243i"/>
    <s v="Screen"/>
    <x v="5"/>
    <s v="1FH49AT"/>
    <s v="2019.01.3533"/>
    <n v="1"/>
    <s v="IRIS-OPR02-G01"/>
    <s v="IRIS-24-SCR05-G01"/>
    <x v="0"/>
  </r>
  <r>
    <x v="1"/>
    <s v="HP EliteDisplay E243i"/>
    <s v="Screen"/>
    <x v="5"/>
    <s v="1FH49AT"/>
    <s v="2019.01.3534"/>
    <n v="1"/>
    <s v="IRIS-OPR02-G01"/>
    <s v="IRIS-24-SCR06-G01"/>
    <x v="0"/>
  </r>
  <r>
    <x v="1"/>
    <s v="HP ZBOOK 17 G4"/>
    <s v="Laptop"/>
    <x v="5"/>
    <s v="Y3J81AV"/>
    <s v="2019.01.3177"/>
    <n v="1"/>
    <s v="_"/>
    <s v="IRIS-OPR03-G01"/>
    <x v="0"/>
  </r>
  <r>
    <x v="1"/>
    <s v="HP 512GB 2280 M2 PCIe 3x4 DS NVME EU"/>
    <s v="HP 512GB M2"/>
    <x v="4"/>
    <s v="861960-003"/>
    <s v=""/>
    <n v="1"/>
    <s v="IRIS-OPR03-G01"/>
    <s v="_"/>
    <x v="1"/>
  </r>
  <r>
    <x v="1"/>
    <s v="HP USB Business Slim Keyboard - Hungarian"/>
    <s v="Keyboard"/>
    <x v="5"/>
    <s v="803181-211"/>
    <s v="2019.01.3241"/>
    <n v="1"/>
    <s v="IRIS-OPR03-G01"/>
    <s v="_"/>
    <x v="0"/>
  </r>
  <r>
    <x v="1"/>
    <s v="HP USB Optical Mouse"/>
    <s v="Mouse"/>
    <x v="5"/>
    <s v="678652-001"/>
    <s v="N/A"/>
    <n v="1"/>
    <s v="IRIS-OPR03-G01"/>
    <s v="_"/>
    <x v="0"/>
  </r>
  <r>
    <x v="1"/>
    <s v="USB 3.0 to Gigabit Ethernet Fiber Optic Network Adapter - 1000Base-SX SC"/>
    <s v="USB-Fiber"/>
    <x v="5"/>
    <s v="US1GA30SXSC"/>
    <s v="2019.01.3011"/>
    <n v="1"/>
    <s v="IRIS-OPR03-G01"/>
    <s v="_"/>
    <x v="0"/>
  </r>
  <r>
    <x v="1"/>
    <s v="Thunderbolts 3 to dual DisplayPort Adapter"/>
    <s v="Thunderbolt"/>
    <x v="5"/>
    <s v="TB32DP2T"/>
    <s v="2019.01.3085"/>
    <n v="1"/>
    <s v="IRIS-OPR03-G01"/>
    <s v="_"/>
    <x v="0"/>
  </r>
  <r>
    <x v="1"/>
    <s v="HP EliteDisplay E243i"/>
    <s v="Screen"/>
    <x v="5"/>
    <s v="1FH49AT"/>
    <s v="2019.01.3535"/>
    <n v="1"/>
    <s v="IRIS-OPR03-G01"/>
    <s v="IRIS-24-SCR07-G01"/>
    <x v="0"/>
  </r>
  <r>
    <x v="1"/>
    <s v="HP EliteDisplay E243i"/>
    <s v="Screen"/>
    <x v="5"/>
    <s v="1FH49AT"/>
    <s v="2019.01.3536"/>
    <n v="1"/>
    <s v="IRIS-OPR03-G01"/>
    <s v="IRIS-24-SCR08-G01"/>
    <x v="0"/>
  </r>
  <r>
    <x v="1"/>
    <s v="CASE 3 / IRIS - G01"/>
    <s v="CASE 3"/>
    <x v="6"/>
    <s v="_"/>
    <s v="_"/>
    <n v="1"/>
    <s v="CASE 3 / IRIS - G01"/>
    <s v="_"/>
    <x v="1"/>
  </r>
  <r>
    <x v="1"/>
    <s v="HP ZBOOK 17 G4"/>
    <s v="Laptop"/>
    <x v="5"/>
    <s v="Y3J81AV"/>
    <s v="2019.01.3178"/>
    <n v="1"/>
    <s v="_"/>
    <s v="IRIS-OPR04-G01"/>
    <x v="0"/>
  </r>
  <r>
    <x v="1"/>
    <s v="HP 512GB 2280 M2 PCIe 3x4 DS NVME EU"/>
    <s v="HP 512GB M2"/>
    <x v="4"/>
    <s v="861960-003"/>
    <s v=""/>
    <n v="1"/>
    <s v="IRIS-OPR04-G01"/>
    <s v="_"/>
    <x v="1"/>
  </r>
  <r>
    <x v="1"/>
    <s v="HP USB Business Slim Keyboard - Hungarian"/>
    <s v="Keyboard"/>
    <x v="5"/>
    <s v="803181-211"/>
    <s v="2019.01.3242"/>
    <n v="1"/>
    <s v="IRIS-OPR04-G01"/>
    <s v="_"/>
    <x v="0"/>
  </r>
  <r>
    <x v="1"/>
    <s v="HP USB Optical Mouse"/>
    <s v="Mouse"/>
    <x v="5"/>
    <s v="678652-001"/>
    <s v="N/A"/>
    <n v="1"/>
    <s v="IRIS-OPR04-G01"/>
    <s v="_"/>
    <x v="0"/>
  </r>
  <r>
    <x v="1"/>
    <s v="USB 3.0 to Gigabit Ethernet Fiber Optic Network Adapter - 1000Base-SX SC"/>
    <s v="USB-Fiber"/>
    <x v="5"/>
    <s v="US1GA30SXSC"/>
    <s v="2019.01.3010"/>
    <n v="1"/>
    <s v="IRIS-OPR04-G01"/>
    <s v="_"/>
    <x v="0"/>
  </r>
  <r>
    <x v="1"/>
    <s v="Thunderbolts 3 to dual DisplayPort Adapter"/>
    <s v="Thunderbolt"/>
    <x v="5"/>
    <s v="TB32DP2T"/>
    <s v="2019.01.3084"/>
    <n v="1"/>
    <s v="IRIS-OPR04-G01"/>
    <s v="_"/>
    <x v="0"/>
  </r>
  <r>
    <x v="1"/>
    <s v="HP EliteDisplay E243i"/>
    <s v="Screen"/>
    <x v="5"/>
    <s v="1FH49AT"/>
    <s v="2019.01.3537"/>
    <n v="1"/>
    <s v="IRIS-OPR04-G01"/>
    <s v="IRIS-24-SCR09-G01"/>
    <x v="0"/>
  </r>
  <r>
    <x v="1"/>
    <s v="HP EliteDisplay E243i"/>
    <s v="Screen"/>
    <x v="5"/>
    <s v="1FH49AT"/>
    <s v="2019.01.3538"/>
    <n v="1"/>
    <s v="IRIS-OPR04-G01"/>
    <s v="IRIS-24-SCR10-G01"/>
    <x v="0"/>
  </r>
  <r>
    <x v="1"/>
    <s v="SPARE CASE 1 / IRIS - G01"/>
    <s v="SPARE CASE 1"/>
    <x v="6"/>
    <s v="_"/>
    <s v="_"/>
    <n v="1"/>
    <s v="SPARE CASE 1 / IRIS - G01"/>
    <s v="_"/>
    <x v="1"/>
  </r>
  <r>
    <x v="1"/>
    <s v="HP ZBOOK 17 G4"/>
    <s v="Laptop"/>
    <x v="5"/>
    <s v="Y3J81AV"/>
    <s v="2019.01.3195"/>
    <n v="1"/>
    <s v="_"/>
    <s v="IRIS-MM-SPARE-G01"/>
    <x v="0"/>
  </r>
  <r>
    <x v="1"/>
    <s v="HP 512GB 2280 M2 PCIe 3x4 DS NVME EU"/>
    <s v="HP 512GB M2"/>
    <x v="4"/>
    <s v="861960-003"/>
    <s v=""/>
    <n v="1"/>
    <s v="IRIS-MM-SPARE-G01"/>
    <s v="_"/>
    <x v="1"/>
  </r>
  <r>
    <x v="1"/>
    <s v="HP 1TB 7200RPM SATA 6.0 Gbps 2.5 64MB"/>
    <s v="HP 1TB 7.2K"/>
    <x v="4"/>
    <s v="Y3J93AV"/>
    <s v=""/>
    <n v="1"/>
    <s v="IRIS-MM-SPARE-G01"/>
    <s v="_"/>
    <x v="1"/>
  </r>
  <r>
    <x v="1"/>
    <s v="HP USB Business Slim Keyboard - Hungarian"/>
    <s v="Keyboard"/>
    <x v="5"/>
    <s v="803181-211"/>
    <s v="2019.01.3259"/>
    <n v="1"/>
    <s v="IRIS-MM-SPARE-G01"/>
    <s v="_"/>
    <x v="0"/>
  </r>
  <r>
    <x v="1"/>
    <s v="HP USB Optical Mouse"/>
    <s v="Mouse"/>
    <x v="5"/>
    <s v="678652-001"/>
    <s v="N/A"/>
    <n v="1"/>
    <s v="IRIS-MM-SPARE-G01"/>
    <s v="_"/>
    <x v="0"/>
  </r>
  <r>
    <x v="1"/>
    <s v="HP EliteDisplay E243i"/>
    <s v="Screen"/>
    <x v="5"/>
    <s v="1FH49AT"/>
    <s v="2019.01.3539"/>
    <n v="1"/>
    <s v="_"/>
    <s v="IRIS-24-SPARE01-G01"/>
    <x v="0"/>
  </r>
  <r>
    <x v="1"/>
    <s v="HP EliteDisplay E243i"/>
    <s v="Screen"/>
    <x v="5"/>
    <s v="1FH49AT"/>
    <s v="2019.01.3554"/>
    <n v="1"/>
    <s v="_"/>
    <s v="IRIS-24-SPARE02-G01"/>
    <x v="0"/>
  </r>
  <r>
    <x v="1"/>
    <s v="HP ZBOOK 17 G4"/>
    <s v="Laptop"/>
    <x v="5"/>
    <s v="Y3J81AV"/>
    <s v="2019.01.3192"/>
    <n v="1"/>
    <s v="_"/>
    <s v="IRIS-SPARE01-G01"/>
    <x v="0"/>
  </r>
  <r>
    <x v="1"/>
    <s v="HP 512GB 2280 M2 PCIe 3x4 DS NVME EU"/>
    <s v="HP 512GB M2"/>
    <x v="4"/>
    <s v="861960-003"/>
    <s v=""/>
    <n v="1"/>
    <s v="IRIS-SPARE01-G01"/>
    <s v="_"/>
    <x v="1"/>
  </r>
  <r>
    <x v="1"/>
    <s v="HP USB Business Slim Keyboard - Hungarian"/>
    <s v="Keyboard"/>
    <x v="5"/>
    <s v="803181-211"/>
    <s v="2019.01.3256"/>
    <n v="1"/>
    <s v="IRIS-SPARE01-G01"/>
    <s v="_"/>
    <x v="0"/>
  </r>
  <r>
    <x v="1"/>
    <s v="HP USB Optical Mouse"/>
    <s v="Mouse"/>
    <x v="5"/>
    <s v="678652-001"/>
    <s v="N/A"/>
    <n v="1"/>
    <s v="IRIS-SPARE01-G01"/>
    <s v="_"/>
    <x v="0"/>
  </r>
  <r>
    <x v="1"/>
    <s v="HP EliteDisplay E243i"/>
    <s v="Screen"/>
    <x v="5"/>
    <s v="1FH49AT"/>
    <s v="2019.01.3555"/>
    <n v="1"/>
    <s v="_"/>
    <s v="IRIS-24-SPARE03-G01"/>
    <x v="0"/>
  </r>
  <r>
    <x v="1"/>
    <s v="HP EliteDisplay E243i"/>
    <s v="Screen"/>
    <x v="5"/>
    <s v="1FH49AT"/>
    <s v="2019.01.3556"/>
    <n v="1"/>
    <s v="_"/>
    <s v="IRIS-24-SPARE04-G01"/>
    <x v="0"/>
  </r>
  <r>
    <x v="1"/>
    <s v="USB 3.0 to Gigabit Ethernet Fiber Optic Network Adapter - 1000Base-SX SC"/>
    <s v="USB-Fiber"/>
    <x v="5"/>
    <s v="US1GA30SXSC"/>
    <s v="2019.01.3008"/>
    <n v="1"/>
    <s v="_"/>
    <s v="_"/>
    <x v="0"/>
  </r>
  <r>
    <x v="1"/>
    <s v="Thunderbolts 3 to dual DisplayPort Adapter"/>
    <s v="Thunderbolt"/>
    <x v="5"/>
    <s v="TB32DP2T"/>
    <s v="2019.01.3083"/>
    <n v="1"/>
    <s v="_"/>
    <s v="_"/>
    <x v="0"/>
  </r>
  <r>
    <x v="1"/>
    <s v="Thunderbolts 3 to dual DisplayPort Adapter"/>
    <s v="Thunderbolt"/>
    <x v="5"/>
    <s v="TB32DP2T"/>
    <s v="2019.01.3082"/>
    <n v="1"/>
    <s v="_"/>
    <s v="_"/>
    <x v="0"/>
  </r>
  <r>
    <x v="1"/>
    <s v="HARD DISK / IRIS - G01"/>
    <s v="HARD DISK"/>
    <x v="6"/>
    <s v="_"/>
    <s v="_"/>
    <n v="1"/>
    <s v="HARD DISK / IRIS - G01"/>
    <s v="_"/>
    <x v="1"/>
  </r>
  <r>
    <x v="1"/>
    <s v="Pack fan - ebmpapts 7855 ES"/>
    <s v="Fan"/>
    <x v="8"/>
    <s v="W2S130-AA03-01"/>
    <s v="N/A"/>
    <n v="1"/>
    <s v="_"/>
    <s v="IRIS-FAN-SPARE-G01"/>
    <x v="0"/>
  </r>
  <r>
    <x v="1"/>
    <s v="SDC4/8GB - 8GB microSDHC (Class 4)"/>
    <s v="SDC4/8GB"/>
    <x v="4"/>
    <s v="SDC4/8GBSP - 8GB2 microSDHC (Class 4)"/>
    <s v="N/A"/>
    <n v="1"/>
    <s v="_"/>
    <s v="IRIS-8GB-SPARE-G01"/>
    <x v="0"/>
  </r>
  <r>
    <x v="1"/>
    <s v="HPE 400GB SAS 12G MU SFF SC DS 550"/>
    <s v="Disk"/>
    <x v="0"/>
    <s v="P09088-B21"/>
    <s v="5C3905J06A"/>
    <n v="1"/>
    <s v="_"/>
    <s v="IRIS-400GB-SPARE-G01"/>
    <x v="0"/>
  </r>
  <r>
    <x v="1"/>
    <s v="HP 512GB 2280 M2 PCIe 3x4 DS NVME EU"/>
    <s v="HP 512GB M2"/>
    <x v="4"/>
    <s v="861960-003"/>
    <s v="S34CNX0K821354"/>
    <n v="1"/>
    <s v="_"/>
    <s v="IRIS-512GB-SPARE01-G01"/>
    <x v="0"/>
  </r>
  <r>
    <x v="1"/>
    <s v="HPE MSA 10TB 12G SAS 7.2K LFF 512e HDD"/>
    <s v="Disk"/>
    <x v="4"/>
    <s v="P9M82A"/>
    <s v="JEHGK52N"/>
    <n v="1"/>
    <s v="_"/>
    <s v="IRIS-10TB-SPARE01-G01"/>
    <x v="0"/>
  </r>
  <r>
    <x v="1"/>
    <s v="HPE MSA 10TB 12G SAS 7.2K LFF 512e HDD"/>
    <s v="Disk"/>
    <x v="4"/>
    <s v="P9M82A"/>
    <s v="JEHGEUPN"/>
    <n v="1"/>
    <s v="_"/>
    <s v="IRIS-10TB-SPARE02-G01"/>
    <x v="0"/>
  </r>
  <r>
    <x v="1"/>
    <s v="10GBASE-SR SFP MODULE"/>
    <s v="SFP module"/>
    <x v="7"/>
    <s v="SFP-10G-SR-S"/>
    <s v="AVD2305D9J1"/>
    <n v="1"/>
    <s v="_"/>
    <s v="IRIS-10GB-SR-SPARE01-G01"/>
    <x v="0"/>
  </r>
  <r>
    <x v="1"/>
    <s v="10GBASE-SR SFP MODULE"/>
    <s v="SFP module"/>
    <x v="7"/>
    <s v="SFP-10G-SR-S"/>
    <s v="AVD2305D9KL"/>
    <n v="1"/>
    <s v="_"/>
    <s v="IRIS-10GB-SR-SPARE02-G01"/>
    <x v="0"/>
  </r>
  <r>
    <x v="1"/>
    <s v="1000BASE-SX SFP TRANSCEIVER MODULE"/>
    <s v="SFP module"/>
    <x v="7"/>
    <s v="GLC-SX-MMD"/>
    <s v="ACW230503YN"/>
    <n v="1"/>
    <s v="_"/>
    <s v="IRIS-1GB-SX-SPARE01-G01"/>
    <x v="0"/>
  </r>
  <r>
    <x v="1"/>
    <s v="1000BASE-SX SFP TRANSCEIVER MODULE"/>
    <s v="SFP module"/>
    <x v="7"/>
    <s v="GLC-SX-MMD"/>
    <s v="ACW230503Y3"/>
    <n v="1"/>
    <s v="_"/>
    <s v="IRIS-1GB-SX-SPARE02-G01"/>
    <x v="0"/>
  </r>
  <r>
    <x v="1"/>
    <s v="1000BASE-T SFP TRANSCEIVER MODULE FOR CATEGORY 5 COPPER WIRE"/>
    <s v="SFP module"/>
    <x v="7"/>
    <s v="GLC-TE"/>
    <s v="SMTC22380CAN"/>
    <n v="1"/>
    <s v="_"/>
    <s v="IRIS-1GB-T-SPARE-G01"/>
    <x v="0"/>
  </r>
  <r>
    <x v="2"/>
    <s v="NETWORK TRANSPORT CASE"/>
    <s v="TRANSPORT CASE"/>
    <x v="6"/>
    <s v="_"/>
    <s v="_"/>
    <n v="1"/>
    <s v="NETWORK TRANSPORT CASE"/>
    <s v="_"/>
    <x v="1"/>
  </r>
  <r>
    <x v="2"/>
    <s v="HPE DL360 Gen10 8SFF CTO Server"/>
    <s v="Server"/>
    <x v="0"/>
    <s v="867959-B21"/>
    <s v="CZJ91702JF"/>
    <n v="1"/>
    <s v="NETWORK TRANSPORT CASE"/>
    <s v="IRIS-SRV1-H01"/>
    <x v="0"/>
  </r>
  <r>
    <x v="2"/>
    <s v="HPE BLc 10G SFP+ SR Transceiver"/>
    <s v="SFP module"/>
    <x v="0"/>
    <s v="455883-B21"/>
    <s v="7CR83941YJ"/>
    <n v="1"/>
    <s v="_"/>
    <s v="_"/>
    <x v="0"/>
  </r>
  <r>
    <x v="2"/>
    <s v="HPE BLc 10G SFP+ SR Transceiver"/>
    <s v="SFP module"/>
    <x v="0"/>
    <s v="455883-B21"/>
    <s v="7CR83941Y4"/>
    <n v="1"/>
    <s v="_"/>
    <s v="_"/>
    <x v="0"/>
  </r>
  <r>
    <x v="2"/>
    <s v="HPE 16G SFP+ SW XCVR-C"/>
    <s v="SFP module"/>
    <x v="0"/>
    <s v="E7Y10-63001"/>
    <s v="MY891119TZ"/>
    <n v="1"/>
    <s v="_"/>
    <s v="_"/>
    <x v="0"/>
  </r>
  <r>
    <x v="2"/>
    <s v="HPE 16G SFP+ SW XCVR-C"/>
    <s v="SFP module"/>
    <x v="0"/>
    <s v="E7Y10-63001"/>
    <s v="MY891119TE"/>
    <n v="1"/>
    <s v="_"/>
    <s v="_"/>
    <x v="0"/>
  </r>
  <r>
    <x v="2"/>
    <s v="HPE DL360 Gen10 8SFF CTO Server"/>
    <s v="Server"/>
    <x v="0"/>
    <s v="867959-B21"/>
    <s v="CZJ91702K8"/>
    <n v="1"/>
    <s v="NETWORK TRANSPORT CASE"/>
    <s v="IRIS-SRV2-H01"/>
    <x v="0"/>
  </r>
  <r>
    <x v="2"/>
    <s v="HPE BLc 10G SFP+ SR Transceiver"/>
    <s v="SFP module"/>
    <x v="0"/>
    <s v="455883-B21"/>
    <s v="7CR839437B"/>
    <n v="1"/>
    <s v="_"/>
    <s v="_"/>
    <x v="0"/>
  </r>
  <r>
    <x v="2"/>
    <s v="HPE BLc 10G SFP+ SR Transceiver"/>
    <s v="SFP module"/>
    <x v="0"/>
    <s v="455883-B21"/>
    <s v="7CR839438K"/>
    <n v="1"/>
    <s v="_"/>
    <s v="_"/>
    <x v="0"/>
  </r>
  <r>
    <x v="2"/>
    <s v="HPE 16G SFP+ SW XCVR-C"/>
    <s v="SFP module"/>
    <x v="0"/>
    <s v="E7Y10-63001"/>
    <s v="MY891119US"/>
    <n v="1"/>
    <s v="_"/>
    <s v="_"/>
    <x v="0"/>
  </r>
  <r>
    <x v="2"/>
    <s v="HPE 16G SFP+ SW XCVR-C"/>
    <s v="SFP module"/>
    <x v="0"/>
    <s v="E7Y10-63001"/>
    <s v="MY891119TY"/>
    <n v="1"/>
    <s v="_"/>
    <s v="_"/>
    <x v="0"/>
  </r>
  <r>
    <x v="2"/>
    <s v="CATALYST 3850 24 PORT 10G FIBER SWITCH BASE"/>
    <s v="Switch"/>
    <x v="1"/>
    <s v="WS-C3850-24XS-S"/>
    <s v="FCW2302D17P"/>
    <n v="1"/>
    <s v="NETWORK TRANSPORT CASE"/>
    <s v="IRIS-SW1-H01"/>
    <x v="0"/>
  </r>
  <r>
    <x v="2"/>
    <s v="10GBASE-SR SFP MODULE"/>
    <s v="SFP module"/>
    <x v="1"/>
    <s v="SFP-10G-SR-S"/>
    <s v="AVD2305D021"/>
    <n v="1"/>
    <s v="_"/>
    <s v="_"/>
    <x v="0"/>
  </r>
  <r>
    <x v="2"/>
    <s v="10GBASE-SR SFP MODULE"/>
    <s v="SFP module"/>
    <x v="1"/>
    <s v="SFP-10G-SR-S"/>
    <s v="AVD2305D02W"/>
    <n v="1"/>
    <s v="_"/>
    <s v="_"/>
    <x v="0"/>
  </r>
  <r>
    <x v="2"/>
    <s v="10GBASE-SR SFP MODULE"/>
    <s v="SFP module"/>
    <x v="1"/>
    <s v="SFP-10G-SR-S"/>
    <s v="AVD2305D02G"/>
    <n v="1"/>
    <s v="_"/>
    <s v="_"/>
    <x v="0"/>
  </r>
  <r>
    <x v="2"/>
    <s v="10GBASE-SR SFP MODULE"/>
    <s v="SFP module"/>
    <x v="1"/>
    <s v="SFP-10G-SR-S"/>
    <s v="AVD2305D024"/>
    <n v="1"/>
    <s v="_"/>
    <s v="_"/>
    <x v="0"/>
  </r>
  <r>
    <x v="2"/>
    <s v="10GBASE-SR SFP MODULE"/>
    <s v="SFP module"/>
    <x v="1"/>
    <s v="SFP-10G-SR-S"/>
    <s v="AVD2305D02F"/>
    <n v="1"/>
    <s v="_"/>
    <s v="_"/>
    <x v="0"/>
  </r>
  <r>
    <x v="2"/>
    <s v="1000BASE-SX SFP TRANSCEIVER MODULE"/>
    <s v="SFP module"/>
    <x v="1"/>
    <s v="GLC-SX-MMD"/>
    <s v="ACW230416A4"/>
    <n v="1"/>
    <s v="_"/>
    <s v="_"/>
    <x v="0"/>
  </r>
  <r>
    <x v="2"/>
    <s v="1000BASE-SX SFP TRANSCEIVER MODULE"/>
    <s v="SFP module"/>
    <x v="1"/>
    <s v="GLC-SX-MMD"/>
    <s v="ACW23041688"/>
    <n v="1"/>
    <s v="_"/>
    <s v="_"/>
    <x v="0"/>
  </r>
  <r>
    <x v="2"/>
    <s v="1000BASE-SX SFP TRANSCEIVER MODULE"/>
    <s v="SFP module"/>
    <x v="1"/>
    <s v="GLC-SX-MMD"/>
    <s v="ACW230415P3"/>
    <n v="1"/>
    <s v="_"/>
    <s v="_"/>
    <x v="0"/>
  </r>
  <r>
    <x v="2"/>
    <s v="1000BASE-SX SFP TRANSCEIVER MODULE"/>
    <s v="SFP module"/>
    <x v="1"/>
    <s v="GLC-SX-MMD"/>
    <s v="ACW23040ZAX"/>
    <n v="1"/>
    <s v="_"/>
    <s v="_"/>
    <x v="0"/>
  </r>
  <r>
    <x v="2"/>
    <s v="1000BASE-T SFP TRANSCEIVER MODULE FOR CATEGORY 5 COPPER WIRE"/>
    <s v="SFP module"/>
    <x v="1"/>
    <s v="GLC-TE"/>
    <s v="AVC230721FT"/>
    <n v="1"/>
    <s v="_"/>
    <s v="_"/>
    <x v="0"/>
  </r>
  <r>
    <x v="2"/>
    <s v="1000BASE-T SFP TRANSCEIVER MODULE FOR CATEGORY 5 COPPER WIRE"/>
    <s v="SFP module"/>
    <x v="1"/>
    <s v="GLC-TE"/>
    <s v="AVC230720US"/>
    <n v="1"/>
    <s v="_"/>
    <s v="_"/>
    <x v="0"/>
  </r>
  <r>
    <x v="2"/>
    <s v="1000BASE-T SFP TRANSCEIVER MODULE FOR CATEGORY 5 COPPER WIRE"/>
    <s v="SFP module"/>
    <x v="1"/>
    <s v="GLC-TE"/>
    <s v="AVC230721FF"/>
    <n v="1"/>
    <s v="_"/>
    <s v="_"/>
    <x v="0"/>
  </r>
  <r>
    <x v="2"/>
    <s v="1000BASE-T SFP TRANSCEIVER MODULE FOR CATEGORY 5 COPPER WIRE"/>
    <s v="SFP module"/>
    <x v="1"/>
    <s v="GLC-TE"/>
    <s v="AVC230720UX"/>
    <n v="1"/>
    <s v="_"/>
    <s v="_"/>
    <x v="0"/>
  </r>
  <r>
    <x v="2"/>
    <s v="CATALYST 3850 24 PORT 10G FIBER SWITCH BASE"/>
    <s v="Switch"/>
    <x v="1"/>
    <s v="WS-C3850-24XS-S"/>
    <s v="FCW2308D140"/>
    <n v="1"/>
    <s v="NETWORK TRANSPORT CASE"/>
    <s v="IRIS-SW2-H01"/>
    <x v="0"/>
  </r>
  <r>
    <x v="2"/>
    <s v="10GBASE-SR SFP MODULE"/>
    <s v="SFP module"/>
    <x v="1"/>
    <s v="SFP-10G-SR-S"/>
    <s v="AVD2305D7F1"/>
    <n v="1"/>
    <s v="_"/>
    <s v="_"/>
    <x v="0"/>
  </r>
  <r>
    <x v="2"/>
    <s v="10GBASE-SR SFP MODULE"/>
    <s v="SFP module"/>
    <x v="1"/>
    <s v="SFP-10G-SR-S"/>
    <s v="AVD2305D7FN"/>
    <n v="1"/>
    <s v="_"/>
    <s v="_"/>
    <x v="0"/>
  </r>
  <r>
    <x v="2"/>
    <s v="10GBASE-SR SFP MODULE"/>
    <s v="SFP module"/>
    <x v="1"/>
    <s v="SFP-10G-SR-S"/>
    <s v="AVD2305D7GM"/>
    <n v="1"/>
    <s v="_"/>
    <s v="_"/>
    <x v="0"/>
  </r>
  <r>
    <x v="2"/>
    <s v="10GBASE-SR SFP MODULE"/>
    <s v="SFP module"/>
    <x v="1"/>
    <s v="SFP-10G-SR-S"/>
    <s v="AVD2305D7FU"/>
    <n v="1"/>
    <s v="_"/>
    <s v="_"/>
    <x v="0"/>
  </r>
  <r>
    <x v="2"/>
    <s v="10GBASE-SR SFP MODULE"/>
    <s v="SFP module"/>
    <x v="1"/>
    <s v="SFP-10G-SR-S"/>
    <s v="AVD2305D7FX"/>
    <n v="1"/>
    <s v="_"/>
    <s v="_"/>
    <x v="0"/>
  </r>
  <r>
    <x v="2"/>
    <s v="1000BASE-SX SFP TRANSCEIVER MODULE"/>
    <s v="SFP module"/>
    <x v="1"/>
    <s v="GLC-SX-MMD"/>
    <s v="ACW23040YZL"/>
    <n v="1"/>
    <s v="_"/>
    <s v="_"/>
    <x v="0"/>
  </r>
  <r>
    <x v="2"/>
    <s v="1000BASE-SX SFP TRANSCEIVER MODULE"/>
    <s v="SFP module"/>
    <x v="1"/>
    <s v="GLC-SX-MMD"/>
    <s v="ACW23040ZDE"/>
    <n v="1"/>
    <s v="_"/>
    <s v="_"/>
    <x v="0"/>
  </r>
  <r>
    <x v="2"/>
    <s v="1000BASE-SX SFP TRANSCEIVER MODULE"/>
    <s v="SFP module"/>
    <x v="1"/>
    <s v="GLC-SX-MMD"/>
    <s v="ACW23040YRQ"/>
    <n v="1"/>
    <s v="_"/>
    <s v="_"/>
    <x v="0"/>
  </r>
  <r>
    <x v="2"/>
    <s v="1000BASE-SX SFP TRANSCEIVER MODULE"/>
    <s v="SFP module"/>
    <x v="1"/>
    <s v="GLC-SX-MMD"/>
    <s v="ACW23040ZBS"/>
    <n v="1"/>
    <s v="_"/>
    <s v="_"/>
    <x v="0"/>
  </r>
  <r>
    <x v="2"/>
    <s v="1000BASE-T SFP TRANSCEIVER MODULE FOR CATEGORY 5 COPPER WIRE"/>
    <s v="SFP module"/>
    <x v="1"/>
    <s v="GLC-TE"/>
    <s v="AVC230721FL"/>
    <n v="1"/>
    <s v="_"/>
    <s v="_"/>
    <x v="0"/>
  </r>
  <r>
    <x v="2"/>
    <s v="1000BASE-T SFP TRANSCEIVER MODULE FOR CATEGORY 5 COPPER WIRE"/>
    <s v="SFP module"/>
    <x v="1"/>
    <s v="GLC-TE"/>
    <s v="AVC230721FG"/>
    <n v="1"/>
    <s v="_"/>
    <s v="_"/>
    <x v="0"/>
  </r>
  <r>
    <x v="2"/>
    <s v="1000BASE-T SFP TRANSCEIVER MODULE FOR CATEGORY 5 COPPER WIRE"/>
    <s v="SFP module"/>
    <x v="1"/>
    <s v="GLC-TE"/>
    <s v="AVC230721F6"/>
    <n v="1"/>
    <s v="_"/>
    <s v="_"/>
    <x v="0"/>
  </r>
  <r>
    <x v="2"/>
    <s v="1000BASE-T SFP TRANSCEIVER MODULE FOR CATEGORY 5 COPPER WIRE"/>
    <s v="SFP module"/>
    <x v="1"/>
    <s v="GLC-TE"/>
    <s v="AVC230721FH"/>
    <n v="1"/>
    <s v="_"/>
    <s v="_"/>
    <x v="0"/>
  </r>
  <r>
    <x v="2"/>
    <s v="SERVER TRANSPORT CASE"/>
    <s v="TRANSPORT CASE"/>
    <x v="6"/>
    <s v="_"/>
    <s v="_"/>
    <n v="1"/>
    <s v="SERVER TRANSPORT CASE"/>
    <s v="_"/>
    <x v="1"/>
  </r>
  <r>
    <x v="2"/>
    <s v="HPE DL360 Gen10 8SFF CTO Server"/>
    <s v="Server"/>
    <x v="0"/>
    <s v="867959-B21"/>
    <s v="CZJ91702JD"/>
    <n v="1"/>
    <s v="SERVER TRANSPORT CASE"/>
    <s v="IRIS-SRV3-H01"/>
    <x v="0"/>
  </r>
  <r>
    <x v="2"/>
    <s v="HPE BLc 10G SFP+ SR Transceiver"/>
    <s v="SFP module"/>
    <x v="0"/>
    <s v="455883-B21"/>
    <s v="7CR83941Y7"/>
    <n v="1"/>
    <s v="_"/>
    <s v="_"/>
    <x v="0"/>
  </r>
  <r>
    <x v="2"/>
    <s v="HPE BLc 10G SFP+ SR Transceiver"/>
    <s v="SFP module"/>
    <x v="0"/>
    <s v="455883-B21"/>
    <s v="7CR83941YB"/>
    <n v="1"/>
    <s v="_"/>
    <s v="_"/>
    <x v="0"/>
  </r>
  <r>
    <x v="2"/>
    <s v="HPE 16G SFP+ SW XCVR-C"/>
    <s v="SFP module"/>
    <x v="0"/>
    <s v="E7Y10-63001"/>
    <s v="MY8911124Z"/>
    <n v="1"/>
    <s v="_"/>
    <s v="_"/>
    <x v="0"/>
  </r>
  <r>
    <x v="2"/>
    <s v="HPE 16G SFP+ SW XCVR-C"/>
    <s v="SFP module"/>
    <x v="0"/>
    <s v="E7Y10-63001"/>
    <s v="MY89111202"/>
    <n v="1"/>
    <s v="_"/>
    <s v="_"/>
    <x v="0"/>
  </r>
  <r>
    <x v="2"/>
    <s v="HPE DL360 Gen10 8SFF CTO Server"/>
    <s v="Server"/>
    <x v="0"/>
    <s v="867959-B21"/>
    <s v="CZJ91702JL"/>
    <n v="1"/>
    <s v="SERVER TRANSPORT CASE"/>
    <s v="IRIS-SRV4-H01"/>
    <x v="0"/>
  </r>
  <r>
    <x v="2"/>
    <s v="HPE BLc 10G SFP+ SR Transceiver"/>
    <s v="SFP module"/>
    <x v="0"/>
    <s v="455883-B21"/>
    <s v="7CR839436Y"/>
    <n v="1"/>
    <s v="_"/>
    <s v="_"/>
    <x v="0"/>
  </r>
  <r>
    <x v="2"/>
    <s v="HPE BLc 10G SFP+ SR Transceiver"/>
    <s v="SFP module"/>
    <x v="0"/>
    <s v="455883-B21"/>
    <s v="7CR839437E"/>
    <n v="1"/>
    <s v="_"/>
    <s v="_"/>
    <x v="0"/>
  </r>
  <r>
    <x v="2"/>
    <s v="HPE 16G SFP+ SW XCVR-C"/>
    <s v="SFP module"/>
    <x v="0"/>
    <s v="E7Y10-63001"/>
    <s v="MY891119TP"/>
    <n v="1"/>
    <s v="_"/>
    <s v="_"/>
    <x v="0"/>
  </r>
  <r>
    <x v="2"/>
    <s v="HPE 16G SFP+ SW XCVR-C"/>
    <s v="SFP module"/>
    <x v="0"/>
    <s v="E7Y10-63001"/>
    <s v="MY891117TJ"/>
    <n v="1"/>
    <s v="_"/>
    <s v="_"/>
    <x v="0"/>
  </r>
  <r>
    <x v="2"/>
    <s v="HPE 400GB SAS 12G MU SFF SC DS 550"/>
    <s v="Disk"/>
    <x v="0"/>
    <s v="P09088-B21"/>
    <s v="5C3905J06B"/>
    <n v="1"/>
    <s v="IRIS-SRV4-H01-01"/>
    <s v="_"/>
    <x v="0"/>
  </r>
  <r>
    <x v="2"/>
    <s v="HPE 400GB SAS 12G MU SFF SC DS 550"/>
    <s v="Disk"/>
    <x v="0"/>
    <s v="P09088-B21"/>
    <s v="5C3904J047"/>
    <n v="1"/>
    <s v="IRIS-SRV4-H01-02"/>
    <s v="_"/>
    <x v="0"/>
  </r>
  <r>
    <x v="2"/>
    <s v="HPE MSA 2050 SAN DC LFF Storage"/>
    <s v="MSA SAN"/>
    <x v="0"/>
    <s v="Q1J00A"/>
    <s v="2S6910B080"/>
    <n v="1"/>
    <s v="SERVER TRANSPORT CASE"/>
    <s v="IRIS-MSA-H01"/>
    <x v="0"/>
  </r>
  <r>
    <x v="2"/>
    <s v="MSA 2050 SAN dual controller"/>
    <s v="MSA SAN"/>
    <x v="0"/>
    <s v="876127-001"/>
    <s v="7CE903M566"/>
    <n v="1"/>
    <s v="_"/>
    <s v="_"/>
    <x v="0"/>
  </r>
  <r>
    <x v="2"/>
    <s v="MSA 2050 SAN dual controller"/>
    <s v="MSA SAN"/>
    <x v="0"/>
    <s v="876127-001"/>
    <s v="7CE901M976"/>
    <n v="1"/>
    <s v="_"/>
    <s v="_"/>
    <x v="0"/>
  </r>
  <r>
    <x v="2"/>
    <s v="HPE MSA 10TB 12G SAS 7.2K LFF 512e HDD"/>
    <s v="Disk"/>
    <x v="0"/>
    <s v="P9M82A"/>
    <s v="THH917Z0DR"/>
    <n v="1"/>
    <s v="IRIS-MSA-H01-01"/>
    <s v="_"/>
    <x v="0"/>
  </r>
  <r>
    <x v="2"/>
    <s v="HPE MSA 10TB 12G SAS 7.2K LFF 512e HDD"/>
    <s v="Disk"/>
    <x v="0"/>
    <s v="P9M82A"/>
    <s v="THH917Z0DS"/>
    <n v="1"/>
    <s v="IRIS-MSA-H01-02"/>
    <s v="_"/>
    <x v="0"/>
  </r>
  <r>
    <x v="2"/>
    <s v="HPE MSA 10TB 12G SAS 7.2K LFF 512e HDD"/>
    <s v="Disk"/>
    <x v="0"/>
    <s v="P9M82A"/>
    <s v="THH917Z0DT"/>
    <n v="1"/>
    <s v="IRIS-MSA-H01-03"/>
    <s v="_"/>
    <x v="0"/>
  </r>
  <r>
    <x v="2"/>
    <s v="HPE MSA 10TB 12G SAS 7.2K LFF 512e HDD"/>
    <s v="Disk"/>
    <x v="0"/>
    <s v="P9M82A"/>
    <s v="THH914Z076"/>
    <n v="1"/>
    <s v="IRIS-MSA-H01-04"/>
    <s v="_"/>
    <x v="0"/>
  </r>
  <r>
    <x v="2"/>
    <s v="HPE MSA 10TB 12G SAS 7.2K LFF 512e HDD"/>
    <s v="Disk"/>
    <x v="0"/>
    <s v="P9M82A"/>
    <s v="THH914Z07J"/>
    <n v="1"/>
    <s v="IRIS-MSA-H01-05"/>
    <s v="_"/>
    <x v="0"/>
  </r>
  <r>
    <x v="2"/>
    <s v="HPE MSA 10TB 12G SAS 7.2K LFF 512e HDD"/>
    <s v="Disk"/>
    <x v="0"/>
    <s v="P9M82A"/>
    <s v="THH917Z0DP"/>
    <n v="1"/>
    <s v="IRIS-MSA-H01-06"/>
    <s v="_"/>
    <x v="0"/>
  </r>
  <r>
    <x v="2"/>
    <s v="HPE MSA 10TB 12G SAS 7.2K LFF 512e HDD"/>
    <s v="Disk"/>
    <x v="0"/>
    <s v="P9M82A"/>
    <s v="THH914Z07L"/>
    <n v="1"/>
    <s v="IRIS-MSA-H01-07"/>
    <s v="_"/>
    <x v="0"/>
  </r>
  <r>
    <x v="2"/>
    <s v="HPE MSA 10TB 12G SAS 7.2K LFF 512e HDD"/>
    <s v="Disk"/>
    <x v="0"/>
    <s v="P9M82A"/>
    <s v="THH914Z07C"/>
    <n v="1"/>
    <s v="IRIS-MSA-H01-08"/>
    <s v="_"/>
    <x v="0"/>
  </r>
  <r>
    <x v="2"/>
    <s v="HPE MSA 10TB 12G SAS 7.2K LFF 512e HDD"/>
    <s v="Disk"/>
    <x v="0"/>
    <s v="P9M82A"/>
    <s v="THH914Z07D"/>
    <n v="1"/>
    <s v="IRIS-MSA-H01-09"/>
    <s v="_"/>
    <x v="0"/>
  </r>
  <r>
    <x v="2"/>
    <s v="HPE MSA 10TB 12G SAS 7.2K LFF 512e HDD"/>
    <s v="Disk"/>
    <x v="0"/>
    <s v="P9M82A"/>
    <s v="THH914Z07K"/>
    <n v="1"/>
    <s v="IRIS-MSA-H01-10"/>
    <s v="_"/>
    <x v="0"/>
  </r>
  <r>
    <x v="2"/>
    <s v="HPE MSA 10TB 12G SAS 7.2K LFF 512e HDD"/>
    <s v="Disk"/>
    <x v="0"/>
    <s v="P9M82A"/>
    <s v="THH914Z084"/>
    <n v="1"/>
    <s v="IRIS-MSA-H01-11"/>
    <s v="_"/>
    <x v="0"/>
  </r>
  <r>
    <x v="2"/>
    <s v="HPE MSA 10TB 12G SAS 7.2K LFF 512e HDD"/>
    <s v="Disk"/>
    <x v="0"/>
    <s v="P9M82A"/>
    <s v="THH914Z085"/>
    <n v="1"/>
    <s v="IRIS-MSA-H01-12"/>
    <s v="_"/>
    <x v="0"/>
  </r>
  <r>
    <x v="2"/>
    <s v="HPE MSA 16GB SW FC SFP"/>
    <s v="SFP module"/>
    <x v="0"/>
    <s v="720999-002"/>
    <s v="MY8905111S"/>
    <n v="1"/>
    <s v="_"/>
    <s v="_"/>
    <x v="0"/>
  </r>
  <r>
    <x v="2"/>
    <s v="HPE MSA 16GB SW FC SFP"/>
    <s v="SFP module"/>
    <x v="0"/>
    <s v="720999-002"/>
    <s v="MY890511ZR"/>
    <n v="1"/>
    <s v="_"/>
    <s v="_"/>
    <x v="0"/>
  </r>
  <r>
    <x v="2"/>
    <s v="HPE MSA 16GB SW FC SFP"/>
    <s v="SFP module"/>
    <x v="0"/>
    <s v="720999-002"/>
    <s v="MY890511Q8"/>
    <n v="1"/>
    <s v="_"/>
    <s v="_"/>
    <x v="0"/>
  </r>
  <r>
    <x v="2"/>
    <s v="HPE MSA 16GB SW FC SFP"/>
    <s v="SFP module"/>
    <x v="0"/>
    <s v="720999-002"/>
    <s v="MY890511QU"/>
    <n v="1"/>
    <s v="_"/>
    <s v="_"/>
    <x v="0"/>
  </r>
  <r>
    <x v="2"/>
    <s v="HPE MSA 16GB SW FC SFP"/>
    <s v="SFP module"/>
    <x v="0"/>
    <s v="720999-002"/>
    <s v="MY890511WN"/>
    <n v="1"/>
    <s v="_"/>
    <s v="_"/>
    <x v="0"/>
  </r>
  <r>
    <x v="2"/>
    <s v="HPE MSA 16GB SW FC SFP"/>
    <s v="SFP module"/>
    <x v="0"/>
    <s v="720999-002"/>
    <s v="MY89051120"/>
    <n v="1"/>
    <s v="_"/>
    <s v="_"/>
    <x v="0"/>
  </r>
  <r>
    <x v="2"/>
    <s v="HPE MSA 16GB SW FC SFP"/>
    <s v="SFP module"/>
    <x v="0"/>
    <s v="720999-002"/>
    <s v="MY890511PP"/>
    <n v="1"/>
    <s v="_"/>
    <s v="_"/>
    <x v="0"/>
  </r>
  <r>
    <x v="2"/>
    <s v="HPE MSA 16GB SW FC SFP"/>
    <s v="SFP module"/>
    <x v="0"/>
    <s v="720999-002"/>
    <s v="MY890511QP"/>
    <n v="1"/>
    <s v="_"/>
    <s v="_"/>
    <x v="0"/>
  </r>
  <r>
    <x v="2"/>
    <s v="POWER TRANSPORT CASE"/>
    <s v="TRANSPORT CASE"/>
    <x v="6"/>
    <s v="_"/>
    <s v="_"/>
    <n v="1"/>
    <s v="POWER TRANSPORT CASE"/>
    <s v="_"/>
    <x v="1"/>
  </r>
  <r>
    <x v="2"/>
    <s v="NTP TIME SERVER WITH OCXO"/>
    <s v="NTP Server"/>
    <x v="2"/>
    <s v="T101R-10us-AC-I/O-OCXOMR"/>
    <s v="0814289"/>
    <n v="1"/>
    <s v="POWER TRANSPORT CASE"/>
    <s v="IRIS-NTP-H01"/>
    <x v="0"/>
  </r>
  <r>
    <x v="2"/>
    <s v="HPE R5000 3U IECSO9-32A HV INTL UPS"/>
    <s v="UPS"/>
    <x v="0"/>
    <s v="AF461A"/>
    <s v="ACC8371120"/>
    <n v="1"/>
    <s v="POWER TRANSPORT CASE"/>
    <s v="IRIS-UPS-H01"/>
    <x v="0"/>
  </r>
  <r>
    <x v="2"/>
    <s v="CASE 1 / IRIS - H01"/>
    <s v="CASE 1"/>
    <x v="6"/>
    <s v="_"/>
    <s v="_"/>
    <n v="1"/>
    <s v="CASE 1 / IRIS - H01"/>
    <s v="_"/>
    <x v="1"/>
  </r>
  <r>
    <x v="2"/>
    <s v="Delivery External Usb Hard Disk - WD Elements Portable SE 1TB USB 3.0 2.5In"/>
    <s v="Disk WDE - Delivery"/>
    <x v="4"/>
    <s v="WDBUZG0010BBK-0B"/>
    <s v="WXV1A881SUX1"/>
    <m/>
    <s v="_"/>
    <s v="_"/>
    <x v="0"/>
  </r>
  <r>
    <x v="2"/>
    <s v="VM Initial Backup - WD Elements Portable SE 2TB USB 3.0 2.5In"/>
    <s v="Disk WDE - VM Iinitial BKP"/>
    <x v="4"/>
    <s v="WDBU6Y0020BBK-0B"/>
    <s v="WXR1EA8AN4DA"/>
    <m/>
    <s v="_"/>
    <s v="_"/>
    <x v="0"/>
  </r>
  <r>
    <x v="2"/>
    <s v="Deployment Workstation - DataTraveler 100 G3 - 32 Go"/>
    <s v="DT100G3/32GB"/>
    <x v="4"/>
    <s v="DT100G3/32GB"/>
    <s v="N/A"/>
    <n v="1"/>
    <s v="_"/>
    <s v="_"/>
    <x v="0"/>
  </r>
  <r>
    <x v="2"/>
    <s v="Deployment Workstation - DataTraveler 100 G3 - 32 Go"/>
    <s v="DT100G3/32GB"/>
    <x v="4"/>
    <s v="DT100G3/32GB"/>
    <s v="N/A"/>
    <n v="1"/>
    <s v="_"/>
    <s v="_"/>
    <x v="0"/>
  </r>
  <r>
    <x v="2"/>
    <s v="HP ZBOOK 17 G4"/>
    <s v="Laptop"/>
    <x v="5"/>
    <s v="Y3J81AV"/>
    <s v="2019.05.17095"/>
    <n v="1"/>
    <s v="OSINT Workstation"/>
    <s v="IRIS-MMCO1-H01"/>
    <x v="0"/>
  </r>
  <r>
    <x v="2"/>
    <s v="HP 512GB 2280 M2 PCIe 3x4 DS NVME EU"/>
    <s v="HP 512GB M2"/>
    <x v="4"/>
    <s v="861960-003"/>
    <s v=""/>
    <n v="1"/>
    <s v="IRIS-MMCO1-H01"/>
    <s v="_"/>
    <x v="1"/>
  </r>
  <r>
    <x v="2"/>
    <s v="HP 1TB 7200RPM SATA 6.0 Gbps 2.5 64MB"/>
    <s v="HP 1TB 7.2K"/>
    <x v="4"/>
    <s v="Y3J93AV"/>
    <s v=""/>
    <n v="1"/>
    <s v="IRIS-MMCO1-H01"/>
    <s v="_"/>
    <x v="1"/>
  </r>
  <r>
    <x v="2"/>
    <s v="HP USB Business Slim Keyboard - Hungarian"/>
    <s v="Keyboard"/>
    <x v="5"/>
    <s v="803181-211"/>
    <s v="2019.05.17134"/>
    <n v="1"/>
    <s v="IRIS-MMCO1-H01"/>
    <s v="_"/>
    <x v="0"/>
  </r>
  <r>
    <x v="2"/>
    <s v="HP USB Optical Mouse"/>
    <s v="Mouse"/>
    <x v="5"/>
    <s v="678652-001"/>
    <s v="N/A"/>
    <n v="1"/>
    <s v="IRIS-MMCO1-H01"/>
    <s v="_"/>
    <x v="0"/>
  </r>
  <r>
    <x v="2"/>
    <s v="Thunderbolts 3 to dual DisplayPort Adapter"/>
    <s v="Thunderbolt"/>
    <x v="5"/>
    <s v="TB32DP2T"/>
    <s v="2019.09.27865"/>
    <n v="1"/>
    <s v="IRIS-MMCO1-H01"/>
    <s v="_"/>
    <x v="0"/>
  </r>
  <r>
    <x v="2"/>
    <s v="HP EliteDisplay E243i"/>
    <s v="Screen"/>
    <x v="5"/>
    <s v="1FH49AT"/>
    <s v="2019.05.17526"/>
    <n v="1"/>
    <s v="IRIS-MMCO1-H01"/>
    <s v="IRIS-24-SCR01-H01"/>
    <x v="0"/>
  </r>
  <r>
    <x v="2"/>
    <s v="HP EliteDisplay E243i"/>
    <s v="Screen"/>
    <x v="5"/>
    <s v="1FH49AT"/>
    <s v="2019.05.17525"/>
    <n v="1"/>
    <s v="IRIS-MMCO1-H01"/>
    <s v="IRIS-24-SCR02-H01"/>
    <x v="0"/>
  </r>
  <r>
    <x v="2"/>
    <s v="OSINT Data Collection - WD Elements Portable SE 2TB USB 3.0 2.5In"/>
    <s v="Disk WDE - OSINT Data"/>
    <x v="5"/>
    <s v="WDBU6Y0020BBK-0B"/>
    <s v="2019.09.27889"/>
    <m/>
    <s v="IRIS-MMCO1-H01"/>
    <s v="_"/>
    <x v="0"/>
  </r>
  <r>
    <x v="2"/>
    <s v="OSINT Data Collection - WD Elements Portable SE 2TB USB 3.0 2.5In"/>
    <s v="Disk WDE - OSINT Data"/>
    <x v="5"/>
    <s v="WDBU6Y0020BBK-0B"/>
    <s v="2019.09.27888"/>
    <m/>
    <s v="IRIS-MMCO1-H01"/>
    <s v="_"/>
    <x v="0"/>
  </r>
  <r>
    <x v="2"/>
    <s v="HP ZBOOK 17 G4"/>
    <s v="Laptop"/>
    <x v="5"/>
    <s v="Y3J81AV"/>
    <s v="2019.05.17108"/>
    <n v="1"/>
    <s v="Incluses I4DEXPLORER"/>
    <s v="IRIS-OPR01-H01"/>
    <x v="0"/>
  </r>
  <r>
    <x v="2"/>
    <s v="HP 512GB 2280 M2 PCIe 3x4 DS NVME EU"/>
    <s v="HP 512GB M2"/>
    <x v="4"/>
    <s v="861960-003"/>
    <s v=""/>
    <n v="1"/>
    <s v="IRIS-OPR01-H01"/>
    <s v="_"/>
    <x v="1"/>
  </r>
  <r>
    <x v="2"/>
    <s v="HP USB Business Slim Keyboard - Hungarian"/>
    <s v="Keyboard"/>
    <x v="5"/>
    <s v="803181-211"/>
    <s v="2019.05.17147"/>
    <n v="1"/>
    <s v="IRIS-OPR01-H01"/>
    <s v="_"/>
    <x v="0"/>
  </r>
  <r>
    <x v="2"/>
    <s v="HP USB Optical Mouse"/>
    <s v="Mouse"/>
    <x v="5"/>
    <s v="678652-001"/>
    <s v="N/A"/>
    <n v="1"/>
    <s v="IRIS-OPR01-H01"/>
    <s v="_"/>
    <x v="0"/>
  </r>
  <r>
    <x v="2"/>
    <s v="USB 3.0 to Gigabit Ethernet Fiber Optic Network Adapter - 1000Base-SX SC"/>
    <s v="USB-Fiber"/>
    <x v="5"/>
    <s v="US1GA30SXSC"/>
    <s v="2019.09.27815"/>
    <n v="1"/>
    <s v="IRIS-OPR01-H01"/>
    <s v="_"/>
    <x v="0"/>
  </r>
  <r>
    <x v="2"/>
    <s v="Thunderbolts 3 to dual DisplayPort Adapter"/>
    <s v="Thunderbolt"/>
    <x v="5"/>
    <s v="TB32DP2T"/>
    <s v="2019.09.27856"/>
    <n v="1"/>
    <s v="IRIS-OPR01-H01"/>
    <s v="_"/>
    <x v="0"/>
  </r>
  <r>
    <x v="2"/>
    <s v="HP EliteDisplay E243i"/>
    <s v="Screen"/>
    <x v="5"/>
    <s v="1FH49AT"/>
    <s v="2019.05.17529"/>
    <n v="1"/>
    <s v="IRIS-OPR01-H01"/>
    <s v="IRIS-24-SCR03-H01"/>
    <x v="0"/>
  </r>
  <r>
    <x v="2"/>
    <s v="HP EliteDisplay E243i"/>
    <s v="Screen"/>
    <x v="5"/>
    <s v="1FH49AT"/>
    <s v="2019.05.17528"/>
    <n v="1"/>
    <s v="IRIS-OPR01-H01"/>
    <s v="IRIS-24-SCR04-H01"/>
    <x v="0"/>
  </r>
  <r>
    <x v="2"/>
    <s v="CASE 2 / IRIS - H01"/>
    <s v="CASE 2"/>
    <x v="6"/>
    <s v="_"/>
    <s v="_"/>
    <n v="1"/>
    <s v="CASE 2 / IRIS - H01"/>
    <s v="_"/>
    <x v="1"/>
  </r>
  <r>
    <x v="2"/>
    <s v="HP ZBOOK 17 G4"/>
    <s v="Laptop"/>
    <x v="5"/>
    <s v="Y3J81AV"/>
    <s v="2019.05.17109"/>
    <n v="1"/>
    <s v="Incluses I4DEXPLORER"/>
    <s v="IRIS-OPR02-H01"/>
    <x v="0"/>
  </r>
  <r>
    <x v="2"/>
    <s v="HP 512GB 2280 M2 PCIe 3x4 DS NVME EU"/>
    <s v="HP 512GB M2"/>
    <x v="4"/>
    <s v="861960-003"/>
    <s v=""/>
    <n v="1"/>
    <s v="IRIS-OPR02-H01"/>
    <s v="_"/>
    <x v="1"/>
  </r>
  <r>
    <x v="2"/>
    <s v="HP USB Business Slim Keyboard - Hungarian"/>
    <s v="Keyboard"/>
    <x v="5"/>
    <s v="803181-211"/>
    <s v="2019.05.17148"/>
    <n v="1"/>
    <s v="IRIS-OPR02-H01"/>
    <s v="_"/>
    <x v="0"/>
  </r>
  <r>
    <x v="2"/>
    <s v="HP USB Optical Mouse"/>
    <s v="Mouse"/>
    <x v="5"/>
    <s v="678652-001"/>
    <s v="N/A"/>
    <n v="1"/>
    <s v="IRIS-OPR02-H01"/>
    <s v="_"/>
    <x v="0"/>
  </r>
  <r>
    <x v="2"/>
    <s v="USB 3.0 to Gigabit Ethernet Fiber Optic Network Adapter - 1000Base-SX SC"/>
    <s v="USB-Fiber"/>
    <x v="5"/>
    <s v="US1GA30SXSC"/>
    <s v="2019.09.27812"/>
    <n v="1"/>
    <s v="IRIS-OPR02-H01"/>
    <s v="_"/>
    <x v="0"/>
  </r>
  <r>
    <x v="2"/>
    <s v="Thunderbolts 3 to dual DisplayPort Adapter"/>
    <s v="Thunderbolt"/>
    <x v="5"/>
    <s v="TB32DP2T"/>
    <s v="2019.09.27843"/>
    <n v="1"/>
    <s v="IRIS-OPR02-H01"/>
    <s v="_"/>
    <x v="0"/>
  </r>
  <r>
    <x v="2"/>
    <s v="HP EliteDisplay E243i"/>
    <s v="Screen"/>
    <x v="5"/>
    <s v="1FH49AT"/>
    <s v="2019.05.17522"/>
    <n v="1"/>
    <s v="IRIS-OPR02-H01"/>
    <s v="IRIS-24-SCR05-H01"/>
    <x v="0"/>
  </r>
  <r>
    <x v="2"/>
    <s v="HP EliteDisplay E243i"/>
    <s v="Screen"/>
    <x v="5"/>
    <s v="1FH49AT"/>
    <s v="2019.05.17523"/>
    <n v="1"/>
    <s v="IRIS-OPR02-H01"/>
    <s v="IRIS-24-SCR06-H01"/>
    <x v="0"/>
  </r>
  <r>
    <x v="2"/>
    <s v="HP ZBOOK 17 G4"/>
    <s v="Laptop"/>
    <x v="5"/>
    <s v="Y3J81AV"/>
    <s v="2019.05.17110"/>
    <n v="1"/>
    <s v="_"/>
    <s v="IRIS-OPR03-H01"/>
    <x v="0"/>
  </r>
  <r>
    <x v="2"/>
    <s v="HP 512GB 2280 M2 PCIe 3x4 DS NVME EU"/>
    <s v="HP 512GB M2"/>
    <x v="4"/>
    <s v="861960-003"/>
    <s v=""/>
    <n v="1"/>
    <s v="IRIS-OPR03-H01"/>
    <s v="_"/>
    <x v="1"/>
  </r>
  <r>
    <x v="2"/>
    <s v="HP USB Business Slim Keyboard - Hungarian"/>
    <s v="Keyboard"/>
    <x v="5"/>
    <s v="803181-211"/>
    <s v="2019.05.17149"/>
    <n v="1"/>
    <s v="IRIS-OPR03-H01"/>
    <s v="_"/>
    <x v="0"/>
  </r>
  <r>
    <x v="2"/>
    <s v="HP USB Optical Mouse"/>
    <s v="Mouse"/>
    <x v="5"/>
    <s v="678652-001"/>
    <s v="N/A"/>
    <n v="1"/>
    <s v="IRIS-OPR03-H01"/>
    <s v="_"/>
    <x v="0"/>
  </r>
  <r>
    <x v="2"/>
    <s v="USB 3.0 to Gigabit Ethernet Fiber Optic Network Adapter - 1000Base-SX SC"/>
    <s v="USB-Fiber"/>
    <x v="5"/>
    <s v="US1GA30SXSC"/>
    <s v="2019.09.27813"/>
    <n v="1"/>
    <s v="IRIS-OPR03-H01"/>
    <s v="_"/>
    <x v="0"/>
  </r>
  <r>
    <x v="2"/>
    <s v="Thunderbolts 3 to dual DisplayPort Adapter"/>
    <s v="Thunderbolt"/>
    <x v="5"/>
    <s v="TB32DP2T"/>
    <s v="2019.09.27842"/>
    <n v="1"/>
    <s v="IRIS-OPR03-H01"/>
    <s v="_"/>
    <x v="0"/>
  </r>
  <r>
    <x v="2"/>
    <s v="HP EliteDisplay E243i"/>
    <s v="Screen"/>
    <x v="5"/>
    <s v="1FH49AT"/>
    <s v="2019.05.17524"/>
    <n v="1"/>
    <s v="IRIS-OPR03-H01"/>
    <s v="IRIS-24-SCR07-H01"/>
    <x v="0"/>
  </r>
  <r>
    <x v="2"/>
    <s v="HP EliteDisplay E243i"/>
    <s v="Screen"/>
    <x v="5"/>
    <s v="1FH49AT"/>
    <s v="2019.05.17527"/>
    <n v="1"/>
    <s v="IRIS-OPR03-H01"/>
    <s v="IRIS-24-SCR08-H01"/>
    <x v="0"/>
  </r>
  <r>
    <x v="2"/>
    <s v="CASE 3 / IRIS - H01"/>
    <s v="CASE 3"/>
    <x v="6"/>
    <s v="_"/>
    <s v="_"/>
    <n v="1"/>
    <s v="CASE 3 / IRIS - H01"/>
    <s v="_"/>
    <x v="1"/>
  </r>
  <r>
    <x v="2"/>
    <s v="HP ZBOOK 17 G4"/>
    <s v="Laptop"/>
    <x v="5"/>
    <s v="Y3J81AV"/>
    <s v="2019.05.17111"/>
    <n v="1"/>
    <s v="_"/>
    <s v="IRIS-OPR04-H01"/>
    <x v="0"/>
  </r>
  <r>
    <x v="2"/>
    <s v="HP 512GB 2280 M2 PCIe 3x4 DS NVME EU"/>
    <s v="HP 512GB M2"/>
    <x v="4"/>
    <s v="861960-003"/>
    <s v=""/>
    <n v="1"/>
    <s v="IRIS-OPR04-H01"/>
    <s v="_"/>
    <x v="1"/>
  </r>
  <r>
    <x v="2"/>
    <s v="HP USB Business Slim Keyboard - Hungarian"/>
    <s v="Keyboard"/>
    <x v="5"/>
    <s v="803181-211"/>
    <s v="2019.05.17150"/>
    <n v="1"/>
    <s v="IRIS-OPR04-H01"/>
    <s v="_"/>
    <x v="0"/>
  </r>
  <r>
    <x v="2"/>
    <s v="HP USB Optical Mouse"/>
    <s v="Mouse"/>
    <x v="5"/>
    <s v="678652-001"/>
    <s v="N/A"/>
    <n v="1"/>
    <s v="IRIS-OPR04-H01"/>
    <s v="_"/>
    <x v="0"/>
  </r>
  <r>
    <x v="2"/>
    <s v="USB 3.0 to Gigabit Ethernet Fiber Optic Network Adapter - 1000Base-SX SC"/>
    <s v="USB-Fiber"/>
    <x v="5"/>
    <s v="US1GA30SXSC"/>
    <s v="2019.09.27814"/>
    <n v="1"/>
    <s v="IRIS-OPR04-H01"/>
    <s v="_"/>
    <x v="0"/>
  </r>
  <r>
    <x v="2"/>
    <s v="Thunderbolts 3 to dual DisplayPort Adapter"/>
    <s v="Thunderbolt"/>
    <x v="5"/>
    <s v="TB32DP2T"/>
    <s v="2019.09.27846"/>
    <n v="1"/>
    <s v="IRIS-OPR04-H01"/>
    <s v="_"/>
    <x v="0"/>
  </r>
  <r>
    <x v="2"/>
    <s v="HP EliteDisplay E243i"/>
    <s v="Screen"/>
    <x v="5"/>
    <s v="1FH49AT"/>
    <s v="2019.05.17521"/>
    <n v="1"/>
    <s v="IRIS-OPR04-H01"/>
    <s v="IRIS-24-SCR09-H01"/>
    <x v="0"/>
  </r>
  <r>
    <x v="2"/>
    <s v="HP EliteDisplay E243i"/>
    <s v="Screen"/>
    <x v="5"/>
    <s v="1FH49AT"/>
    <s v="2019.05.17520"/>
    <n v="1"/>
    <s v="IRIS-OPR04-H01"/>
    <s v="IRIS-24-SCR10-H01"/>
    <x v="0"/>
  </r>
  <r>
    <x v="2"/>
    <s v="HP ZBOOK 17 G4"/>
    <s v="Laptop"/>
    <x v="5"/>
    <s v="Y3J81AV"/>
    <s v="2019.05.17112"/>
    <n v="1"/>
    <s v="_"/>
    <s v="IRIS-OPR05-H01"/>
    <x v="0"/>
  </r>
  <r>
    <x v="2"/>
    <s v="HP 512GB 2280 M2 PCIe 3x4 DS NVME EU"/>
    <s v="HP 512GB M2"/>
    <x v="4"/>
    <s v="861960-003"/>
    <s v=""/>
    <n v="1"/>
    <s v="IRIS-OPR05-H01"/>
    <s v="_"/>
    <x v="1"/>
  </r>
  <r>
    <x v="2"/>
    <s v="HP USB Business Slim Keyboard - Hungarian"/>
    <s v="Keyboard"/>
    <x v="5"/>
    <s v="803181-211"/>
    <s v="2019.05.17151"/>
    <n v="1"/>
    <s v="IRIS-OPR05-H01"/>
    <s v="_"/>
    <x v="0"/>
  </r>
  <r>
    <x v="2"/>
    <s v="HP USB Optical Mouse"/>
    <s v="Mouse"/>
    <x v="5"/>
    <s v="678652-001"/>
    <s v="N/A"/>
    <n v="1"/>
    <s v="IRIS-OPR05-H01"/>
    <s v="_"/>
    <x v="0"/>
  </r>
  <r>
    <x v="2"/>
    <s v="USB 3.0 to Gigabit Ethernet Fiber Optic Network Adapter - 1000Base-SX SC"/>
    <s v="USB-Fiber"/>
    <x v="5"/>
    <s v="US1GA30SXSC"/>
    <s v="2019.09.27816"/>
    <n v="1"/>
    <s v="IRIS-OPR05-H01"/>
    <s v="_"/>
    <x v="0"/>
  </r>
  <r>
    <x v="2"/>
    <s v="Thunderbolts 3 to dual DisplayPort Adapter"/>
    <s v="Thunderbolt"/>
    <x v="5"/>
    <s v="TB32DP2T"/>
    <s v="2019.09.27866"/>
    <n v="1"/>
    <s v="IRIS-OPR05-H01"/>
    <s v="_"/>
    <x v="0"/>
  </r>
  <r>
    <x v="2"/>
    <s v="HP EliteDisplay E243i"/>
    <s v="Screen"/>
    <x v="5"/>
    <s v="1FH49AT"/>
    <s v="2019.05.17519"/>
    <n v="1"/>
    <s v="IRIS-OPR05-H01"/>
    <s v="IRIS-24-SCR11-H01"/>
    <x v="0"/>
  </r>
  <r>
    <x v="2"/>
    <s v="HP EliteDisplay E243i"/>
    <s v="Screen"/>
    <x v="5"/>
    <s v="1FH49AT"/>
    <s v="2019.05.17518"/>
    <n v="1"/>
    <s v="IRIS-OPR05-H01"/>
    <s v="IRIS-24-SCR12-H01"/>
    <x v="0"/>
  </r>
  <r>
    <x v="2"/>
    <s v="CASE 4 / IRIS - H01"/>
    <s v="CASE 4"/>
    <x v="6"/>
    <s v="_"/>
    <s v="_"/>
    <n v="1"/>
    <s v="CASE 4 / IRIS - H01"/>
    <s v="_"/>
    <x v="1"/>
  </r>
  <r>
    <x v="2"/>
    <s v="HP ZBOOK 17 G4"/>
    <s v="Laptop"/>
    <x v="5"/>
    <s v="Y3J81AV"/>
    <s v="2019.05.17113"/>
    <n v="1"/>
    <s v="_"/>
    <s v="IRIS-OPR06-H01"/>
    <x v="0"/>
  </r>
  <r>
    <x v="2"/>
    <s v="HP 512GB 2280 M2 PCIe 3x4 DS NVME EU"/>
    <s v="HP 512GB M2"/>
    <x v="4"/>
    <s v="861960-003"/>
    <s v=""/>
    <n v="1"/>
    <s v="IRIS-OPR06-H01"/>
    <s v="_"/>
    <x v="1"/>
  </r>
  <r>
    <x v="2"/>
    <s v="HP USB Business Slim Keyboard - Hungarian"/>
    <s v="Keyboard"/>
    <x v="5"/>
    <s v="803181-211"/>
    <s v="2019.05.17152"/>
    <n v="1"/>
    <s v="IRIS-OPR06-H01"/>
    <s v="_"/>
    <x v="0"/>
  </r>
  <r>
    <x v="2"/>
    <s v="HP USB Optical Mouse"/>
    <s v="Mouse"/>
    <x v="5"/>
    <s v="678652-001"/>
    <s v="N/A"/>
    <n v="1"/>
    <s v="IRIS-OPR06-H01"/>
    <s v="_"/>
    <x v="0"/>
  </r>
  <r>
    <x v="2"/>
    <s v="USB 3.0 to Gigabit Ethernet Fiber Optic Network Adapter - 1000Base-SX SC"/>
    <s v="USB-Fiber"/>
    <x v="5"/>
    <s v="US1GA30SXSC"/>
    <s v="2019.09.27825"/>
    <n v="1"/>
    <s v="IRIS-OPR06-H01"/>
    <s v="_"/>
    <x v="0"/>
  </r>
  <r>
    <x v="2"/>
    <s v="Thunderbolts 3 to dual DisplayPort Adapter"/>
    <s v="Thunderbolt"/>
    <x v="5"/>
    <s v="TB32DP2T"/>
    <s v="2019.01.3054"/>
    <n v="1"/>
    <s v="IRIS-OPR06-H01"/>
    <s v="_"/>
    <x v="0"/>
  </r>
  <r>
    <x v="2"/>
    <s v="HP Z27n G2"/>
    <s v="Screen"/>
    <x v="5"/>
    <s v="1JS10AT"/>
    <s v="2019.05.17567"/>
    <n v="1"/>
    <s v="IRIS-OPR06-H01"/>
    <s v="IRIS-27-SCR01-H01"/>
    <x v="0"/>
  </r>
  <r>
    <x v="2"/>
    <s v="HP Z27n G2"/>
    <s v="Screen"/>
    <x v="5"/>
    <s v="1JS10AT"/>
    <s v="2019.05.17566"/>
    <n v="1"/>
    <s v="IRIS-OPR06-H01"/>
    <s v="IRIS-27-SCR02-H01"/>
    <x v="0"/>
  </r>
  <r>
    <x v="2"/>
    <s v="SPARE CASE 1 / IRIS - H01"/>
    <s v="SPARE CASE 1"/>
    <x v="6"/>
    <s v="_"/>
    <s v="_"/>
    <n v="1"/>
    <s v="SPARE CASE 1 / IRIS - H01"/>
    <s v="_"/>
    <x v="1"/>
  </r>
  <r>
    <x v="2"/>
    <s v="HP ZBOOK 17 G4"/>
    <s v="Laptop"/>
    <x v="5"/>
    <s v="Y3J81AV"/>
    <s v="2019.05.17096"/>
    <n v="1"/>
    <s v="_"/>
    <s v="IRIS-MM-SPARE-H01"/>
    <x v="0"/>
  </r>
  <r>
    <x v="2"/>
    <s v="HP 512GB 2280 M2 PCIe 3x4 DS NVME EU"/>
    <s v="HP 512GB M2"/>
    <x v="4"/>
    <s v="861960-003"/>
    <s v=""/>
    <n v="1"/>
    <s v="IRIS-MM-SPARE-H01"/>
    <s v="_"/>
    <x v="1"/>
  </r>
  <r>
    <x v="2"/>
    <s v="HP 1TB 7200RPM SATA 6.0 Gbps 2.5 64MB"/>
    <s v="HP 1TB 7.2K"/>
    <x v="4"/>
    <s v="Y3J93AV"/>
    <s v=""/>
    <n v="1"/>
    <s v="IRIS-MM-SPARE-H01"/>
    <s v="_"/>
    <x v="1"/>
  </r>
  <r>
    <x v="2"/>
    <s v="HP USB Business Slim Keyboard - Hungarian"/>
    <s v="Keyboard"/>
    <x v="5"/>
    <s v="803181-211"/>
    <s v="2019.05.17135"/>
    <n v="1"/>
    <s v="IRIS-MM-SPARE-H01"/>
    <s v="_"/>
    <x v="0"/>
  </r>
  <r>
    <x v="2"/>
    <s v="HP USB Optical Mouse"/>
    <s v="Mouse"/>
    <x v="5"/>
    <s v="678652-001"/>
    <s v="N/A"/>
    <n v="1"/>
    <s v="IRIS-MM-SPARE-H01"/>
    <s v="_"/>
    <x v="0"/>
  </r>
  <r>
    <x v="2"/>
    <s v="USB 3.0 to Gigabit Ethernet Fiber Optic Network Adapter - 1000Base-SX SC"/>
    <s v="USB-Fiber"/>
    <x v="5"/>
    <s v="US1GA30SXSC"/>
    <s v="2019.09.27818"/>
    <n v="1"/>
    <s v="_"/>
    <s v="_"/>
    <x v="0"/>
  </r>
  <r>
    <x v="2"/>
    <s v="Thunderbolts 3 to dual DisplayPort Adapter"/>
    <s v="Thunderbolt"/>
    <x v="5"/>
    <s v="TB32DP2T"/>
    <s v="2019.09.27845"/>
    <n v="1"/>
    <s v="_"/>
    <s v="_"/>
    <x v="0"/>
  </r>
  <r>
    <x v="2"/>
    <s v="Thunderbolts 3 to dual DisplayPort Adapter"/>
    <s v="Thunderbolt"/>
    <x v="5"/>
    <s v="TB32DP2T"/>
    <s v="2019.09.27844"/>
    <n v="1"/>
    <s v="_"/>
    <s v="_"/>
    <x v="0"/>
  </r>
  <r>
    <x v="2"/>
    <s v="HP EliteDisplay E243i"/>
    <s v="Screen"/>
    <x v="5"/>
    <s v="1FH49AT"/>
    <s v="2019.05.17517"/>
    <n v="1"/>
    <s v="_"/>
    <s v="IRIS-24-SPARE01-H01"/>
    <x v="0"/>
  </r>
  <r>
    <x v="2"/>
    <s v="HP EliteDisplay E243i"/>
    <s v="Screen"/>
    <x v="5"/>
    <s v="1FH49AT"/>
    <s v="2019.05.17516"/>
    <n v="1"/>
    <s v="_"/>
    <s v="IRIS-24-SPARE02-H01"/>
    <x v="0"/>
  </r>
  <r>
    <x v="2"/>
    <s v="HP Z27n G2"/>
    <s v="Screen"/>
    <x v="5"/>
    <s v="1JS10AT"/>
    <s v="2019.05.17565"/>
    <n v="1"/>
    <s v="_"/>
    <s v="IRIS-27-SPARE01-H01"/>
    <x v="0"/>
  </r>
  <r>
    <x v="2"/>
    <s v="HARD DISK / IRIS - H01"/>
    <s v="HARD DISK"/>
    <x v="6"/>
    <s v="_"/>
    <s v="_"/>
    <n v="1"/>
    <s v="HARD DISK / IRIS - H01"/>
    <s v="_"/>
    <x v="1"/>
  </r>
  <r>
    <x v="2"/>
    <s v="Pack fan - ebmpapts 7855 ES"/>
    <s v="Fan"/>
    <x v="8"/>
    <s v="W2S130-AA03-01"/>
    <s v="N/A"/>
    <n v="1"/>
    <s v="_"/>
    <s v="IRIS-FAN-SPARE-H01"/>
    <x v="0"/>
  </r>
  <r>
    <x v="2"/>
    <s v="SDC4/8GB - 8GB microSDHC (Class 4)"/>
    <s v="SDC4/8GB"/>
    <x v="4"/>
    <s v="SDC4/8GBSP - 8GB2 microSDHC (Class 4)"/>
    <s v="N/A"/>
    <n v="1"/>
    <s v="_"/>
    <s v="IRIS-8GB-SPARE-H01"/>
    <x v="0"/>
  </r>
  <r>
    <x v="2"/>
    <s v="HPE 400GB SAS 12G MU SFF SC DS 550"/>
    <s v="Disk"/>
    <x v="0"/>
    <s v="P09088-B21"/>
    <s v="5C3905J06C"/>
    <n v="1"/>
    <s v="_"/>
    <s v="IRIS-400GB-SPARE-H01"/>
    <x v="0"/>
  </r>
  <r>
    <x v="2"/>
    <s v="HP 512GB 2280 M2 PCIe 3x4 DS NVME EU"/>
    <s v="HP 512GB M2"/>
    <x v="4"/>
    <s v="861960-003"/>
    <s v="S34CNX0K821395"/>
    <n v="1"/>
    <s v="_"/>
    <s v="IRIS-512GB-SPARE-H01"/>
    <x v="0"/>
  </r>
  <r>
    <x v="2"/>
    <s v="HPE MSA 10TB 12G SAS 7.2K LFF 512e HDD"/>
    <s v="Disk"/>
    <x v="4"/>
    <s v="P9M82A"/>
    <s v="JEHH1URN"/>
    <n v="1"/>
    <s v="_"/>
    <s v="IRIS-10TB-SPARE01-H01"/>
    <x v="0"/>
  </r>
  <r>
    <x v="2"/>
    <s v="HPE MSA 10TB 12G SAS 7.2K LFF 512e HDD"/>
    <s v="Disk"/>
    <x v="4"/>
    <s v="P9M82A"/>
    <s v="JEHERUUN"/>
    <n v="1"/>
    <s v="_"/>
    <s v="IRIS-10TB-SPARE02-H01"/>
    <x v="0"/>
  </r>
  <r>
    <x v="2"/>
    <s v="10GBASE-SR SFP MODULE"/>
    <s v="SFP module"/>
    <x v="7"/>
    <s v="SFP-10G-SR-S"/>
    <s v="AVD2305D76H"/>
    <n v="1"/>
    <s v="_"/>
    <s v="IRIS-10GB-SR-SPARE01-H01"/>
    <x v="0"/>
  </r>
  <r>
    <x v="2"/>
    <s v="10GBASE-SR SFP MODULE"/>
    <s v="SFP module"/>
    <x v="7"/>
    <s v="SFP-10G-SR-S"/>
    <s v="AVD2305D76F"/>
    <n v="1"/>
    <s v="_"/>
    <s v="IRIS-10GB-SR-SPARE02-H01"/>
    <x v="0"/>
  </r>
  <r>
    <x v="2"/>
    <s v="1000BASE-SX SFP TRANSCEIVER MODULE"/>
    <s v="SFP module"/>
    <x v="7"/>
    <s v="GLC-SX-MMD"/>
    <s v="ACW230503XN"/>
    <n v="1"/>
    <s v="_"/>
    <s v="IRIS-1GB-SX-SPARE01-H01"/>
    <x v="0"/>
  </r>
  <r>
    <x v="2"/>
    <s v="1000BASE-SX SFP TRANSCEIVER MODULE"/>
    <s v="SFP module"/>
    <x v="7"/>
    <s v="GLC-SX-MMD"/>
    <s v="ACW23040YLH"/>
    <n v="1"/>
    <s v="_"/>
    <s v="IRIS-1GB-SX-SPARE02-H01"/>
    <x v="0"/>
  </r>
  <r>
    <x v="2"/>
    <s v="1000BASE-T SFP TRANSCEIVER MODULE FOR CATEGORY 5 COPPER WIRE"/>
    <s v="SFP module"/>
    <x v="7"/>
    <s v="GLC-TE"/>
    <s v="SMTC22380AWD"/>
    <n v="1"/>
    <s v="_"/>
    <s v="IRIS-1GB-T-SPARE-H01"/>
    <x v="0"/>
  </r>
  <r>
    <x v="3"/>
    <s v="HPE DL360 Gen10 8SFF CTO Server"/>
    <s v="Server"/>
    <x v="0"/>
    <s v="867959-B21"/>
    <s v="CZJ91702JM"/>
    <n v="1"/>
    <s v="_"/>
    <s v="IRIS-SRV1-I01"/>
    <x v="0"/>
  </r>
  <r>
    <x v="3"/>
    <s v="HPE BLc 10G SFP+ SR Transceiver"/>
    <s v="SFP module"/>
    <x v="0"/>
    <s v="455883-B21"/>
    <s v="7CR8394385"/>
    <n v="1"/>
    <s v="_"/>
    <s v="_"/>
    <x v="0"/>
  </r>
  <r>
    <x v="3"/>
    <s v="HPE BLc 10G SFP+ SR Transceiver"/>
    <s v="SFP module"/>
    <x v="0"/>
    <s v="455883-B21"/>
    <s v="7CR839420J"/>
    <n v="1"/>
    <s v="_"/>
    <s v="_"/>
    <x v="0"/>
  </r>
  <r>
    <x v="3"/>
    <s v="HPE 16G SFP+ SW XCVR-C"/>
    <s v="SFP module"/>
    <x v="0"/>
    <s v="E7Y10-63001"/>
    <s v="MY891115AQ"/>
    <n v="1"/>
    <s v="_"/>
    <s v="_"/>
    <x v="0"/>
  </r>
  <r>
    <x v="3"/>
    <s v="HPE 16G SFP+ SW XCVR-C"/>
    <s v="SFP module"/>
    <x v="0"/>
    <s v="E7Y10-63001"/>
    <s v="MY891115C5"/>
    <n v="1"/>
    <s v="_"/>
    <s v="_"/>
    <x v="0"/>
  </r>
  <r>
    <x v="3"/>
    <s v="HPE DL360 Gen10 8SFF CTO Server"/>
    <s v="Server"/>
    <x v="0"/>
    <s v="867959-B21"/>
    <s v="CZJ91702JQ"/>
    <n v="1"/>
    <s v="_"/>
    <s v="IRIS-SRV2-I01"/>
    <x v="0"/>
  </r>
  <r>
    <x v="3"/>
    <s v="HPE BLc 10G SFP+ SR Transceiver"/>
    <s v="SFP module"/>
    <x v="0"/>
    <s v="455883-B21"/>
    <s v="7CR839420P"/>
    <n v="1"/>
    <s v="_"/>
    <s v="_"/>
    <x v="0"/>
  </r>
  <r>
    <x v="3"/>
    <s v="HPE BLc 10G SFP+ SR Transceiver"/>
    <s v="SFP module"/>
    <x v="0"/>
    <s v="455883-B21"/>
    <s v="7CR839438G"/>
    <n v="1"/>
    <s v="_"/>
    <s v="_"/>
    <x v="0"/>
  </r>
  <r>
    <x v="3"/>
    <s v="HPE 16G SFP+ SW XCVR-C"/>
    <s v="SFP module"/>
    <x v="0"/>
    <s v="E7Y10-63001"/>
    <s v="MY891115BG"/>
    <n v="1"/>
    <s v="_"/>
    <s v="_"/>
    <x v="0"/>
  </r>
  <r>
    <x v="3"/>
    <s v="HPE 16G SFP+ SW XCVR-C"/>
    <s v="SFP module"/>
    <x v="0"/>
    <s v="E7Y10-63001"/>
    <s v="MY891114JH"/>
    <n v="1"/>
    <s v="_"/>
    <s v="_"/>
    <x v="0"/>
  </r>
  <r>
    <x v="3"/>
    <s v="CATALYST 3850 24 PORT 10G FIBER SWITCH BASE"/>
    <s v="Switch"/>
    <x v="1"/>
    <s v="WS-C3850-24XS-S"/>
    <s v="FOC2247X09P"/>
    <n v="1"/>
    <s v="_"/>
    <s v="IRIS-SW1-I01"/>
    <x v="0"/>
  </r>
  <r>
    <x v="3"/>
    <s v="10GBASE-SR SFP MODULE"/>
    <s v="SFP module"/>
    <x v="1"/>
    <s v="SFP-10G-SR-S"/>
    <s v="AVD3205D7F4"/>
    <n v="1"/>
    <s v="_"/>
    <s v="_"/>
    <x v="0"/>
  </r>
  <r>
    <x v="3"/>
    <s v="10GBASE-SR SFP MODULE"/>
    <s v="SFP module"/>
    <x v="1"/>
    <s v="SFP-10G-SR-S"/>
    <s v="AVD3205D7FA"/>
    <n v="1"/>
    <s v="_"/>
    <s v="_"/>
    <x v="0"/>
  </r>
  <r>
    <x v="3"/>
    <s v="10GBASE-SR SFP MODULE"/>
    <s v="SFP module"/>
    <x v="1"/>
    <s v="SFP-10G-SR-S"/>
    <s v="AVD3205D7FK"/>
    <n v="1"/>
    <s v="_"/>
    <s v="_"/>
    <x v="0"/>
  </r>
  <r>
    <x v="3"/>
    <s v="10GBASE-SR SFP MODULE"/>
    <s v="SFP module"/>
    <x v="1"/>
    <s v="SFP-10G-SR-S"/>
    <s v="AVD3205D7FB"/>
    <n v="1"/>
    <s v="_"/>
    <s v="_"/>
    <x v="0"/>
  </r>
  <r>
    <x v="3"/>
    <s v="10GBASE-SR SFP MODULE"/>
    <s v="SFP module"/>
    <x v="1"/>
    <s v="SFP-10G-SR-S"/>
    <s v="AVD3205D7FL"/>
    <n v="1"/>
    <s v="_"/>
    <s v="_"/>
    <x v="0"/>
  </r>
  <r>
    <x v="3"/>
    <s v="1000BASE-SX SFP TRANSCEIVER MODULE"/>
    <s v="SFP module"/>
    <x v="1"/>
    <s v="GLC-SX-MMD"/>
    <s v="ACW23031NSD"/>
    <n v="1"/>
    <s v="_"/>
    <s v="_"/>
    <x v="0"/>
  </r>
  <r>
    <x v="3"/>
    <s v="1000BASE-SX SFP TRANSCEIVER MODULE"/>
    <s v="SFP module"/>
    <x v="1"/>
    <s v="GLC-SX-MMD"/>
    <s v="ACW230415SV"/>
    <n v="1"/>
    <s v="_"/>
    <s v="_"/>
    <x v="0"/>
  </r>
  <r>
    <x v="3"/>
    <s v="1000BASE-SX SFP TRANSCEIVER MODULE"/>
    <s v="SFP module"/>
    <x v="1"/>
    <s v="GLC-SX-MMD"/>
    <s v="ACW2304168G"/>
    <n v="1"/>
    <s v="_"/>
    <s v="_"/>
    <x v="0"/>
  </r>
  <r>
    <x v="3"/>
    <s v="1000BASE-SX SFP TRANSCEIVER MODULE"/>
    <s v="SFP module"/>
    <x v="1"/>
    <s v="GLC-SX-MMD"/>
    <s v="ACW230415T1"/>
    <n v="1"/>
    <s v="_"/>
    <s v="_"/>
    <x v="0"/>
  </r>
  <r>
    <x v="3"/>
    <s v="1000BASE-T SFP TRANSCEIVER MODULE FOR CATEGORY 5 COPPER WIRE"/>
    <s v="SFP module"/>
    <x v="1"/>
    <s v="GLC-TE"/>
    <s v="AVC230721E6"/>
    <n v="1"/>
    <s v="_"/>
    <s v="_"/>
    <x v="0"/>
  </r>
  <r>
    <x v="3"/>
    <s v="1000BASE-T SFP TRANSCEIVER MODULE FOR CATEGORY 5 COPPER WIRE"/>
    <s v="SFP module"/>
    <x v="1"/>
    <s v="GLC-TE"/>
    <s v="AVC230721E7"/>
    <n v="1"/>
    <s v="_"/>
    <s v="_"/>
    <x v="0"/>
  </r>
  <r>
    <x v="3"/>
    <s v="1000BASE-T SFP TRANSCEIVER MODULE FOR CATEGORY 5 COPPER WIRE"/>
    <s v="SFP module"/>
    <x v="1"/>
    <s v="GLC-TE"/>
    <s v="AVC230721E4"/>
    <n v="1"/>
    <s v="_"/>
    <s v="_"/>
    <x v="0"/>
  </r>
  <r>
    <x v="3"/>
    <s v="1000BASE-T SFP TRANSCEIVER MODULE FOR CATEGORY 5 COPPER WIRE"/>
    <s v="SFP module"/>
    <x v="1"/>
    <s v="GLC-TE"/>
    <s v="AVC230721E8"/>
    <n v="1"/>
    <s v="_"/>
    <s v="_"/>
    <x v="0"/>
  </r>
  <r>
    <x v="3"/>
    <s v="CATALYST 3850 24 PORT 10G FIBER SWITCH BASE"/>
    <s v="Switch"/>
    <x v="1"/>
    <s v="WS-C3850-24XS-S"/>
    <s v="FOC2247U0AS"/>
    <n v="1"/>
    <s v="_"/>
    <s v="IRIS-SW2-I01"/>
    <x v="0"/>
  </r>
  <r>
    <x v="3"/>
    <s v="10GBASE-SR SFP MODULE"/>
    <s v="SFP module"/>
    <x v="1"/>
    <s v="SFP-10G-SR-S"/>
    <s v="AVD3205D7H3"/>
    <n v="1"/>
    <s v="_"/>
    <s v="_"/>
    <x v="0"/>
  </r>
  <r>
    <x v="3"/>
    <s v="10GBASE-SR SFP MODULE"/>
    <s v="SFP module"/>
    <x v="1"/>
    <s v="SFP-10G-SR-S"/>
    <s v="AVD3205D7GY"/>
    <n v="1"/>
    <s v="_"/>
    <s v="_"/>
    <x v="0"/>
  </r>
  <r>
    <x v="3"/>
    <s v="10GBASE-SR SFP MODULE"/>
    <s v="SFP module"/>
    <x v="1"/>
    <s v="SFP-10G-SR-S"/>
    <s v="AVD3205D7GG"/>
    <n v="1"/>
    <s v="_"/>
    <s v="_"/>
    <x v="0"/>
  </r>
  <r>
    <x v="3"/>
    <s v="10GBASE-SR SFP MODULE"/>
    <s v="SFP module"/>
    <x v="1"/>
    <s v="SFP-10G-SR-S"/>
    <s v="AVD3205D7GB"/>
    <n v="1"/>
    <s v="_"/>
    <s v="_"/>
    <x v="0"/>
  </r>
  <r>
    <x v="3"/>
    <s v="10GBASE-SR SFP MODULE"/>
    <s v="SFP module"/>
    <x v="1"/>
    <s v="SFP-10G-SR-S"/>
    <s v="AVD3205D7GL"/>
    <n v="1"/>
    <s v="_"/>
    <s v="_"/>
    <x v="0"/>
  </r>
  <r>
    <x v="3"/>
    <s v="1000BASE-SX SFP TRANSCEIVER MODULE"/>
    <s v="SFP module"/>
    <x v="1"/>
    <s v="GLC-SX-MMD"/>
    <s v="ACW230416KX"/>
    <n v="1"/>
    <s v="_"/>
    <s v="_"/>
    <x v="0"/>
  </r>
  <r>
    <x v="3"/>
    <s v="1000BASE-SX SFP TRANSCEIVER MODULE"/>
    <s v="SFP module"/>
    <x v="1"/>
    <s v="GLC-SX-MMD"/>
    <s v="ACW230416HF"/>
    <n v="1"/>
    <s v="_"/>
    <s v="_"/>
    <x v="0"/>
  </r>
  <r>
    <x v="3"/>
    <s v="1000BASE-SX SFP TRANSCEIVER MODULE"/>
    <s v="SFP module"/>
    <x v="1"/>
    <s v="GLC-SX-MMD"/>
    <s v="ACW230416JA"/>
    <n v="1"/>
    <s v="_"/>
    <s v="_"/>
    <x v="0"/>
  </r>
  <r>
    <x v="3"/>
    <s v="1000BASE-SX SFP TRANSCEIVER MODULE"/>
    <s v="SFP module"/>
    <x v="1"/>
    <s v="GLC-SX-MMD"/>
    <s v="ACW230416K5"/>
    <n v="1"/>
    <s v="_"/>
    <s v="_"/>
    <x v="0"/>
  </r>
  <r>
    <x v="3"/>
    <s v="1000BASE-T SFP TRANSCEIVER MODULE FOR CATEGORY 5 COPPER WIRE"/>
    <s v="SFP module"/>
    <x v="1"/>
    <s v="GLC-TE"/>
    <s v="AVC230721E5"/>
    <n v="1"/>
    <s v="_"/>
    <s v="_"/>
    <x v="0"/>
  </r>
  <r>
    <x v="3"/>
    <s v="1000BASE-T SFP TRANSCEIVER MODULE FOR CATEGORY 5 COPPER WIRE"/>
    <s v="SFP module"/>
    <x v="1"/>
    <s v="GLC-TE"/>
    <s v="AVC230721ET"/>
    <n v="1"/>
    <s v="_"/>
    <s v="_"/>
    <x v="0"/>
  </r>
  <r>
    <x v="3"/>
    <s v="1000BASE-T SFP TRANSCEIVER MODULE FOR CATEGORY 5 COPPER WIRE"/>
    <s v="SFP module"/>
    <x v="1"/>
    <s v="GLC-TE"/>
    <s v="AVC230720UW"/>
    <n v="1"/>
    <s v="_"/>
    <s v="_"/>
    <x v="0"/>
  </r>
  <r>
    <x v="3"/>
    <s v="1000BASE-T SFP TRANSCEIVER MODULE FOR CATEGORY 5 COPPER WIRE"/>
    <s v="SFP module"/>
    <x v="1"/>
    <s v="GLC-TE"/>
    <s v="AVC230721FR"/>
    <n v="1"/>
    <s v="_"/>
    <s v="_"/>
    <x v="0"/>
  </r>
  <r>
    <x v="3"/>
    <s v="HPE DL360 Gen10 8SFF CTO Server"/>
    <s v="Server"/>
    <x v="0"/>
    <s v="867959-B21"/>
    <s v="CZJ91702K0"/>
    <n v="1"/>
    <s v="_"/>
    <s v="IRIS-SRV3-I01"/>
    <x v="0"/>
  </r>
  <r>
    <x v="3"/>
    <s v="HPE BLc 10G SFP+ SR Transceiver"/>
    <s v="SFP module"/>
    <x v="0"/>
    <s v="455883-B21"/>
    <s v="7CR839420F"/>
    <n v="1"/>
    <s v="_"/>
    <s v="_"/>
    <x v="0"/>
  </r>
  <r>
    <x v="3"/>
    <s v="HPE BLc 10G SFP+ SR Transceiver"/>
    <s v="SFP module"/>
    <x v="0"/>
    <s v="455883-B21"/>
    <s v="7CR839420H"/>
    <n v="1"/>
    <s v="_"/>
    <s v="_"/>
    <x v="0"/>
  </r>
  <r>
    <x v="3"/>
    <s v="HPE 16G SFP+ SW XCVR-C"/>
    <s v="SFP module"/>
    <x v="0"/>
    <s v="E7Y10-63001"/>
    <s v="MY89111578"/>
    <n v="1"/>
    <s v="_"/>
    <s v="_"/>
    <x v="0"/>
  </r>
  <r>
    <x v="3"/>
    <s v="HPE 16G SFP+ SW XCVR-C"/>
    <s v="SFP module"/>
    <x v="0"/>
    <s v="E7Y10-63001"/>
    <s v="MY891115AF"/>
    <n v="1"/>
    <s v="_"/>
    <s v="_"/>
    <x v="0"/>
  </r>
  <r>
    <x v="3"/>
    <s v="HPE DL360 Gen10 8SFF CTO Server"/>
    <s v="Server"/>
    <x v="0"/>
    <s v="867959-B21"/>
    <s v="CZJ91702K3"/>
    <n v="1"/>
    <s v="_"/>
    <s v="IRIS-SRV4-I01"/>
    <x v="0"/>
  </r>
  <r>
    <x v="3"/>
    <s v="HPE BLc 10G SFP+ SR Transceiver"/>
    <s v="SFP module"/>
    <x v="0"/>
    <s v="455883-B21"/>
    <s v="7CR839420U"/>
    <n v="1"/>
    <s v="_"/>
    <s v="_"/>
    <x v="0"/>
  </r>
  <r>
    <x v="3"/>
    <s v="HPE BLc 10G SFP+ SR Transceiver"/>
    <s v="SFP module"/>
    <x v="0"/>
    <s v="455883-B21"/>
    <s v="7CR839420R"/>
    <n v="1"/>
    <s v="_"/>
    <s v="_"/>
    <x v="0"/>
  </r>
  <r>
    <x v="3"/>
    <s v="HPE 16G SFP+ SW XCVR-C"/>
    <s v="SFP module"/>
    <x v="0"/>
    <s v="E7Y10-63001"/>
    <s v="MY891119U2"/>
    <n v="1"/>
    <s v="_"/>
    <s v="_"/>
    <x v="0"/>
  </r>
  <r>
    <x v="3"/>
    <s v="HPE 16G SFP+ SW XCVR-C"/>
    <s v="SFP module"/>
    <x v="0"/>
    <s v="E7Y10-63001"/>
    <s v="MY891119M0"/>
    <n v="1"/>
    <s v="_"/>
    <s v="_"/>
    <x v="0"/>
  </r>
  <r>
    <x v="3"/>
    <s v="HPE 400GB SAS 12G MU SFF SC DS 550"/>
    <s v="Disk"/>
    <x v="0"/>
    <s v="P09088-B21"/>
    <s v="5C3905J06T"/>
    <n v="1"/>
    <s v="IRIS-SRV4-I01-01"/>
    <s v="_"/>
    <x v="0"/>
  </r>
  <r>
    <x v="3"/>
    <s v="HPE 400GB SAS 12G MU SFF SC DS 550"/>
    <s v="Disk"/>
    <x v="0"/>
    <s v="P09088-B21"/>
    <s v="5C3905J06R"/>
    <n v="1"/>
    <s v="IRIS-SRV4-I01-02"/>
    <s v="_"/>
    <x v="0"/>
  </r>
  <r>
    <x v="3"/>
    <s v="HPE MSA 2050 SAN DC LFF Storage"/>
    <s v="MSA SAN"/>
    <x v="0"/>
    <s v="Q1J00A"/>
    <s v="2S6910B091"/>
    <n v="1"/>
    <s v="_"/>
    <s v="IRIS-MSA-I01"/>
    <x v="0"/>
  </r>
  <r>
    <x v="3"/>
    <s v="MSA 2050 SAN dual controller"/>
    <s v="MSA SAN"/>
    <x v="0"/>
    <s v="876127-001"/>
    <s v="7CE901M842"/>
    <n v="1"/>
    <s v="_"/>
    <s v="_"/>
    <x v="0"/>
  </r>
  <r>
    <x v="3"/>
    <s v="MSA 2050 SAN dual controller"/>
    <s v="MSA SAN"/>
    <x v="0"/>
    <s v="876127-001"/>
    <s v="7CE901M918"/>
    <n v="1"/>
    <s v="_"/>
    <s v="_"/>
    <x v="0"/>
  </r>
  <r>
    <x v="3"/>
    <s v="HPE MSA 10TB 12G SAS 7.2K LFF 512e HDD"/>
    <s v="Disk"/>
    <x v="0"/>
    <s v="P9M82A"/>
    <s v="THH917Z08N"/>
    <n v="1"/>
    <s v="IRIS-MSA-I01-01"/>
    <s v="_"/>
    <x v="0"/>
  </r>
  <r>
    <x v="3"/>
    <s v="HPE MSA 10TB 12G SAS 7.2K LFF 512e HDD"/>
    <s v="Disk"/>
    <x v="0"/>
    <s v="P9M82A"/>
    <s v="THH917Z07U"/>
    <n v="1"/>
    <s v="IRIS-MSA-I01-02"/>
    <s v="_"/>
    <x v="0"/>
  </r>
  <r>
    <x v="3"/>
    <s v="HPE MSA 10TB 12G SAS 7.2K LFF 512e HDD"/>
    <s v="Disk"/>
    <x v="0"/>
    <s v="P9M82A"/>
    <s v="THH917Z08G"/>
    <n v="1"/>
    <s v="IRIS-MSA-I01-03"/>
    <s v="_"/>
    <x v="0"/>
  </r>
  <r>
    <x v="3"/>
    <s v="HPE MSA 10TB 12G SAS 7.2K LFF 512e HDD"/>
    <s v="Disk"/>
    <x v="0"/>
    <s v="P9M82A"/>
    <s v="THH917Z082"/>
    <n v="1"/>
    <s v="IRIS-MSA-I01-04"/>
    <s v="_"/>
    <x v="0"/>
  </r>
  <r>
    <x v="3"/>
    <s v="HPE MSA 10TB 12G SAS 7.2K LFF 512e HDD"/>
    <s v="Disk"/>
    <x v="0"/>
    <s v="P9M82A"/>
    <s v="THH917Z07F"/>
    <n v="1"/>
    <s v="IRIS-MSA-I01-05"/>
    <s v="_"/>
    <x v="0"/>
  </r>
  <r>
    <x v="3"/>
    <s v="HPE MSA 10TB 12G SAS 7.2K LFF 512e HDD"/>
    <s v="Disk"/>
    <x v="0"/>
    <s v="P9M82A"/>
    <s v="THH917Z08D"/>
    <n v="1"/>
    <s v="IRIS-MSA-I01-06"/>
    <s v="_"/>
    <x v="0"/>
  </r>
  <r>
    <x v="3"/>
    <s v="HPE MSA 10TB 12G SAS 7.2K LFF 512e HDD"/>
    <s v="Disk"/>
    <x v="0"/>
    <s v="P9M82A"/>
    <s v="THH917Z07G"/>
    <n v="1"/>
    <s v="IRIS-MSA-I01-07"/>
    <s v="_"/>
    <x v="0"/>
  </r>
  <r>
    <x v="3"/>
    <s v="HPE MSA 10TB 12G SAS 7.2K LFF 512e HDD"/>
    <s v="Disk"/>
    <x v="0"/>
    <s v="P9M82A"/>
    <s v="THH917Z07P"/>
    <n v="1"/>
    <s v="IRIS-MSA-I01-08"/>
    <s v="_"/>
    <x v="0"/>
  </r>
  <r>
    <x v="3"/>
    <s v="HPE MSA 10TB 12G SAS 7.2K LFF 512e HDD"/>
    <s v="Disk"/>
    <x v="0"/>
    <s v="P9M82A"/>
    <s v="THH917Z08C"/>
    <n v="1"/>
    <s v="IRIS-MSA-I01-09"/>
    <s v="_"/>
    <x v="0"/>
  </r>
  <r>
    <x v="3"/>
    <s v="HPE MSA 10TB 12G SAS 7.2K LFF 512e HDD"/>
    <s v="Disk"/>
    <x v="0"/>
    <s v="P9M82A"/>
    <s v="THH917Z086"/>
    <n v="1"/>
    <s v="IRIS-MSA-I01-10"/>
    <s v="_"/>
    <x v="0"/>
  </r>
  <r>
    <x v="3"/>
    <s v="HPE MSA 10TB 12G SAS 7.2K LFF 512e HDD"/>
    <s v="Disk"/>
    <x v="0"/>
    <s v="P9M82A"/>
    <s v="THH917Z07E"/>
    <n v="1"/>
    <s v="IRIS-MSA-I01-11"/>
    <s v="_"/>
    <x v="0"/>
  </r>
  <r>
    <x v="3"/>
    <s v="HPE MSA 10TB 12G SAS 7.2K LFF 512e HDD"/>
    <s v="Disk"/>
    <x v="0"/>
    <s v="P9M82A"/>
    <s v="THH917Z07A"/>
    <n v="1"/>
    <s v="IRIS-MSA-I01-12"/>
    <s v="_"/>
    <x v="0"/>
  </r>
  <r>
    <x v="3"/>
    <s v="HPE MSA 16GB SW FC SFP"/>
    <s v="SFP module"/>
    <x v="0"/>
    <s v="720999-002"/>
    <s v="MY890510HH"/>
    <n v="1"/>
    <s v="_"/>
    <s v="_"/>
    <x v="0"/>
  </r>
  <r>
    <x v="3"/>
    <s v="HPE MSA 16GB SW FC SFP"/>
    <s v="SFP module"/>
    <x v="0"/>
    <s v="720999-002"/>
    <s v="MY890510H7"/>
    <n v="1"/>
    <s v="_"/>
    <s v="_"/>
    <x v="0"/>
  </r>
  <r>
    <x v="3"/>
    <s v="HPE MSA 16GB SW FC SFP"/>
    <s v="SFP module"/>
    <x v="0"/>
    <s v="720999-002"/>
    <s v="MY890510HB"/>
    <n v="1"/>
    <s v="_"/>
    <s v="_"/>
    <x v="0"/>
  </r>
  <r>
    <x v="3"/>
    <s v="HPE MSA 16GB SW FC SFP"/>
    <s v="SFP module"/>
    <x v="0"/>
    <s v="720999-002"/>
    <s v="MY890510H9"/>
    <n v="1"/>
    <s v="_"/>
    <s v="_"/>
    <x v="0"/>
  </r>
  <r>
    <x v="3"/>
    <s v="HPE MSA 16GB SW FC SFP"/>
    <s v="SFP module"/>
    <x v="0"/>
    <s v="720999-002"/>
    <s v="MY890511KG"/>
    <n v="1"/>
    <s v="_"/>
    <s v="_"/>
    <x v="0"/>
  </r>
  <r>
    <x v="3"/>
    <s v="HPE MSA 16GB SW FC SFP"/>
    <s v="SFP module"/>
    <x v="0"/>
    <s v="720999-002"/>
    <s v="MY890511K1"/>
    <n v="1"/>
    <s v="_"/>
    <s v="_"/>
    <x v="0"/>
  </r>
  <r>
    <x v="3"/>
    <s v="HPE MSA 16GB SW FC SFP"/>
    <s v="SFP module"/>
    <x v="0"/>
    <s v="720999-002"/>
    <s v="MY890511KM"/>
    <n v="1"/>
    <s v="_"/>
    <s v="_"/>
    <x v="0"/>
  </r>
  <r>
    <x v="3"/>
    <s v="HPE MSA 16GB SW FC SFP"/>
    <s v="SFP module"/>
    <x v="0"/>
    <s v="720999-002"/>
    <s v="MY890511JW"/>
    <n v="1"/>
    <s v="_"/>
    <s v="_"/>
    <x v="0"/>
  </r>
  <r>
    <x v="3"/>
    <s v="NTP TIME SERVER WITH OCXO"/>
    <s v="NTP Server"/>
    <x v="2"/>
    <s v="T101R-10us-AC-I/O-OCXOMR"/>
    <s v="0814296"/>
    <n v="1"/>
    <s v="_"/>
    <s v="IRIS-NTP-I01"/>
    <x v="0"/>
  </r>
  <r>
    <x v="3"/>
    <s v="HPE R5000 3U IECSO9-32A HV INTL UPS"/>
    <s v="UPS"/>
    <x v="0"/>
    <s v="AF461A"/>
    <s v="ACC8390071"/>
    <n v="1"/>
    <s v="_"/>
    <s v="IRIS-UPS-I01"/>
    <x v="0"/>
  </r>
  <r>
    <x v="3"/>
    <s v="Delivery External Usb Hard Disk - WD Elements Portable SE 1TB USB 3.0 2.5In"/>
    <s v="Disk WDE - Delivery"/>
    <x v="9"/>
    <s v="WDBUZG0010BBK-0B"/>
    <s v="WXV1A881S44R"/>
    <m/>
    <s v="_"/>
    <s v="_"/>
    <x v="0"/>
  </r>
  <r>
    <x v="3"/>
    <s v="VM Initial Backup - WD Elements Portable SE 2TB USB 3.0 2.5In"/>
    <s v="Disk WDE - VM Iinitial BKP"/>
    <x v="9"/>
    <s v="WDBU6Y0020BBK-0B"/>
    <s v="WXW1EB83FM5L"/>
    <m/>
    <s v="_"/>
    <s v="_"/>
    <x v="0"/>
  </r>
  <r>
    <x v="3"/>
    <s v="Deployment Workstation - DataTraveler 100 G3 - 32 Go"/>
    <s v="DT100G3/32GB"/>
    <x v="4"/>
    <s v="DT100G3/32GB"/>
    <s v="N/A"/>
    <n v="1"/>
    <s v="_"/>
    <s v="_"/>
    <x v="0"/>
  </r>
  <r>
    <x v="3"/>
    <s v="Deployment Workstation - DataTraveler 100 G3 - 32 Go"/>
    <s v="DT100G3/32GB"/>
    <x v="4"/>
    <s v="DT100G3/32GB"/>
    <s v="N/A"/>
    <n v="1"/>
    <s v="_"/>
    <s v="_"/>
    <x v="0"/>
  </r>
  <r>
    <x v="3"/>
    <s v="HP ZBOOK 17 G4"/>
    <s v="Laptop"/>
    <x v="5"/>
    <s v="Y3J81AV"/>
    <s v="2019.05.17099"/>
    <n v="1"/>
    <s v="IOSINT Worsktation"/>
    <s v="IRIS-MMCO1-I01"/>
    <x v="0"/>
  </r>
  <r>
    <x v="3"/>
    <s v="HP 512GB 2280 M2 PCIe 3x4 DS NVME EU"/>
    <s v="HP 512GB M2"/>
    <x v="4"/>
    <s v="861960-003"/>
    <s v=""/>
    <n v="1"/>
    <s v="IRIS-MMCO1-I01"/>
    <s v="_"/>
    <x v="1"/>
  </r>
  <r>
    <x v="3"/>
    <s v="HP 1TB 7200RPM SATA 6.0 Gbps 2.5 64MB"/>
    <s v="HP 1TB 7.2K"/>
    <x v="4"/>
    <s v="Y3J93AV"/>
    <s v=""/>
    <n v="1"/>
    <s v="IRIS-MMCO1-I01"/>
    <s v="_"/>
    <x v="1"/>
  </r>
  <r>
    <x v="3"/>
    <s v="HP USB Business Slim Keyboard - Hungarian"/>
    <s v="Keyboard"/>
    <x v="5"/>
    <s v="803181-211"/>
    <s v="2019.05.17138"/>
    <n v="1"/>
    <s v="IRIS-MMCO1-I01"/>
    <s v="_"/>
    <x v="0"/>
  </r>
  <r>
    <x v="3"/>
    <s v="HP USB Optical Mouse"/>
    <s v="Mouse"/>
    <x v="5"/>
    <s v="678652-001"/>
    <s v="N/A"/>
    <n v="1"/>
    <s v="IRIS-MMCO1-I01"/>
    <s v="_"/>
    <x v="0"/>
  </r>
  <r>
    <x v="3"/>
    <s v="Thunderbolts 3 to dual DisplayPort Adapter"/>
    <s v="Thunderbolt"/>
    <x v="5"/>
    <s v="TB32DP2T"/>
    <s v="2019.09.27859"/>
    <n v="1"/>
    <s v="IRIS-MMCO1-I01"/>
    <s v="_"/>
    <x v="0"/>
  </r>
  <r>
    <x v="3"/>
    <s v="HP EliteDisplay E243i"/>
    <s v="Screen"/>
    <x v="5"/>
    <s v="1FH49AT"/>
    <s v="2019.05.17514"/>
    <n v="1"/>
    <s v="IRIS-MMCO1-I01"/>
    <s v="IRIS-24-SCR01-I01"/>
    <x v="0"/>
  </r>
  <r>
    <x v="3"/>
    <s v="HP EliteDisplay E243i"/>
    <s v="Screen"/>
    <x v="5"/>
    <s v="1FH49AT"/>
    <s v="2019.05.17513"/>
    <n v="1"/>
    <s v="IRIS-MMCO1-I01"/>
    <s v="IRIS-24-SCR02-I01"/>
    <x v="0"/>
  </r>
  <r>
    <x v="3"/>
    <s v="OSINT Data Collection - WD Elements Portable SE 2TB USB 3.0 2.5In"/>
    <s v="Disk WDE - OSINT Data"/>
    <x v="5"/>
    <s v="WDBU6Y0020BBK-0B"/>
    <s v="2019.09.27884"/>
    <m/>
    <s v="IRIS-MMCO1-I01"/>
    <s v="_"/>
    <x v="0"/>
  </r>
  <r>
    <x v="3"/>
    <s v="OSINT Data Collection - WD Elements Portable SE 2TB USB 3.0 2.5In"/>
    <s v="Disk WDE - OSINT Data"/>
    <x v="5"/>
    <s v="WDBU6Y0020BBK-0B"/>
    <s v="2019.09.27885"/>
    <m/>
    <s v="IRIS-MMCO1-I01"/>
    <s v="_"/>
    <x v="0"/>
  </r>
  <r>
    <x v="3"/>
    <s v="HP ZBOOK 17 G4"/>
    <s v="Laptop"/>
    <x v="5"/>
    <s v="Y3J81AV"/>
    <s v="2019.05.17120"/>
    <n v="1"/>
    <s v="Incluses I4DEXPLORER"/>
    <s v="IRIS-OPR01-I01"/>
    <x v="0"/>
  </r>
  <r>
    <x v="3"/>
    <s v="HP 512GB 2280 M2 PCIe 3x4 DS NVME EU"/>
    <s v="HP 512GB M2"/>
    <x v="4"/>
    <s v="861960-003"/>
    <s v=""/>
    <n v="1"/>
    <s v="IRIS-OPR01-I01"/>
    <s v="_"/>
    <x v="1"/>
  </r>
  <r>
    <x v="3"/>
    <s v="HP USB Business Slim Keyboard - Hungarian"/>
    <s v="Keyboard"/>
    <x v="5"/>
    <s v="803181-211"/>
    <s v="2019.05.17159"/>
    <n v="1"/>
    <s v="IRIS-OPR01-I01"/>
    <s v="_"/>
    <x v="0"/>
  </r>
  <r>
    <x v="3"/>
    <s v="HP USB Optical Mouse"/>
    <s v="Mouse"/>
    <x v="5"/>
    <s v="678652-001"/>
    <s v="N/A"/>
    <n v="1"/>
    <s v="IRIS-OPR01-I01"/>
    <s v="_"/>
    <x v="0"/>
  </r>
  <r>
    <x v="3"/>
    <s v="USB 3.0 to Gigabit Ethernet Fiber Optic Network Adapter - 1000Base-SX SC"/>
    <s v="USB-Fiber"/>
    <x v="5"/>
    <s v="US1GA30SXSC"/>
    <s v="2019.09.27805"/>
    <n v="1"/>
    <s v="IRIS-OPR01-I01"/>
    <s v="_"/>
    <x v="0"/>
  </r>
  <r>
    <x v="3"/>
    <s v="Thunderbolts 3 to dual DisplayPort Adapter"/>
    <s v="Thunderbolt"/>
    <x v="5"/>
    <s v="TB32DP2T"/>
    <s v="2019.09.27847"/>
    <n v="1"/>
    <s v="IRIS-OPR01-I01"/>
    <s v="_"/>
    <x v="0"/>
  </r>
  <r>
    <x v="3"/>
    <s v="HP EliteDisplay E243i"/>
    <s v="Screen"/>
    <x v="5"/>
    <s v="1FH49AT"/>
    <s v="2019.05.17512"/>
    <n v="1"/>
    <s v="IRIS-OPR01-I01"/>
    <s v="IRIS-24-SCR03-I01"/>
    <x v="0"/>
  </r>
  <r>
    <x v="3"/>
    <s v="HP EliteDisplay E243i"/>
    <s v="Screen"/>
    <x v="5"/>
    <s v="1FH49AT"/>
    <s v="2019.05.17511"/>
    <n v="1"/>
    <s v="IRIS-OPR01-I01"/>
    <s v="IRIS-24-SCR04-I01"/>
    <x v="0"/>
  </r>
  <r>
    <x v="3"/>
    <s v="HP ZBOOK 17 G4"/>
    <s v="Laptop"/>
    <x v="5"/>
    <s v="Y3J81AV"/>
    <s v="2019.05.17121"/>
    <n v="1"/>
    <s v="Incluses I4DEXPLORER"/>
    <s v="IRIS-OPR02-I01"/>
    <x v="0"/>
  </r>
  <r>
    <x v="3"/>
    <s v="HP 512GB 2280 M2 PCIe 3x4 DS NVME EU"/>
    <s v="HP 512GB M2"/>
    <x v="4"/>
    <s v="861960-003"/>
    <s v=""/>
    <n v="1"/>
    <s v="IRIS-OPR02-I01"/>
    <s v="_"/>
    <x v="1"/>
  </r>
  <r>
    <x v="3"/>
    <s v="HP USB Business Slim Keyboard - Hungarian"/>
    <s v="Keyboard"/>
    <x v="5"/>
    <s v="803181-211"/>
    <s v="2019.05.17160"/>
    <n v="1"/>
    <s v="IRIS-OPR02-I01"/>
    <s v="_"/>
    <x v="0"/>
  </r>
  <r>
    <x v="3"/>
    <s v="HP USB Optical Mouse"/>
    <s v="Mouse"/>
    <x v="5"/>
    <s v="678652-001"/>
    <s v="N/A"/>
    <n v="1"/>
    <s v="IRIS-OPR02-I01"/>
    <s v="_"/>
    <x v="0"/>
  </r>
  <r>
    <x v="3"/>
    <s v="USB 3.0 to Gigabit Ethernet Fiber Optic Network Adapter - 1000Base-SX SC"/>
    <s v="USB-Fiber"/>
    <x v="5"/>
    <s v="US1GA30SXSC"/>
    <s v="2019.09.27829"/>
    <n v="1"/>
    <s v="IRIS-OPR02-I01"/>
    <s v="_"/>
    <x v="0"/>
  </r>
  <r>
    <x v="3"/>
    <s v="Thunderbolts 3 to dual DisplayPort Adapter"/>
    <s v="Thunderbolt"/>
    <x v="5"/>
    <s v="TB32DP2T"/>
    <s v="2019.09.27850"/>
    <n v="1"/>
    <s v="IRIS-OPR02-I01"/>
    <s v="_"/>
    <x v="0"/>
  </r>
  <r>
    <x v="3"/>
    <s v="HP EliteDisplay E243i"/>
    <s v="Screen"/>
    <x v="5"/>
    <s v="1FH49AT"/>
    <s v="2019.05.17510"/>
    <n v="1"/>
    <s v="IRIS-OPR02-I01"/>
    <s v="IRIS-24-SCR05-I01"/>
    <x v="0"/>
  </r>
  <r>
    <x v="3"/>
    <s v="HP EliteDisplay E243i"/>
    <s v="Screen"/>
    <x v="5"/>
    <s v="1FH49AT"/>
    <s v="2019.05.17515"/>
    <n v="1"/>
    <s v="IRIS-OPR02-I01"/>
    <s v="IRIS-24-SCR06-I01"/>
    <x v="0"/>
  </r>
  <r>
    <x v="3"/>
    <s v="HP ZBOOK 17 G4"/>
    <s v="Laptop"/>
    <x v="5"/>
    <s v="Y3J81AV"/>
    <s v="2019.05.17122"/>
    <n v="1"/>
    <s v="_"/>
    <s v="IRIS-OPR03-I01"/>
    <x v="0"/>
  </r>
  <r>
    <x v="3"/>
    <s v="HP 512GB 2280 M2 PCIe 3x4 DS NVME EU"/>
    <s v="HP 512GB M2"/>
    <x v="4"/>
    <s v="861960-003"/>
    <s v=""/>
    <n v="1"/>
    <s v="IRIS-OPR03-I01"/>
    <s v="_"/>
    <x v="1"/>
  </r>
  <r>
    <x v="3"/>
    <s v="HP USB Business Slim Keyboard - Hungarian"/>
    <s v="Keyboard"/>
    <x v="5"/>
    <s v="803181-211"/>
    <s v="2019.05.17161"/>
    <n v="1"/>
    <s v="IRIS-OPR03-I01"/>
    <s v="_"/>
    <x v="0"/>
  </r>
  <r>
    <x v="3"/>
    <s v="HP USB Optical Mouse"/>
    <s v="Mouse"/>
    <x v="5"/>
    <s v="678652-001"/>
    <s v="N/A"/>
    <n v="1"/>
    <s v="IRIS-OPR03-I01"/>
    <s v="_"/>
    <x v="0"/>
  </r>
  <r>
    <x v="3"/>
    <s v="USB 3.0 to Gigabit Ethernet Fiber Optic Network Adapter - 1000Base-SX SC"/>
    <s v="USB-Fiber"/>
    <x v="5"/>
    <s v="US1GA30SXSC"/>
    <s v="2019.09.27830"/>
    <n v="1"/>
    <s v="IRIS-OPR03-I01"/>
    <s v="_"/>
    <x v="0"/>
  </r>
  <r>
    <x v="3"/>
    <s v="Thunderbolts 3 to dual DisplayPort Adapter"/>
    <s v="Thunderbolt"/>
    <x v="5"/>
    <s v="TB32DP2T"/>
    <s v="2019.09.27860"/>
    <n v="1"/>
    <s v="IRIS-OPR03-I01"/>
    <s v="_"/>
    <x v="0"/>
  </r>
  <r>
    <x v="3"/>
    <s v="HP EliteDisplay E243i"/>
    <s v="Screen"/>
    <x v="5"/>
    <s v="1FH49AT"/>
    <s v="2019.05.17536"/>
    <n v="1"/>
    <s v="IRIS-OPR03-I01"/>
    <s v="IRIS-24-SCR07-I01"/>
    <x v="0"/>
  </r>
  <r>
    <x v="3"/>
    <s v="HP EliteDisplay E243i"/>
    <s v="Screen"/>
    <x v="5"/>
    <s v="1FH49AT"/>
    <s v="2019.05.17539"/>
    <n v="1"/>
    <s v="IRIS-OPR03-I01"/>
    <s v="IRIS-24-SCR08-I01"/>
    <x v="0"/>
  </r>
  <r>
    <x v="3"/>
    <s v="HP ZBOOK 17 G4"/>
    <s v="Laptop"/>
    <x v="5"/>
    <s v="Y3J81AV"/>
    <s v="2019.05.17123"/>
    <n v="1"/>
    <s v="_"/>
    <s v="IRIS-OPR04-I01"/>
    <x v="0"/>
  </r>
  <r>
    <x v="3"/>
    <s v="HP 512GB 2280 M2 PCIe 3x4 DS NVME EU"/>
    <s v="HP 512GB M2"/>
    <x v="4"/>
    <s v="861960-003"/>
    <s v=""/>
    <n v="1"/>
    <s v="IRIS-OPR04-I01"/>
    <s v="_"/>
    <x v="1"/>
  </r>
  <r>
    <x v="3"/>
    <s v="HP USB Business Slim Keyboard - Hungarian"/>
    <s v="Keyboard"/>
    <x v="5"/>
    <s v="803181-211"/>
    <s v="2019.05.17162"/>
    <n v="1"/>
    <s v="IRIS-OPR04-I01"/>
    <s v="_"/>
    <x v="0"/>
  </r>
  <r>
    <x v="3"/>
    <s v="HP USB Optical Mouse"/>
    <s v="Mouse"/>
    <x v="5"/>
    <s v="678652-001"/>
    <s v="N/A"/>
    <n v="1"/>
    <s v="IRIS-OPR04-I01"/>
    <s v="_"/>
    <x v="0"/>
  </r>
  <r>
    <x v="3"/>
    <s v="USB 3.0 to Gigabit Ethernet Fiber Optic Network Adapter - 1000Base-SX SC"/>
    <s v="USB-Fiber"/>
    <x v="5"/>
    <s v="US1GA30SXSC"/>
    <s v="2019.09.27806"/>
    <n v="1"/>
    <s v="IRIS-OPR04-I01"/>
    <s v="_"/>
    <x v="0"/>
  </r>
  <r>
    <x v="3"/>
    <s v="Thunderbolts 3 to dual DisplayPort Adapter"/>
    <s v="Thunderbolt"/>
    <x v="5"/>
    <s v="TB32DP2T"/>
    <s v="2019.09.27848"/>
    <n v="1"/>
    <s v="IRIS-OPR04-I01"/>
    <s v="_"/>
    <x v="0"/>
  </r>
  <r>
    <x v="3"/>
    <s v="HP EliteDisplay E243i"/>
    <s v="Screen"/>
    <x v="5"/>
    <s v="1FH49AT"/>
    <s v="2019.05.17535"/>
    <n v="1"/>
    <s v="IRIS-OPR04-I01"/>
    <s v="IRIS-24-SCR09-I01"/>
    <x v="0"/>
  </r>
  <r>
    <x v="3"/>
    <s v="HP EliteDisplay E243i"/>
    <s v="Screen"/>
    <x v="5"/>
    <s v="1FH49AT"/>
    <s v="2019.05.17534"/>
    <n v="1"/>
    <s v="IRIS-OPR04-I01"/>
    <s v="IRIS-24-SCR10-I01"/>
    <x v="0"/>
  </r>
  <r>
    <x v="3"/>
    <s v="HP ZBOOK 17 G4"/>
    <s v="Laptop"/>
    <x v="5"/>
    <s v="Y3J81AV"/>
    <s v="2019.05.17124"/>
    <n v="1"/>
    <s v="_"/>
    <s v="IRIS-OPR05-I01"/>
    <x v="0"/>
  </r>
  <r>
    <x v="3"/>
    <s v="HP 512GB 2280 M2 PCIe 3x4 DS NVME EU"/>
    <s v="HP 512GB M2"/>
    <x v="4"/>
    <s v="861960-003"/>
    <s v=""/>
    <n v="1"/>
    <s v="IRIS-OPR05-I01"/>
    <s v="_"/>
    <x v="1"/>
  </r>
  <r>
    <x v="3"/>
    <s v="HP USB Business Slim Keyboard - Hungarian"/>
    <s v="Keyboard"/>
    <x v="5"/>
    <s v="803181-211"/>
    <s v="2019.05.17163"/>
    <n v="1"/>
    <s v="IRIS-OPR05-I01"/>
    <s v="_"/>
    <x v="0"/>
  </r>
  <r>
    <x v="3"/>
    <s v="HP USB Optical Mouse"/>
    <s v="Mouse"/>
    <x v="5"/>
    <s v="678652-001"/>
    <s v="N/A"/>
    <n v="1"/>
    <s v="IRIS-OPR05-I01"/>
    <s v="_"/>
    <x v="0"/>
  </r>
  <r>
    <x v="3"/>
    <s v="USB 3.0 to Gigabit Ethernet Fiber Optic Network Adapter - 1000Base-SX SC"/>
    <s v="USB-Fiber"/>
    <x v="5"/>
    <s v="US1GA30SXSC"/>
    <s v="2019.09.27804"/>
    <n v="1"/>
    <s v="IRIS-OPR05-I01"/>
    <s v="_"/>
    <x v="0"/>
  </r>
  <r>
    <x v="3"/>
    <s v="Thunderbolts 3 to dual DisplayPort Adapter"/>
    <s v="Thunderbolt"/>
    <x v="5"/>
    <s v="TB32DP2T"/>
    <s v="2019.09.27849"/>
    <n v="1"/>
    <s v="IRIS-OPR05-I01"/>
    <s v="_"/>
    <x v="0"/>
  </r>
  <r>
    <x v="3"/>
    <s v="HP EliteDisplay E243i"/>
    <s v="Screen"/>
    <x v="5"/>
    <s v="1FH49AT"/>
    <s v="2019.05.17537"/>
    <n v="1"/>
    <s v="IRIS-OPR05-I01"/>
    <s v="IRIS-24-SCR11-I01"/>
    <x v="0"/>
  </r>
  <r>
    <x v="3"/>
    <s v="HP EliteDisplay E243i"/>
    <s v="Screen"/>
    <x v="5"/>
    <s v="1FH49AT"/>
    <s v="2019.05.17540"/>
    <n v="1"/>
    <s v="IRIS-OPR05-I01"/>
    <s v="IRIS-24-SCR12-I01"/>
    <x v="0"/>
  </r>
  <r>
    <x v="3"/>
    <s v="HP ZBOOK 17 G4"/>
    <s v="Laptop"/>
    <x v="5"/>
    <s v="Y3J81AV"/>
    <s v="2019.05.17125"/>
    <n v="1"/>
    <s v="_"/>
    <s v="IRIS-OPR06-I01"/>
    <x v="0"/>
  </r>
  <r>
    <x v="3"/>
    <s v="HP 512GB 2280 M2 PCIe 3x4 DS NVME EU"/>
    <s v="HP 512GB M2"/>
    <x v="4"/>
    <s v="861960-003"/>
    <s v=""/>
    <n v="1"/>
    <s v="IRIS-OPR06-I01"/>
    <s v="_"/>
    <x v="1"/>
  </r>
  <r>
    <x v="3"/>
    <s v="HP USB Business Slim Keyboard - Hungarian"/>
    <s v="Keyboard"/>
    <x v="5"/>
    <s v="803181-211"/>
    <s v="2019.05.17164"/>
    <n v="1"/>
    <s v="IRIS-OPR06-I01"/>
    <s v="_"/>
    <x v="0"/>
  </r>
  <r>
    <x v="3"/>
    <s v="HP USB Optical Mouse"/>
    <s v="Mouse"/>
    <x v="5"/>
    <s v="678652-001"/>
    <s v="N/A"/>
    <n v="1"/>
    <s v="IRIS-OPR06-I01"/>
    <s v="_"/>
    <x v="0"/>
  </r>
  <r>
    <x v="3"/>
    <s v="USB 3.0 to Gigabit Ethernet Fiber Optic Network Adapter - 1000Base-SX SC"/>
    <s v="USB-Fiber"/>
    <x v="5"/>
    <s v="US1GA30SXSC"/>
    <s v="2019.09.27832"/>
    <n v="1"/>
    <s v="IRIS-OPR06-I01"/>
    <s v="_"/>
    <x v="0"/>
  </r>
  <r>
    <x v="3"/>
    <s v="Thunderbolts 3 to dual DisplayPort Adapter"/>
    <s v="Thunderbolt"/>
    <x v="5"/>
    <s v="TB32DP2T"/>
    <s v="2019.09.27851"/>
    <n v="1"/>
    <s v="IRIS-OPR06-I01"/>
    <s v="_"/>
    <x v="0"/>
  </r>
  <r>
    <x v="3"/>
    <s v="HP Z27n G2"/>
    <s v="Screen"/>
    <x v="5"/>
    <s v="1JS10AT"/>
    <s v="2019.05.17556"/>
    <n v="1"/>
    <s v="IRIS-OPR06-I01"/>
    <s v="IRIS-27-SCR01-I01"/>
    <x v="0"/>
  </r>
  <r>
    <x v="3"/>
    <s v="HP Z27n G2"/>
    <s v="Screen"/>
    <x v="5"/>
    <s v="1JS10AT"/>
    <s v="2019.05.17560"/>
    <n v="1"/>
    <s v="IRIS-OPR06-I01"/>
    <s v="IRIS-27-SCR02-I01"/>
    <x v="0"/>
  </r>
  <r>
    <x v="3"/>
    <s v="SPARE / IRIS - I01"/>
    <s v="SPARE / IRIS - I01"/>
    <x v="6"/>
    <s v="_"/>
    <s v="_"/>
    <n v="1"/>
    <s v="SPARE / IRIS - I01"/>
    <s v="_"/>
    <x v="1"/>
  </r>
  <r>
    <x v="3"/>
    <s v="HP ZBOOK 17 G4"/>
    <s v="Laptop"/>
    <x v="5"/>
    <s v="Y3J81AV"/>
    <s v="2019.05.17100"/>
    <n v="1"/>
    <s v="_"/>
    <s v="IRIS-MM-SPARE-I01"/>
    <x v="0"/>
  </r>
  <r>
    <x v="3"/>
    <s v="HP 512GB 2280 M2 PCIe 3x4 DS NVME EU"/>
    <s v="HP 512GB M2"/>
    <x v="4"/>
    <s v="861960-003"/>
    <s v=""/>
    <n v="1"/>
    <s v="IRIS-MM-SPARE-I01"/>
    <s v="_"/>
    <x v="1"/>
  </r>
  <r>
    <x v="3"/>
    <s v="HP 1TB 7200RPM SATA 6.0 Gbps 2.5 64MB"/>
    <s v="HP 1TB 7.2K"/>
    <x v="4"/>
    <s v="Y3J93AV"/>
    <s v=""/>
    <n v="1"/>
    <s v="IRIS-MM-SPARE-I01"/>
    <s v="_"/>
    <x v="1"/>
  </r>
  <r>
    <x v="3"/>
    <s v="HP USB Business Slim Keyboard - Hungarian"/>
    <s v="Keyboard"/>
    <x v="5"/>
    <s v="803181-211"/>
    <s v="2019.05.17139"/>
    <n v="1"/>
    <s v="IRIS-MM-SPARE-I01"/>
    <s v="_"/>
    <x v="0"/>
  </r>
  <r>
    <x v="3"/>
    <s v="HP USB Optical Mouse"/>
    <s v="Mouse"/>
    <x v="5"/>
    <s v="678652-001"/>
    <s v="N/A"/>
    <n v="1"/>
    <s v="IRIS-MM-SPARE-I01"/>
    <s v="_"/>
    <x v="0"/>
  </r>
  <r>
    <x v="3"/>
    <s v="USB 3.0 to Gigabit Ethernet Fiber Optic Network Adapter - 1000Base-SX SC"/>
    <s v="USB-Fiber"/>
    <x v="5"/>
    <s v="US1GA30SXSC"/>
    <s v="2019.09.27831"/>
    <n v="1"/>
    <s v="_"/>
    <s v="_"/>
    <x v="0"/>
  </r>
  <r>
    <x v="3"/>
    <s v="Thunderbolts 3 to dual DisplayPort Adapter"/>
    <s v="Thunderbolt"/>
    <x v="5"/>
    <s v="TB32DP2T"/>
    <s v="2019.09.27871"/>
    <n v="1"/>
    <s v="_"/>
    <s v="_"/>
    <x v="0"/>
  </r>
  <r>
    <x v="3"/>
    <s v="Thunderbolts 3 to dual DisplayPort Adapter"/>
    <s v="Thunderbolt"/>
    <x v="5"/>
    <s v="TB32DP2T"/>
    <s v="2019.09.27870"/>
    <n v="1"/>
    <s v="_"/>
    <s v="_"/>
    <x v="0"/>
  </r>
  <r>
    <x v="3"/>
    <s v="HP EliteDisplay E243i"/>
    <s v="Screen"/>
    <x v="5"/>
    <s v="1FH49AT"/>
    <s v="2019.05.17544"/>
    <n v="1"/>
    <s v="_"/>
    <s v="IRIS-24-SPARE01-I01"/>
    <x v="0"/>
  </r>
  <r>
    <x v="3"/>
    <s v="HP EliteDisplay E243i"/>
    <s v="Screen"/>
    <x v="5"/>
    <s v="1FH49AT"/>
    <s v="2019.05.17542"/>
    <n v="1"/>
    <s v="_"/>
    <s v="IRIS-24-SPARE02-I01"/>
    <x v="0"/>
  </r>
  <r>
    <x v="3"/>
    <s v="HP Z27n G2"/>
    <s v="Screen"/>
    <x v="5"/>
    <s v="1JS10AT"/>
    <s v="2019.05.17564"/>
    <n v="1"/>
    <s v="_"/>
    <s v="IRIS-27-SPARE01-I01"/>
    <x v="0"/>
  </r>
  <r>
    <x v="3"/>
    <s v="SDC4/8GB - 8GB microSDHC (Class 4)"/>
    <s v="SDC4/8GB"/>
    <x v="4"/>
    <s v="SDC4/8GBSP - 8GB2 microSDHC (Class 4)"/>
    <s v="N/A"/>
    <n v="1"/>
    <s v="_"/>
    <s v="IRIS-8GB-SPARE-I01"/>
    <x v="0"/>
  </r>
  <r>
    <x v="3"/>
    <s v="HPE 400GB SAS 12G MU SFF SC DS 550"/>
    <s v="Disk"/>
    <x v="0"/>
    <s v="P09088-B21"/>
    <s v="5C3905J06K"/>
    <n v="1"/>
    <s v="_"/>
    <s v="IRIS-400GB-SPARE-I01"/>
    <x v="0"/>
  </r>
  <r>
    <x v="3"/>
    <s v="HP 512GB 2280 M2 PCIe 3x4 DS NVME EU"/>
    <s v="HP 512GB M2"/>
    <x v="4"/>
    <s v="861960-003"/>
    <s v="S34CNX0K821452"/>
    <n v="1"/>
    <s v="_"/>
    <s v="IRIS-512GB-SPARE-I01"/>
    <x v="0"/>
  </r>
  <r>
    <x v="3"/>
    <s v="HPE MSA 10TB 12G SAS 7.2K LFF 512e HDD"/>
    <s v="Disk"/>
    <x v="4"/>
    <s v="P9M82A"/>
    <s v="JEHGMSJN"/>
    <n v="1"/>
    <s v="_"/>
    <s v="IRIS-10TB-SPARE01-I01"/>
    <x v="0"/>
  </r>
  <r>
    <x v="3"/>
    <s v="HPE MSA 10TB 12G SAS 7.2K LFF 512e HDD"/>
    <s v="Disk"/>
    <x v="4"/>
    <s v="P9M82A"/>
    <s v="JEHDZHHN"/>
    <n v="1"/>
    <s v="_"/>
    <s v="IRIS-10TB-SPARE02-I01"/>
    <x v="0"/>
  </r>
  <r>
    <x v="3"/>
    <s v="10GBASE-SR SFP MODULE"/>
    <s v="SFP module"/>
    <x v="7"/>
    <s v="SFP-10G-SR-S"/>
    <s v="AVD2305D7EE"/>
    <n v="1"/>
    <s v="_"/>
    <s v="IRIS-10GB-SR-SPARE01-I01"/>
    <x v="0"/>
  </r>
  <r>
    <x v="3"/>
    <s v="10GBASE-SR SFP MODULE"/>
    <s v="SFP module"/>
    <x v="7"/>
    <s v="SFP-10G-SR-S"/>
    <s v="AVD2305D7EG"/>
    <n v="1"/>
    <s v="_"/>
    <s v="IRIS-10GB-SR-SPARE02-I01"/>
    <x v="0"/>
  </r>
  <r>
    <x v="3"/>
    <s v="1000BASE-SX SFP TRANSCEIVER MODULE"/>
    <s v="SFP module"/>
    <x v="7"/>
    <s v="GLC-SX-MMD"/>
    <s v="ACW23040YUT"/>
    <n v="1"/>
    <s v="_"/>
    <s v="IRIS-1GB-SX-SPARE01-I01"/>
    <x v="0"/>
  </r>
  <r>
    <x v="3"/>
    <s v="1000BASE-SX SFP TRANSCEIVER MODULE"/>
    <s v="SFP module"/>
    <x v="7"/>
    <s v="GLC-SX-MMD"/>
    <s v="ACW23040Z2R"/>
    <n v="1"/>
    <s v="_"/>
    <s v="IRIS-1GB-SX-SPARE02-I01"/>
    <x v="0"/>
  </r>
  <r>
    <x v="3"/>
    <s v="1000BASE-T SFP TRANSCEIVER MODULE FOR CATEGORY 5 COPPER WIRE"/>
    <s v="SFP module"/>
    <x v="7"/>
    <s v="GLC-TE"/>
    <s v="SMTC22380BHC"/>
    <n v="1"/>
    <s v="_"/>
    <s v="IRIS-1GB-T-SPARE-I01"/>
    <x v="0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44">
  <r>
    <x v="0"/>
    <s v="HPE DL360 Gen10 8SFF CTO Server"/>
    <s v="Server"/>
    <s v="HPE"/>
    <s v="867959-B21"/>
    <s v="CZJ91702JG"/>
    <n v="1"/>
    <s v="_"/>
    <s v="IRIS-SRV1-A01"/>
  </r>
  <r>
    <x v="0"/>
    <s v="HPE BLc 10G SFP+ SR Transceiver"/>
    <s v="SFP module"/>
    <s v="HPE"/>
    <s v="455883-B21"/>
    <s v="7CR839442G"/>
    <n v="1"/>
    <s v="_"/>
    <s v="_"/>
  </r>
  <r>
    <x v="0"/>
    <s v="HPE BLc 10G SFP+ SR Transceiver"/>
    <s v="SFP module"/>
    <s v="HPE"/>
    <s v="455883-B21"/>
    <s v="7CR83941ZH"/>
    <n v="1"/>
    <s v="_"/>
    <s v="_"/>
  </r>
  <r>
    <x v="0"/>
    <s v="HPE 16G SFP+ SW XCVR-C"/>
    <s v="SFP module"/>
    <s v="HPE"/>
    <s v="E7Y10-63001"/>
    <s v="MY8911123R"/>
    <n v="1"/>
    <s v="_"/>
    <s v="_"/>
  </r>
  <r>
    <x v="0"/>
    <s v="HPE 16G SFP+ SW XCVR-C"/>
    <s v="SFP module"/>
    <s v="HPE"/>
    <s v="E7Y10-63001"/>
    <s v="MY8911123X"/>
    <n v="1"/>
    <s v="_"/>
    <s v="_"/>
  </r>
  <r>
    <x v="0"/>
    <s v="HPE DL360 Gen10 8SFF CTO Server"/>
    <s v="Server"/>
    <s v="HPE"/>
    <s v="867959-B21"/>
    <s v="CZJ91702JH"/>
    <n v="1"/>
    <s v="_"/>
    <s v="IRIS-SRV2-A01"/>
  </r>
  <r>
    <x v="0"/>
    <s v="HPE BLc 10G SFP+ SR Transceiver"/>
    <s v="SFP module"/>
    <s v="HPE"/>
    <s v="455883-B21"/>
    <s v="7CR83941ZR"/>
    <n v="1"/>
    <s v="_"/>
    <s v="_"/>
  </r>
  <r>
    <x v="0"/>
    <s v="HPE BLc 10G SFP+ SR Transceiver"/>
    <s v="SFP module"/>
    <s v="HPE"/>
    <s v="455883-B21"/>
    <s v="7CR8394312"/>
    <n v="1"/>
    <s v="_"/>
    <s v="_"/>
  </r>
  <r>
    <x v="0"/>
    <s v="HPE 16G SFP+ SW XCVR-C"/>
    <s v="SFP module"/>
    <s v="HPE"/>
    <s v="E7Y10-63001"/>
    <s v="MY8911120N"/>
    <n v="1"/>
    <s v="_"/>
    <s v="_"/>
  </r>
  <r>
    <x v="0"/>
    <s v="HPE 16G SFP+ SW XCVR-C"/>
    <s v="SFP module"/>
    <s v="HPE"/>
    <s v="E7Y10-63001"/>
    <s v="MY8911123B"/>
    <n v="1"/>
    <s v="_"/>
    <s v="_"/>
  </r>
  <r>
    <x v="0"/>
    <s v="CATALYST 3850 24 PORT 10G FIBER SWITCH BASE"/>
    <s v="Switch"/>
    <s v="CISCO"/>
    <s v="WS-C3850-24XS-S"/>
    <s v="FOC2307U0FG"/>
    <n v="1"/>
    <s v="_"/>
    <s v="IRIS-SW1-A01"/>
  </r>
  <r>
    <x v="0"/>
    <s v="10GBASE-SR SFP MODULE"/>
    <s v="SFP module"/>
    <s v="CISCO"/>
    <s v="SFP-10G-SR-S"/>
    <s v="AVD2305D1NC"/>
    <n v="1"/>
    <s v="_"/>
    <s v="_"/>
  </r>
  <r>
    <x v="0"/>
    <s v="10GBASE-SR SFP MODULE"/>
    <s v="SFP module"/>
    <s v="CISCO"/>
    <s v="SFP-10G-SR-S"/>
    <s v="AVD2305D7H5"/>
    <n v="1"/>
    <s v="_"/>
    <s v="_"/>
  </r>
  <r>
    <x v="0"/>
    <s v="10GBASE-SR SFP MODULE"/>
    <s v="SFP module"/>
    <s v="CISCO"/>
    <s v="SFP-10G-SR-S"/>
    <s v="AVD2305D7GK"/>
    <n v="1"/>
    <s v="_"/>
    <s v="_"/>
  </r>
  <r>
    <x v="0"/>
    <s v="1000BASE-SX SFP TRANSCEIVER MODULE"/>
    <s v="SFP module"/>
    <s v="CISCO"/>
    <s v="GLC-SX-MMD"/>
    <s v="ACW23040Z9S"/>
    <n v="1"/>
    <s v="_"/>
    <s v="_"/>
  </r>
  <r>
    <x v="0"/>
    <s v="1000BASE-SX SFP TRANSCEIVER MODULE"/>
    <s v="SFP module"/>
    <s v="CISCO"/>
    <s v="GLC-SX-MMD"/>
    <s v="ACW23040ZDW"/>
    <n v="1"/>
    <s v="_"/>
    <s v="_"/>
  </r>
  <r>
    <x v="0"/>
    <s v="1000BASE-SX SFP TRANSCEIVER MODULE"/>
    <s v="SFP module"/>
    <s v="CISCO"/>
    <s v="GLC-SX-MMD"/>
    <s v="ACW23040YW4"/>
    <n v="1"/>
    <s v="_"/>
    <s v="_"/>
  </r>
  <r>
    <x v="0"/>
    <s v="1000BASE-SX SFP TRANSCEIVER MODULE"/>
    <s v="SFP module"/>
    <s v="CISCO"/>
    <s v="GLC-SX-MMD"/>
    <s v="ACW23031MX0"/>
    <n v="1"/>
    <s v="_"/>
    <s v="_"/>
  </r>
  <r>
    <x v="0"/>
    <s v="1000BASE-SX SFP TRANSCEIVER MODULE"/>
    <s v="SFP module"/>
    <s v="CISCO"/>
    <s v="GLC-SX-MMD"/>
    <s v="ACW23031NRX"/>
    <n v="1"/>
    <s v="_"/>
    <s v="_"/>
  </r>
  <r>
    <x v="0"/>
    <s v="1000BASE-SX SFP TRANSCEIVER MODULE"/>
    <s v="SFP module"/>
    <s v="CISCO"/>
    <s v="GLC-SX-MMD"/>
    <s v="ACW23040YW3"/>
    <n v="1"/>
    <s v="_"/>
    <s v="_"/>
  </r>
  <r>
    <x v="0"/>
    <s v="1000BASE-T SFP TRANSCEIVER MODULE FOR CATEGORY 5 COPPER WIRE"/>
    <s v="SFP module"/>
    <s v="CISCO"/>
    <s v="GLC-TE"/>
    <s v="AVC230721F8"/>
    <n v="1"/>
    <s v="_"/>
    <s v="_"/>
  </r>
  <r>
    <x v="0"/>
    <s v="1000BASE-T SFP TRANSCEIVER MODULE FOR CATEGORY 5 COPPER WIRE"/>
    <s v="SFP module"/>
    <s v="CISCO"/>
    <s v="GLC-TE"/>
    <s v="AVC230721FA"/>
    <n v="1"/>
    <s v="_"/>
    <s v="_"/>
  </r>
  <r>
    <x v="0"/>
    <s v="1000BASE-T SFP TRANSCEIVER MODULE FOR CATEGORY 5 COPPER WIRE"/>
    <s v="SFP module"/>
    <s v="CISCO"/>
    <s v="GLC-TE"/>
    <s v="AVC230721FN"/>
    <n v="1"/>
    <s v="_"/>
    <s v="_"/>
  </r>
  <r>
    <x v="0"/>
    <s v="CATALYST 3850 24 PORT 10G FIBER SWITCH BASE"/>
    <s v="Switch"/>
    <s v="CISCO"/>
    <s v="WS-C3850-24XS-S"/>
    <s v="FOC2309U027"/>
    <n v="1"/>
    <s v="_"/>
    <s v="IRIS-SW2-A01"/>
  </r>
  <r>
    <x v="0"/>
    <s v="10GBASE-SR SFP MODULE"/>
    <s v="SFP module"/>
    <s v="CISCO"/>
    <s v="SFP-10G-SR-S"/>
    <s v="AVD2305D7G9"/>
    <n v="1"/>
    <s v="_"/>
    <s v="_"/>
  </r>
  <r>
    <x v="0"/>
    <s v="10GBASE-SR SFP MODULE"/>
    <s v="SFP module"/>
    <s v="CISCO"/>
    <s v="SFP-10G-SR-S"/>
    <s v="AVD2305D7GE"/>
    <n v="1"/>
    <s v="_"/>
    <s v="_"/>
  </r>
  <r>
    <x v="0"/>
    <s v="10GBASE-SR SFP MODULE"/>
    <s v="SFP module"/>
    <s v="CISCO"/>
    <s v="SFP-10G-SR-S"/>
    <s v="AVD2305D7GT"/>
    <n v="1"/>
    <s v="_"/>
    <s v="_"/>
  </r>
  <r>
    <x v="0"/>
    <s v="1000BASE-SX SFP TRANSCEIVER MODULE"/>
    <s v="SFP module"/>
    <s v="CISCO"/>
    <s v="GLC-SX-MMD"/>
    <s v="ACW23040ZA3"/>
    <n v="1"/>
    <s v="_"/>
    <s v="_"/>
  </r>
  <r>
    <x v="0"/>
    <s v="1000BASE-SX SFP TRANSCEIVER MODULE"/>
    <s v="SFP module"/>
    <s v="CISCO"/>
    <s v="GLC-SX-MMD"/>
    <s v="ACW23040YM0"/>
    <n v="1"/>
    <s v="_"/>
    <s v="_"/>
  </r>
  <r>
    <x v="0"/>
    <s v="1000BASE-SX SFP TRANSCEIVER MODULE"/>
    <s v="SFP module"/>
    <s v="CISCO"/>
    <s v="GLC-SX-MMD"/>
    <s v="ACW23040YS0"/>
    <n v="1"/>
    <s v="_"/>
    <s v="_"/>
  </r>
  <r>
    <x v="0"/>
    <s v="1000BASE-SX SFP TRANSCEIVER MODULE"/>
    <s v="SFP module"/>
    <s v="CISCO"/>
    <s v="GLC-SX-MMD"/>
    <s v="ACW23040ZAG"/>
    <n v="1"/>
    <s v="_"/>
    <s v="_"/>
  </r>
  <r>
    <x v="0"/>
    <s v="1000BASE-SX SFP TRANSCEIVER MODULE"/>
    <s v="SFP module"/>
    <s v="CISCO"/>
    <s v="GLC-SX-MMD"/>
    <s v="ACW2304168L"/>
    <n v="1"/>
    <s v="_"/>
    <s v="_"/>
  </r>
  <r>
    <x v="0"/>
    <s v="1000BASE-T SFP TRANSCEIVER MODULE FOR CATEGORY 5 COPPER WIRE"/>
    <s v="SFP module"/>
    <s v="CISCO"/>
    <s v="GLC-TE"/>
    <s v="AVC230721F9"/>
    <n v="1"/>
    <s v="_"/>
    <s v="_"/>
  </r>
  <r>
    <x v="0"/>
    <s v="1000BASE-T SFP TRANSCEIVER MODULE FOR CATEGORY 5 COPPER WIRE"/>
    <s v="SFP module"/>
    <s v="CISCO"/>
    <s v="GLC-TE"/>
    <s v="AVC230721EX"/>
    <n v="1"/>
    <s v="_"/>
    <s v="_"/>
  </r>
  <r>
    <x v="0"/>
    <s v="1000BASE-T SFP TRANSCEIVER MODULE FOR CATEGORY 5 COPPER WIRE"/>
    <s v="SFP module"/>
    <s v="CISCO"/>
    <s v="GLC-TE"/>
    <s v="AVC230721EU"/>
    <n v="1"/>
    <s v="_"/>
    <s v="_"/>
  </r>
  <r>
    <x v="0"/>
    <s v="HPE MSA 2050 SAN DC LFF Storage"/>
    <s v="MSA SAN"/>
    <s v="HPE"/>
    <s v="Q1J00A"/>
    <s v="2S6910B089"/>
    <n v="1"/>
    <s v="_"/>
    <s v="IRIS-MSA-A01"/>
  </r>
  <r>
    <x v="0"/>
    <s v="MSA 2050 SAN dual controller"/>
    <s v="MSA SAN"/>
    <s v="HPE"/>
    <s v="876127-001"/>
    <s v="7CE903M549"/>
    <n v="1"/>
    <s v="_"/>
    <s v="_"/>
  </r>
  <r>
    <x v="0"/>
    <s v="MSA 2050 SAN dual controller"/>
    <s v="MSA SAN"/>
    <s v="HPE"/>
    <s v="876127-001"/>
    <s v="7CE901M900"/>
    <n v="1"/>
    <s v="_"/>
    <s v="_"/>
  </r>
  <r>
    <x v="0"/>
    <s v="HPE MSA 10TB 12G SAS 7.2K LFF 512e HDD"/>
    <s v="Disk"/>
    <s v="HPE"/>
    <s v="P9M82A"/>
    <s v="THH917Z0DA"/>
    <n v="1"/>
    <s v="IRIS-MSA-A01-01"/>
    <s v="_"/>
  </r>
  <r>
    <x v="0"/>
    <s v="HPE MSA 10TB 12G SAS 7.2K LFF 512e HDD"/>
    <s v="Disk"/>
    <s v="HPE"/>
    <s v="P9M82A"/>
    <s v="THH917Z08V"/>
    <n v="1"/>
    <s v="IRIS-MSA-A01-02"/>
    <s v="_"/>
  </r>
  <r>
    <x v="0"/>
    <s v="HPE MSA 10TB 12G SAS 7.2K LFF 512e HDD"/>
    <s v="Disk"/>
    <s v="HPE"/>
    <s v="P9M82A"/>
    <s v="THH917Z093"/>
    <n v="1"/>
    <s v="IRIS-MSA-A01-03"/>
    <s v="_"/>
  </r>
  <r>
    <x v="0"/>
    <s v="HPE MSA 10TB 12G SAS 7.2K LFF 512e HDD"/>
    <s v="Disk"/>
    <s v="HPE"/>
    <s v="P9M82A"/>
    <s v="THH917Z0D9"/>
    <n v="1"/>
    <s v="IRIS-MSA-A01-04"/>
    <s v="_"/>
  </r>
  <r>
    <x v="0"/>
    <s v="HPE MSA 10TB 12G SAS 7.2K LFF 512e HDD"/>
    <s v="Disk"/>
    <s v="HPE"/>
    <s v="P9M82A"/>
    <s v="THH917Z0CT"/>
    <n v="1"/>
    <s v="IRIS-MSA-A01-05"/>
    <s v="_"/>
  </r>
  <r>
    <x v="0"/>
    <s v="HPE MSA 10TB 12G SAS 7.2K LFF 512e HDD"/>
    <s v="Disk"/>
    <s v="HPE"/>
    <s v="P9M82A"/>
    <s v="THH917Z08W"/>
    <n v="1"/>
    <s v="IRIS-MSA-A01-06"/>
    <s v="_"/>
  </r>
  <r>
    <x v="0"/>
    <s v="HPE MSA 10TB 12G SAS 7.2K LFF 512e HDD"/>
    <s v="Disk"/>
    <s v="HPE"/>
    <s v="P9M82A"/>
    <s v="THH917Z0D8"/>
    <n v="1"/>
    <s v="IRIS-MSA-A01-07"/>
    <s v="_"/>
  </r>
  <r>
    <x v="0"/>
    <s v="HPE MSA 10TB 12G SAS 7.2K LFF 512e HDD"/>
    <s v="Disk"/>
    <s v="HPE"/>
    <s v="P9M82A"/>
    <s v="THH917Z0DC"/>
    <n v="1"/>
    <s v="IRIS-MSA-A01-08"/>
    <s v="_"/>
  </r>
  <r>
    <x v="0"/>
    <s v="HPE MSA 10TB 12G SAS 7.2K LFF 512e HDD"/>
    <s v="Disk"/>
    <s v="HPE"/>
    <s v="P9M82A"/>
    <s v="THH917Z08E"/>
    <n v="1"/>
    <s v="IRIS-MSA-A01-09"/>
    <s v="_"/>
  </r>
  <r>
    <x v="0"/>
    <s v="HPE MSA 10TB 12G SAS 7.2K LFF 512e HDD"/>
    <s v="Disk"/>
    <s v="HPE"/>
    <s v="P9M82A"/>
    <s v="THH917Z0DB"/>
    <n v="1"/>
    <s v="IRIS-MSA-A01-10"/>
    <s v="_"/>
  </r>
  <r>
    <x v="0"/>
    <s v="HPE MSA 10TB 12G SAS 7.2K LFF 512e HDD"/>
    <s v="Disk"/>
    <s v="HPE"/>
    <s v="P9M82A"/>
    <s v="THH917Z098"/>
    <n v="1"/>
    <s v="IRIS-MSA-A01-11"/>
    <s v="_"/>
  </r>
  <r>
    <x v="0"/>
    <s v="HPE MSA 10TB 12G SAS 7.2K LFF 512e HDD"/>
    <s v="Disk"/>
    <s v="HPE"/>
    <s v="P9M82A"/>
    <s v="THH917Z09F"/>
    <n v="1"/>
    <s v="IRIS-MSA-A01-12"/>
    <s v="_"/>
  </r>
  <r>
    <x v="0"/>
    <s v="HPE MSA 16GB SW FC SFP"/>
    <s v="SFP module"/>
    <s v="HPE"/>
    <s v="720999-002"/>
    <s v="MY8905122U"/>
    <n v="1"/>
    <s v="_"/>
    <s v="_"/>
  </r>
  <r>
    <x v="0"/>
    <s v="HPE MSA 16GB SW FC SFP"/>
    <s v="SFP module"/>
    <s v="HPE"/>
    <s v="720999-002"/>
    <s v="MY8905123G"/>
    <n v="1"/>
    <s v="_"/>
    <s v="_"/>
  </r>
  <r>
    <x v="0"/>
    <s v="HPE MSA 16GB SW FC SFP"/>
    <s v="SFP module"/>
    <s v="HPE"/>
    <s v="720999-002"/>
    <s v="MY890511G5"/>
    <n v="1"/>
    <s v="_"/>
    <s v="_"/>
  </r>
  <r>
    <x v="0"/>
    <s v="HPE MSA 16GB SW FC SFP"/>
    <s v="SFP module"/>
    <s v="HPE"/>
    <s v="720999-002"/>
    <s v="MY890511G7"/>
    <n v="1"/>
    <s v="_"/>
    <s v="_"/>
  </r>
  <r>
    <x v="0"/>
    <s v="HPE MSA 16GB SW FC SFP"/>
    <s v="SFP module"/>
    <s v="HPE"/>
    <s v="720999-002"/>
    <s v="MY890511YF"/>
    <n v="1"/>
    <s v="_"/>
    <s v="_"/>
  </r>
  <r>
    <x v="0"/>
    <s v="HPE MSA 16GB SW FC SFP"/>
    <s v="SFP module"/>
    <s v="HPE"/>
    <s v="720999-002"/>
    <s v="MY89051235"/>
    <n v="1"/>
    <s v="_"/>
    <s v="_"/>
  </r>
  <r>
    <x v="0"/>
    <s v="HPE MSA 16GB SW FC SFP"/>
    <s v="SFP module"/>
    <s v="HPE"/>
    <s v="720999-002"/>
    <s v="MY890511F8"/>
    <n v="1"/>
    <s v="_"/>
    <s v="_"/>
  </r>
  <r>
    <x v="0"/>
    <s v="HPE MSA 16GB SW FC SFP"/>
    <s v="SFP module"/>
    <s v="HPE"/>
    <s v="720999-002"/>
    <s v="MY890511GE"/>
    <n v="1"/>
    <s v="_"/>
    <s v="_"/>
  </r>
  <r>
    <x v="0"/>
    <s v="HPE MSA 2050 LFF Disk Enclosure - EXTENSION 1"/>
    <s v="Disk Enclosure - EXTENSION 1"/>
    <s v="HPE"/>
    <s v="Q1J06A"/>
    <s v="2S6912D144"/>
    <n v="1"/>
    <s v="_"/>
    <s v="IRIS-DEN-A01-1"/>
  </r>
  <r>
    <x v="0"/>
    <s v="HPE SPS-6GB MSA IO MODULE"/>
    <s v="Disk Enclosure"/>
    <s v="HPE"/>
    <s v="876146-001"/>
    <s v="7CE909G709"/>
    <n v="1"/>
    <s v="_"/>
    <s v="_"/>
  </r>
  <r>
    <x v="0"/>
    <s v="HPE SPS-6GB MSA IO MODULE"/>
    <s v="Disk Enclosure"/>
    <s v="HPE"/>
    <s v="876146-001"/>
    <s v="7CE909G912"/>
    <n v="1"/>
    <s v="_"/>
    <s v="_"/>
  </r>
  <r>
    <x v="0"/>
    <s v="HPE MSA 10TB 12G SAS 7.2K LFF 512e HDD"/>
    <s v="Disk"/>
    <s v="HPE"/>
    <s v="P9M82A"/>
    <s v="THH923Z06Z"/>
    <n v="1"/>
    <s v="IRIS-DEN-A01-1-01"/>
    <s v="_"/>
  </r>
  <r>
    <x v="0"/>
    <s v="HPE MSA 10TB 12G SAS 7.2K LFF 512e HDD"/>
    <s v="Disk"/>
    <s v="HPE"/>
    <s v="P9M82A"/>
    <s v="THH923Z094"/>
    <n v="1"/>
    <s v="IRIS-DEN-A01-1-02"/>
    <s v="_"/>
  </r>
  <r>
    <x v="0"/>
    <s v="HPE MSA 10TB 12G SAS 7.2K LFF 512e HDD"/>
    <s v="Disk"/>
    <s v="HPE"/>
    <s v="P9M82A"/>
    <s v="THH923Z05L"/>
    <n v="1"/>
    <s v="IRIS-DEN-A01-1-03"/>
    <s v="_"/>
  </r>
  <r>
    <x v="0"/>
    <s v="HPE MSA 10TB 12G SAS 7.2K LFF 512e HDD"/>
    <s v="Disk"/>
    <s v="HPE"/>
    <s v="P9M82A"/>
    <s v="THH923Z070"/>
    <n v="1"/>
    <s v="IRIS-DEN-A01-1-04"/>
    <s v="_"/>
  </r>
  <r>
    <x v="0"/>
    <s v="HPE MSA 10TB 12G SAS 7.2K LFF 512e HDD"/>
    <s v="Disk"/>
    <s v="HPE"/>
    <s v="P9M82A"/>
    <s v="THH923Z093"/>
    <n v="1"/>
    <s v="IRIS-DEN-A01-1-05"/>
    <s v="_"/>
  </r>
  <r>
    <x v="0"/>
    <s v="HPE MSA 10TB 12G SAS 7.2K LFF 512e HDD"/>
    <s v="Disk"/>
    <s v="HPE"/>
    <s v="P9M82A"/>
    <s v="THH923Z05J"/>
    <n v="1"/>
    <s v="IRIS-DEN-A01-1-06"/>
    <s v="_"/>
  </r>
  <r>
    <x v="0"/>
    <s v="HPE MSA 10TB 12G SAS 7.2K LFF 512e HDD"/>
    <s v="Disk"/>
    <s v="HPE"/>
    <s v="P9M82A"/>
    <s v="THH923Z071"/>
    <n v="1"/>
    <s v="IRIS-DEN-A01-1-07"/>
    <s v="_"/>
  </r>
  <r>
    <x v="0"/>
    <s v="HPE MSA 10TB 12G SAS 7.2K LFF 512e HDD"/>
    <s v="Disk"/>
    <s v="HPE"/>
    <s v="P9M82A"/>
    <s v="THH923Z092"/>
    <n v="1"/>
    <s v="IRIS-DEN-A01-1-08"/>
    <s v="_"/>
  </r>
  <r>
    <x v="0"/>
    <s v="HPE MSA 10TB 12G SAS 7.2K LFF 512e HDD"/>
    <s v="Disk"/>
    <s v="HPE"/>
    <s v="P9M82A"/>
    <s v="THH923Z05G"/>
    <n v="1"/>
    <s v="IRIS-DEN-A01-1-09"/>
    <s v="_"/>
  </r>
  <r>
    <x v="0"/>
    <s v="HPE MSA 10TB 12G SAS 7.2K LFF 512e HDD"/>
    <s v="Disk"/>
    <s v="HPE"/>
    <s v="P9M82A"/>
    <s v="THH923Z072"/>
    <n v="1"/>
    <s v="IRIS-DEN-A01-1-10"/>
    <s v="_"/>
  </r>
  <r>
    <x v="0"/>
    <s v="HPE MSA 10TB 12G SAS 7.2K LFF 512e HDD"/>
    <s v="Disk"/>
    <s v="HPE"/>
    <s v="P9M82A"/>
    <s v="THH923Z091"/>
    <n v="1"/>
    <s v="IRIS-DEN-A01-1-11"/>
    <s v="_"/>
  </r>
  <r>
    <x v="0"/>
    <s v="HPE MSA 10TB 12G SAS 7.2K LFF 512e HDD"/>
    <s v="Disk"/>
    <s v="HPE"/>
    <s v="P9M82A"/>
    <s v="THH923Z05H"/>
    <n v="1"/>
    <s v="IRIS-DEN-A01-1-12"/>
    <s v="_"/>
  </r>
  <r>
    <x v="0"/>
    <s v="HPE MSA 2050 LFF Disk Enclosure - EXTENSION 2"/>
    <s v="Disk Enclosure - EXTENSION 2"/>
    <s v="HPE"/>
    <s v="Q1J06A"/>
    <s v="2S6912D142"/>
    <n v="1"/>
    <s v="_"/>
    <s v="IRIS-DEN-A01-2"/>
  </r>
  <r>
    <x v="0"/>
    <s v="HPE SPS-6GB MSA IO MODULE"/>
    <s v="Disk Enclosure"/>
    <s v="HPE"/>
    <s v="876146-001"/>
    <s v="7CE909G710"/>
    <n v="1"/>
    <s v="_"/>
    <s v="_"/>
  </r>
  <r>
    <x v="0"/>
    <s v="HPE SPS-6GB MSA IO MODULE"/>
    <s v="Disk Enclosure"/>
    <s v="HPE"/>
    <s v="876146-001"/>
    <s v="7CE909G719"/>
    <n v="1"/>
    <s v="_"/>
    <s v="_"/>
  </r>
  <r>
    <x v="0"/>
    <s v="HPE MSA 10TB 12G SAS 7.2K LFF 512e HDD"/>
    <s v="Disk"/>
    <s v="HPE"/>
    <s v="P9M82A"/>
    <s v="THH923Z06L"/>
    <n v="1"/>
    <s v="IRIS-DEN-A01-2-01"/>
    <s v="_"/>
  </r>
  <r>
    <x v="0"/>
    <s v="HPE MSA 10TB 12G SAS 7.2K LFF 512e HDD"/>
    <s v="Disk"/>
    <s v="HPE"/>
    <s v="P9M82A"/>
    <s v="THH923Z068"/>
    <n v="1"/>
    <s v="IRIS-DEN-A01-2-02"/>
    <s v="_"/>
  </r>
  <r>
    <x v="0"/>
    <s v="HPE MSA 10TB 12G SAS 7.2K LFF 512e HDD"/>
    <s v="Disk"/>
    <s v="HPE"/>
    <s v="P9M82A"/>
    <s v="THH923Z06W"/>
    <n v="1"/>
    <s v="IRIS-DEN-A01-2-03"/>
    <s v="_"/>
  </r>
  <r>
    <x v="0"/>
    <s v="HPE MSA 10TB 12G SAS 7.2K LFF 512e HDD"/>
    <s v="Disk"/>
    <s v="HPE"/>
    <s v="P9M82A"/>
    <s v="THH923Z06M"/>
    <n v="1"/>
    <s v="IRIS-DEN-A01-2-04"/>
    <s v="_"/>
  </r>
  <r>
    <x v="0"/>
    <s v="HPE MSA 10TB 12G SAS 7.2K LFF 512e HDD"/>
    <s v="Disk"/>
    <s v="HPE"/>
    <s v="P9M82A"/>
    <s v="THH923Z06T"/>
    <n v="1"/>
    <s v="IRIS-DEN-A01-2-05"/>
    <s v="_"/>
  </r>
  <r>
    <x v="0"/>
    <s v="HPE MSA 10TB 12G SAS 7.2K LFF 512e HDD"/>
    <s v="Disk"/>
    <s v="HPE"/>
    <s v="P9M82A"/>
    <s v="THH923Z06X"/>
    <n v="1"/>
    <s v="IRIS-DEN-A01-2-06"/>
    <s v="_"/>
  </r>
  <r>
    <x v="0"/>
    <s v="HPE MSA 10TB 12G SAS 7.2K LFF 512e HDD"/>
    <s v="Disk"/>
    <s v="HPE"/>
    <s v="P9M82A"/>
    <s v="THH923Z06N"/>
    <n v="1"/>
    <s v="IRIS-DEN-A01-2-07"/>
    <s v="_"/>
  </r>
  <r>
    <x v="0"/>
    <s v="HPE MSA 10TB 12G SAS 7.2K LFF 512e HDD"/>
    <s v="Disk"/>
    <s v="HPE"/>
    <s v="P9M82A"/>
    <s v="THH923Z06S"/>
    <n v="1"/>
    <s v="IRIS-DEN-A01-2-08"/>
    <s v="_"/>
  </r>
  <r>
    <x v="0"/>
    <s v="HPE MSA 10TB 12G SAS 7.2K LFF 512e HDD"/>
    <s v="Disk"/>
    <s v="HPE"/>
    <s v="P9M82A"/>
    <s v="THH923Z06Y"/>
    <n v="1"/>
    <s v="IRIS-DEN-A01-2-09"/>
    <s v="_"/>
  </r>
  <r>
    <x v="0"/>
    <s v="HPE MSA 10TB 12G SAS 7.2K LFF 512e HDD"/>
    <s v="Disk"/>
    <s v="HPE"/>
    <s v="P9M82A"/>
    <s v="THH923Z06P"/>
    <n v="1"/>
    <s v="IRIS-DEN-A01-2-10"/>
    <s v="_"/>
  </r>
  <r>
    <x v="0"/>
    <s v="HPE MSA 10TB 12G SAS 7.2K LFF 512e HDD"/>
    <s v="Disk"/>
    <s v="HPE"/>
    <s v="P9M82A"/>
    <s v="THH923Z06R"/>
    <n v="1"/>
    <s v="IRIS-DEN-A01-2-11"/>
    <s v="_"/>
  </r>
  <r>
    <x v="0"/>
    <s v="HPE MSA 10TB 12G SAS 7.2K LFF 512e HDD"/>
    <s v="Disk"/>
    <s v="HPE"/>
    <s v="P9M82A"/>
    <s v="THH923Z06V"/>
    <n v="1"/>
    <s v="IRIS-DEN-A01-2-12"/>
    <s v="_"/>
  </r>
  <r>
    <x v="0"/>
    <s v="NTP TIME SERVER WITH OCXO"/>
    <s v="NTP Server"/>
    <s v="HEOL DESIGN"/>
    <s v="T101R-10us-AC-I/O-OCXOMR"/>
    <s v="0814298"/>
    <n v="1"/>
    <s v="_"/>
    <s v="IRIS-NTP-A01"/>
  </r>
  <r>
    <x v="0"/>
    <s v="HPE R5000 3U IECSO9-32A HV INTL UPS"/>
    <s v="UPS"/>
    <s v="HPE"/>
    <s v="AF461A"/>
    <s v="3C88140789"/>
    <n v="1"/>
    <s v="_"/>
    <s v="IRIS-UPS-A01"/>
  </r>
  <r>
    <x v="0"/>
    <s v="CARTON BOX / IRIS - A01"/>
    <s v="CARTON BOX / IRIS - A01"/>
    <s v="CARTON BOX / IRIS - A01"/>
    <s v="CARTON BOX / IRIS - A01"/>
    <s v="CARTON BOX / IRIS - A01"/>
    <s v="CARTON BOX / IRIS - A01"/>
    <s v="CARTON BOX / IRIS - A01"/>
    <s v="CARTON BOX / IRIS - A01"/>
  </r>
  <r>
    <x v="0"/>
    <s v="Delivery External Usb Hard Disk - WD Elements Portable SE 1TB USB 3.0 2.5In"/>
    <s v="Disk WDE - Delivery"/>
    <s v="ACTIVIUM"/>
    <s v="WDBUZG0010BBK-0B"/>
    <s v="WXS1A480PJ4V"/>
    <n v="1"/>
    <s v="_"/>
    <s v="_"/>
  </r>
  <r>
    <x v="0"/>
    <s v="VM Initial Backup - WD Elements Portable SE 2TB USB 3.0 2.5In"/>
    <s v="Disk WDE - VM Iinitial BKP"/>
    <s v="ACTIVIUM"/>
    <s v="WDBU6Y0020BBK-0B"/>
    <s v="WXQ1EC82XK7V"/>
    <n v="1"/>
    <s v="_"/>
    <s v="_"/>
  </r>
  <r>
    <x v="0"/>
    <s v="Deployment Workstation - DataTraveler 100 G3 - 32 Go"/>
    <s v="DT100G3/32GB"/>
    <s v="ACTIVIUM"/>
    <s v="DT100G3/32GB"/>
    <s v="N/A"/>
    <n v="1"/>
    <s v="_"/>
    <s v="_"/>
  </r>
  <r>
    <x v="0"/>
    <s v="Deployment Workstation - DataTraveler 100 G3 - 32 Go"/>
    <s v="DT100G3/32GB"/>
    <s v="ACTIVIUM"/>
    <s v="DT100G3/32GB"/>
    <s v="N/A"/>
    <n v="1"/>
    <s v="_"/>
    <s v="_"/>
  </r>
  <r>
    <x v="0"/>
    <s v="HP ZBOOK 17 G4"/>
    <s v="Laptop"/>
    <s v="EUROTEMPEST"/>
    <s v="Y3J81AV"/>
    <s v="2019.07.20261"/>
    <n v="1"/>
    <s v="ADM A01 Workstation"/>
    <s v="IRIS-OPR01-A01"/>
  </r>
  <r>
    <x v="0"/>
    <s v="HP 512GB 2280 M2 PCIe 3x4 DS NVME EU"/>
    <s v="HP 512GB M2"/>
    <s v="ACTIVIUM"/>
    <s v="861960-003"/>
    <s v=""/>
    <n v="1"/>
    <s v="IRIS-OPR01-A01"/>
    <s v="_"/>
  </r>
  <r>
    <x v="0"/>
    <s v="HP USB Business Slim Keyboard - Hungarian"/>
    <s v="Keyboard"/>
    <s v="EUROTEMPEST"/>
    <s v="803181-211"/>
    <s v="2019.07.20239"/>
    <n v="1"/>
    <s v="IRIS-OPR01-A01"/>
    <s v="_"/>
  </r>
  <r>
    <x v="0"/>
    <s v="HP USB Optical Mouse"/>
    <s v="Mouse"/>
    <s v="EUROTEMPEST"/>
    <s v="678652-001"/>
    <s v="N/A"/>
    <n v="1"/>
    <s v="IRIS-OPR01-A01"/>
    <s v="_"/>
  </r>
  <r>
    <x v="0"/>
    <s v="USB 3.0 to Gigabit Ethernet Fiber Optic Network Adapter - 1000Base-SX SC"/>
    <s v="USB-Fiber"/>
    <s v="EUROTEMPEST"/>
    <s v="US1GA30SXSC"/>
    <s v="2019.06.18230"/>
    <n v="1"/>
    <s v="IRIS-OPR01-A01"/>
    <s v="_"/>
  </r>
  <r>
    <x v="0"/>
    <s v="Thunderbolts 3 to dual DisplayPort Adapter"/>
    <s v="Thunderbolt"/>
    <s v="EUROTEMPEST"/>
    <s v="TB32DP2T"/>
    <s v="2019.06.18266"/>
    <n v="1"/>
    <s v="IRIS-OPR01-A01"/>
    <s v="_"/>
  </r>
  <r>
    <x v="0"/>
    <s v="HP EliteDisplay E243i"/>
    <s v="Screen"/>
    <s v="EUROTEMPEST"/>
    <s v="1FH49AT"/>
    <s v="2019.05.17313"/>
    <n v="1"/>
    <s v="IRIS-OPR01-A01"/>
    <s v="IRIS-24-SCR01-A01"/>
  </r>
  <r>
    <x v="0"/>
    <s v="HP EliteDisplay E243i"/>
    <s v="Screen"/>
    <s v="EUROTEMPEST"/>
    <s v="1FH49AT"/>
    <s v="2019.05.17314"/>
    <n v="1"/>
    <s v="IRIS-OPR01-A01"/>
    <s v="IRIS-24-SCR02-A01"/>
  </r>
  <r>
    <x v="0"/>
    <s v="CASE 1 / IRIS - A01"/>
    <s v="CASE 1"/>
    <s v="_"/>
    <s v="_"/>
    <s v="_"/>
    <n v="1"/>
    <s v="CASE 1 / IRIS - A01"/>
    <s v="_"/>
  </r>
  <r>
    <x v="0"/>
    <s v="HP ZBOOK 17 G4"/>
    <s v="Laptop"/>
    <s v="EUROTEMPEST"/>
    <s v="Y3J81AV"/>
    <s v="2019.07.20259"/>
    <n v="1"/>
    <s v="Incluses I4DEXPLORER"/>
    <s v="IRIS-OPR02-A01"/>
  </r>
  <r>
    <x v="0"/>
    <s v="HP 512GB 2280 M2 PCIe 3x4 DS NVME EU"/>
    <s v="HP 512GB M2"/>
    <s v="ACTIVIUM"/>
    <s v="861960-003"/>
    <s v=""/>
    <n v="1"/>
    <s v="IRIS-OPR02-A01"/>
    <s v="_"/>
  </r>
  <r>
    <x v="0"/>
    <s v="HP USB Business Slim Keyboard - Hungarian"/>
    <s v="Keyboard"/>
    <s v="EUROTEMPEST"/>
    <s v="803181-211"/>
    <s v="2019.07.20237"/>
    <n v="1"/>
    <s v="IRIS-OPR02-A01"/>
    <s v="_"/>
  </r>
  <r>
    <x v="0"/>
    <s v="HP USB Optical Mouse"/>
    <s v="Mouse"/>
    <s v="EUROTEMPEST"/>
    <s v="678652-001"/>
    <s v="N/A"/>
    <n v="1"/>
    <s v="IRIS-OPR02-A01"/>
    <s v="_"/>
  </r>
  <r>
    <x v="0"/>
    <s v="USB 3.0 to Gigabit Ethernet Fiber Optic Network Adapter - 1000Base-SX SC"/>
    <s v="USB-Fiber"/>
    <s v="EUROTEMPEST"/>
    <s v="US1GA30SXSC"/>
    <s v="2019.06.18243"/>
    <n v="1"/>
    <s v="IRIS-OPR02-A01"/>
    <s v="_"/>
  </r>
  <r>
    <x v="0"/>
    <s v="Thunderbolts 3 to dual DisplayPort Adapter"/>
    <s v="Thunderbolt"/>
    <s v="EUROTEMPEST"/>
    <s v="TB32DP2T"/>
    <s v="2019.06.18252"/>
    <n v="1"/>
    <s v="IRIS-OPR02-A01"/>
    <s v="_"/>
  </r>
  <r>
    <x v="0"/>
    <s v="HP EliteDisplay E243i"/>
    <s v="Screen"/>
    <s v="EUROTEMPEST"/>
    <s v="1FH49AT"/>
    <s v="2019.05.17317"/>
    <n v="1"/>
    <s v="IRIS-OPR02-A01"/>
    <s v="IRIS-24-SCR03-A01"/>
  </r>
  <r>
    <x v="0"/>
    <s v="HP EliteDisplay E243i"/>
    <s v="Screen"/>
    <s v="EUROTEMPEST"/>
    <s v="1FH49AT"/>
    <s v="2019.05.17318"/>
    <n v="1"/>
    <s v="IRIS-OPR02-A01"/>
    <s v="IRIS-24-SCR04-A01"/>
  </r>
  <r>
    <x v="0"/>
    <s v="HP ZBOOK 17 G4"/>
    <s v="Laptop"/>
    <s v="EUROTEMPEST"/>
    <s v="Y3J81AV"/>
    <s v="2019.07.20254"/>
    <n v="1"/>
    <s v="Incluses I4DEXPLORER"/>
    <s v="IRIS-OPR03-A01"/>
  </r>
  <r>
    <x v="0"/>
    <s v="HP 512GB 2280 M2 PCIe 3x4 DS NVME EU"/>
    <s v="HP 512GB M2"/>
    <s v="ACTIVIUM"/>
    <s v="861960-003"/>
    <s v=""/>
    <n v="1"/>
    <s v="IRIS-OPR03-A01"/>
    <s v="_"/>
  </r>
  <r>
    <x v="0"/>
    <s v="HP USB Business Slim Keyboard - Hungarian"/>
    <s v="Keyboard"/>
    <s v="EUROTEMPEST"/>
    <s v="803181-211"/>
    <s v="2019.07.20232"/>
    <n v="1"/>
    <s v="IRIS-OPR03-A01"/>
    <s v="_"/>
  </r>
  <r>
    <x v="0"/>
    <s v="HP USB Optical Mouse"/>
    <s v="Mouse"/>
    <s v="EUROTEMPEST"/>
    <s v="678652-001"/>
    <s v="N/A"/>
    <n v="1"/>
    <s v="IRIS-OPR03-A01"/>
    <s v="_"/>
  </r>
  <r>
    <x v="0"/>
    <s v="USB 3.0 to Gigabit Ethernet Fiber Optic Network Adapter - 1000Base-SX SC"/>
    <s v="USB-Fiber"/>
    <s v="EUROTEMPEST"/>
    <s v="US1GA30SXSC"/>
    <s v="2019.06.18227"/>
    <n v="1"/>
    <s v="IRIS-OPR03-A01"/>
    <s v="_"/>
  </r>
  <r>
    <x v="0"/>
    <s v="Thunderbolts 3 to dual DisplayPort Adapter"/>
    <s v="Thunderbolt"/>
    <s v="EUROTEMPEST"/>
    <s v="TB32DP2T"/>
    <s v="2019.06.18253"/>
    <n v="1"/>
    <s v="IRIS-OPR03-A01"/>
    <s v="_"/>
  </r>
  <r>
    <x v="0"/>
    <s v="HP EliteDisplay E243i"/>
    <s v="Screen"/>
    <s v="EUROTEMPEST"/>
    <s v="1FH49AT"/>
    <s v="2019.05.17319"/>
    <n v="1"/>
    <s v="IRIS-OPR03-A01"/>
    <s v="IRIS-24-SCR05-A01"/>
  </r>
  <r>
    <x v="0"/>
    <s v="HP EliteDisplay E243i"/>
    <s v="Screen"/>
    <s v="EUROTEMPEST"/>
    <s v="1FH49AT"/>
    <s v="2019.05.17320"/>
    <n v="1"/>
    <s v="IRIS-OPR03-A01"/>
    <s v="IRIS-24-SCR06-A01"/>
  </r>
  <r>
    <x v="0"/>
    <s v="CASE 2 / IRIS - A01"/>
    <s v="CASE 2"/>
    <s v="_"/>
    <s v="_"/>
    <s v="_"/>
    <n v="1"/>
    <s v="CASE 2 / IRIS - A01"/>
    <s v="_"/>
  </r>
  <r>
    <x v="0"/>
    <s v="HP ZBOOK 17 G4"/>
    <s v="Laptop"/>
    <s v="EUROTEMPEST"/>
    <s v="Y3J81AV"/>
    <s v="2019.07.20267"/>
    <n v="1"/>
    <s v="Incluses I4DEXPLORER"/>
    <s v="IRIS-OPR04-A01"/>
  </r>
  <r>
    <x v="0"/>
    <s v="HP 512GB 2280 M2 PCIe 3x4 DS NVME EU"/>
    <s v="HP 512GB M2"/>
    <s v="ACTIVIUM"/>
    <s v="861960-003"/>
    <s v=""/>
    <n v="1"/>
    <s v="IRIS-OPR04-A01"/>
    <s v="_"/>
  </r>
  <r>
    <x v="0"/>
    <s v="HP USB Business Slim Keyboard - Hungarian"/>
    <s v="Keyboard"/>
    <s v="EUROTEMPEST"/>
    <s v="803181-211"/>
    <s v="2019.07.20245"/>
    <n v="1"/>
    <s v="IRIS-OPR04-A01"/>
    <s v="_"/>
  </r>
  <r>
    <x v="0"/>
    <s v="HP USB Optical Mouse"/>
    <s v="Mouse"/>
    <s v="EUROTEMPEST"/>
    <s v="678652-001"/>
    <s v="N/A"/>
    <n v="1"/>
    <s v="IRIS-OPR04-A01"/>
    <s v="_"/>
  </r>
  <r>
    <x v="0"/>
    <s v="USB 3.0 to Gigabit Ethernet Fiber Optic Network Adapter - 1000Base-SX SC"/>
    <s v="USB-Fiber"/>
    <s v="EUROTEMPEST"/>
    <s v="US1GA30SXSC"/>
    <s v="2019.06.18242"/>
    <n v="1"/>
    <s v="IRIS-OPR04-A01"/>
    <s v="_"/>
  </r>
  <r>
    <x v="0"/>
    <s v="Thunderbolts 3 to dual DisplayPort Adapter"/>
    <s v="Thunderbolt"/>
    <s v="EUROTEMPEST"/>
    <s v="TB32DP2T"/>
    <s v="2019.06.18246"/>
    <n v="1"/>
    <s v="IRIS-OPR04-A01"/>
    <s v="_"/>
  </r>
  <r>
    <x v="0"/>
    <s v="HP EliteDisplay E243i"/>
    <s v="Screen"/>
    <s v="EUROTEMPEST"/>
    <s v="1FH49AT"/>
    <s v="2019.05.17321"/>
    <n v="1"/>
    <s v="IRIS-OPR04-A01"/>
    <s v="IRIS-24-SCR07-A01"/>
  </r>
  <r>
    <x v="0"/>
    <s v="HP EliteDisplay E243i"/>
    <s v="Screen"/>
    <s v="EUROTEMPEST"/>
    <s v="1FH49AT"/>
    <s v="2019.05.17322"/>
    <n v="1"/>
    <s v="IRIS-OPR04-A01"/>
    <s v="IRIS-24-SCR08-A01"/>
  </r>
  <r>
    <x v="0"/>
    <s v="HP ZBOOK 17 G4"/>
    <s v="Laptop"/>
    <s v="EUROTEMPEST"/>
    <s v="Y3J81AV"/>
    <s v="2019.07.20264"/>
    <n v="1"/>
    <s v="Incluses I4DEXPLORER"/>
    <s v="IRIS-OPR05-A01"/>
  </r>
  <r>
    <x v="0"/>
    <s v="HP 512GB 2280 M2 PCIe 3x4 DS NVME EU"/>
    <s v="HP 512GB M2"/>
    <s v="ACTIVIUM"/>
    <s v="861960-003"/>
    <s v=""/>
    <n v="1"/>
    <s v="IRIS-OPR05-A01"/>
    <s v="_"/>
  </r>
  <r>
    <x v="0"/>
    <s v="HP USB Business Slim Keyboard - Hungarian"/>
    <s v="Keyboard"/>
    <s v="EUROTEMPEST"/>
    <s v="803181-211"/>
    <s v="2019.07.20242"/>
    <n v="1"/>
    <s v="IRIS-OPR05-A01"/>
    <s v="_"/>
  </r>
  <r>
    <x v="0"/>
    <s v="HP USB Optical Mouse"/>
    <s v="Mouse"/>
    <s v="EUROTEMPEST"/>
    <s v="678652-001"/>
    <s v="N/A"/>
    <n v="1"/>
    <s v="IRIS-OPR05-A01"/>
    <s v="_"/>
  </r>
  <r>
    <x v="0"/>
    <s v="USB 3.0 to Gigabit Ethernet Fiber Optic Network Adapter - 1000Base-SX SC"/>
    <s v="USB-Fiber"/>
    <s v="EUROTEMPEST"/>
    <s v="US1GA30SXSC"/>
    <s v="2019.06.18237"/>
    <n v="1"/>
    <s v="IRIS-OPR05-A01"/>
    <s v="_"/>
  </r>
  <r>
    <x v="0"/>
    <s v="Thunderbolts 3 to dual DisplayPort Adapter"/>
    <s v="Thunderbolt"/>
    <s v="EUROTEMPEST"/>
    <s v="TB32DP2T"/>
    <s v="2019.06.18263"/>
    <n v="1"/>
    <s v="IRIS-OPR05-A01"/>
    <s v="_"/>
  </r>
  <r>
    <x v="0"/>
    <s v="HP EliteDisplay E243i"/>
    <s v="Screen"/>
    <s v="EUROTEMPEST"/>
    <s v="1FH49AT"/>
    <s v="2019.05.17323"/>
    <n v="1"/>
    <s v="IRIS-OPR05-A01"/>
    <s v="IRIS-24-SCR09-A01"/>
  </r>
  <r>
    <x v="0"/>
    <s v="HP EliteDisplay E243i"/>
    <s v="Screen"/>
    <s v="EUROTEMPEST"/>
    <s v="1FH49AT"/>
    <s v="2019.05.17324"/>
    <n v="1"/>
    <s v="IRIS-OPR05-A01"/>
    <s v="IRIS-24-SCR10-A01"/>
  </r>
  <r>
    <x v="0"/>
    <s v="CASE 3 / IRIS - A01"/>
    <s v="CASE 3"/>
    <s v="_"/>
    <s v="_"/>
    <s v="_"/>
    <n v="1"/>
    <s v="CASE 3 / IRIS - A01"/>
    <s v="_"/>
  </r>
  <r>
    <x v="0"/>
    <s v="HP ZBOOK 17 G4"/>
    <s v="Laptop"/>
    <s v="EUROTEMPEST"/>
    <s v="Y3J81AV"/>
    <s v="2019.07.20262"/>
    <n v="1"/>
    <s v="Incluses I4DEXPLORER"/>
    <s v="IRIS-OPR06-A01"/>
  </r>
  <r>
    <x v="0"/>
    <s v="HP 512GB 2280 M2 PCIe 3x4 DS NVME EU"/>
    <s v="HP 512GB M2"/>
    <s v="ACTIVIUM"/>
    <s v="861960-003"/>
    <s v=""/>
    <n v="1"/>
    <s v="IRIS-OPR06-A01"/>
    <s v="_"/>
  </r>
  <r>
    <x v="0"/>
    <s v="HP USB Business Slim Keyboard - Hungarian"/>
    <s v="Keyboard"/>
    <s v="EUROTEMPEST"/>
    <s v="803181-211"/>
    <s v="2019.07.20240"/>
    <n v="1"/>
    <s v="IRIS-OPR06-A01"/>
    <s v="_"/>
  </r>
  <r>
    <x v="0"/>
    <s v="HP USB Optical Mouse"/>
    <s v="Mouse"/>
    <s v="EUROTEMPEST"/>
    <s v="678652-001"/>
    <s v="N/A"/>
    <n v="1"/>
    <s v="IRIS-OPR06-A01"/>
    <s v="_"/>
  </r>
  <r>
    <x v="0"/>
    <s v="USB 3.0 to Gigabit Ethernet Fiber Optic Network Adapter - 1000Base-SX SC"/>
    <s v="USB-Fiber"/>
    <s v="EUROTEMPEST"/>
    <s v="US1GA30SXSC"/>
    <s v="2019.06.18231"/>
    <n v="1"/>
    <s v="IRIS-OPR06-A01"/>
    <s v="_"/>
  </r>
  <r>
    <x v="0"/>
    <s v="Thunderbolts 3 to dual DisplayPort Adapter"/>
    <s v="Thunderbolt"/>
    <s v="EUROTEMPEST"/>
    <s v="TB32DP2T"/>
    <s v="2019.06.18247"/>
    <n v="1"/>
    <s v="IRIS-OPR06-A01"/>
    <s v="_"/>
  </r>
  <r>
    <x v="0"/>
    <s v="HP EliteDisplay E243i"/>
    <s v="Screen"/>
    <s v="EUROTEMPEST"/>
    <s v="1FH49AT"/>
    <s v="2019.05.17325"/>
    <n v="1"/>
    <s v="IRIS-OPR06-A01"/>
    <s v="IRIS-24-SCR11-A01"/>
  </r>
  <r>
    <x v="0"/>
    <s v="HP EliteDisplay E243i"/>
    <s v="Screen"/>
    <s v="EUROTEMPEST"/>
    <s v="1FH49AT"/>
    <s v="2019.05.17326"/>
    <n v="1"/>
    <s v="IRIS-OPR06-A01"/>
    <s v="IRIS-24-SCR12-A01"/>
  </r>
  <r>
    <x v="0"/>
    <s v="HP ZBOOK 17 G4"/>
    <s v="Laptop"/>
    <s v="EUROTEMPEST"/>
    <s v="Y3J81AV"/>
    <s v="2019.07.20260"/>
    <n v="1"/>
    <s v="_"/>
    <s v="IRIS-OPR07-A01"/>
  </r>
  <r>
    <x v="0"/>
    <s v="HP 512GB 2280 M2 PCIe 3x4 DS NVME EU"/>
    <s v="HP 512GB M2"/>
    <s v="ACTIVIUM"/>
    <s v="861960-003"/>
    <s v=""/>
    <n v="1"/>
    <s v="IRIS-OPR07-A01"/>
    <s v="_"/>
  </r>
  <r>
    <x v="0"/>
    <s v="HP USB Business Slim Keyboard - Hungarian"/>
    <s v="Keyboard"/>
    <s v="EUROTEMPEST"/>
    <s v="803181-211"/>
    <s v="2019.07.20238"/>
    <n v="1"/>
    <s v="IRIS-OPR07-A01"/>
    <s v="_"/>
  </r>
  <r>
    <x v="0"/>
    <s v="HP USB Optical Mouse"/>
    <s v="Mouse"/>
    <s v="EUROTEMPEST"/>
    <s v="678652-001"/>
    <s v="N/A"/>
    <n v="1"/>
    <s v="IRIS-OPR07-A01"/>
    <s v="_"/>
  </r>
  <r>
    <x v="0"/>
    <s v="USB 3.0 to Gigabit Ethernet Fiber Optic Network Adapter - 1000Base-SX SC"/>
    <s v="USB-Fiber"/>
    <s v="EUROTEMPEST"/>
    <s v="US1GA30SXSC"/>
    <s v="2019.06.18226"/>
    <n v="1"/>
    <s v="IRIS-OPR07-A01"/>
    <s v="_"/>
  </r>
  <r>
    <x v="0"/>
    <s v="Thunderbolts 3 to dual DisplayPort Adapter"/>
    <s v="Thunderbolt"/>
    <s v="EUROTEMPEST"/>
    <s v="TB32DP2T"/>
    <s v="2019.06.18261"/>
    <n v="1"/>
    <s v="IRIS-OPR07-A01"/>
    <s v="_"/>
  </r>
  <r>
    <x v="0"/>
    <s v="HP EliteDisplay E243i"/>
    <s v="Screen"/>
    <s v="EUROTEMPEST"/>
    <s v="1FH49AT"/>
    <s v="2019.05.17327"/>
    <n v="1"/>
    <s v="IRIS-OPR07-A01"/>
    <s v="IRIS-24-SCR13-A01"/>
  </r>
  <r>
    <x v="0"/>
    <s v="HP EliteDisplay E243i"/>
    <s v="Screen"/>
    <s v="EUROTEMPEST"/>
    <s v="1FH49AT"/>
    <s v="2019.05.17328"/>
    <n v="1"/>
    <s v="IRIS-OPR07-A01"/>
    <s v="IRIS-24-SCR14-A01"/>
  </r>
  <r>
    <x v="0"/>
    <s v="CASE 4 / IRIS - A01"/>
    <s v="CASE 4"/>
    <s v="_"/>
    <s v="_"/>
    <s v="_"/>
    <n v="1"/>
    <s v="CASE 4 / IRIS - A01"/>
    <s v="_"/>
  </r>
  <r>
    <x v="0"/>
    <s v="HP ZBOOK 17 G4"/>
    <s v="Laptop"/>
    <s v="EUROTEMPEST"/>
    <s v="Y3J81AV"/>
    <s v="2019.07.20257"/>
    <n v="1"/>
    <s v="_"/>
    <s v="IRIS-OPR08-A01"/>
  </r>
  <r>
    <x v="0"/>
    <s v="HP 512GB 2280 M2 PCIe 3x4 DS NVME EU"/>
    <s v="HP 512GB M2"/>
    <s v="ACTIVIUM"/>
    <s v="861960-003"/>
    <s v=""/>
    <n v="1"/>
    <s v="IRIS-OPR08-A01"/>
    <s v="_"/>
  </r>
  <r>
    <x v="0"/>
    <s v="HP USB Business Slim Keyboard - Hungarian"/>
    <s v="Keyboard"/>
    <s v="EUROTEMPEST"/>
    <s v="803181-211"/>
    <s v="2019.07.20235"/>
    <n v="1"/>
    <s v="IRIS-OPR08-A01"/>
    <s v="_"/>
  </r>
  <r>
    <x v="0"/>
    <s v="HP USB Optical Mouse"/>
    <s v="Mouse"/>
    <s v="EUROTEMPEST"/>
    <s v="678652-001"/>
    <s v="N/A"/>
    <n v="1"/>
    <s v="IRIS-OPR08-A01"/>
    <s v="_"/>
  </r>
  <r>
    <x v="0"/>
    <s v="USB 3.0 to Gigabit Ethernet Fiber Optic Network Adapter - 1000Base-SX SC"/>
    <s v="USB-Fiber"/>
    <s v="EUROTEMPEST"/>
    <s v="US1GA30SXSC"/>
    <s v="2019.06.18224"/>
    <n v="1"/>
    <s v="IRIS-OPR08-A01"/>
    <s v="_"/>
  </r>
  <r>
    <x v="0"/>
    <s v="Thunderbolts 3 to dual DisplayPort Adapter"/>
    <s v="Thunderbolt"/>
    <s v="EUROTEMPEST"/>
    <s v="TB32DP2T"/>
    <s v="2019.06.18254"/>
    <n v="1"/>
    <s v="IRIS-OPR08-A01"/>
    <s v="_"/>
  </r>
  <r>
    <x v="0"/>
    <s v="HP EliteDisplay E243i"/>
    <s v="Screen"/>
    <s v="EUROTEMPEST"/>
    <s v="1FH49AT"/>
    <s v="2019.05.17329"/>
    <n v="1"/>
    <s v="IRIS-OPR08-A01"/>
    <s v="IRIS-24-SCR15-A01"/>
  </r>
  <r>
    <x v="0"/>
    <s v="HP EliteDisplay E243i"/>
    <s v="Screen"/>
    <s v="EUROTEMPEST"/>
    <s v="1FH49AT"/>
    <s v="2019.05.17330"/>
    <n v="1"/>
    <s v="IRIS-OPR08-A01"/>
    <s v="IRIS-24-SCR16-A01"/>
  </r>
  <r>
    <x v="0"/>
    <s v="HP ZBOOK 17 G4"/>
    <s v="Laptop"/>
    <s v="EUROTEMPEST"/>
    <s v="Y3J81AV"/>
    <s v="2019.07.20256"/>
    <n v="1"/>
    <s v="_"/>
    <s v="IRIS-OPR09-A01"/>
  </r>
  <r>
    <x v="0"/>
    <s v="HP 512GB 2280 M2 PCIe 3x4 DS NVME EU"/>
    <s v="HP 512GB M2"/>
    <s v="ACTIVIUM"/>
    <s v="861960-003"/>
    <s v=""/>
    <n v="1"/>
    <s v="IRIS-OPR09-A01"/>
    <s v="_"/>
  </r>
  <r>
    <x v="0"/>
    <s v="HP USB Business Slim Keyboard - Hungarian"/>
    <s v="Keyboard"/>
    <s v="EUROTEMPEST"/>
    <s v="803181-211"/>
    <s v="2019.07.20234"/>
    <n v="1"/>
    <s v="IRIS-OPR09-A01"/>
    <s v="_"/>
  </r>
  <r>
    <x v="0"/>
    <s v="HP USB Optical Mouse"/>
    <s v="Mouse"/>
    <s v="EUROTEMPEST"/>
    <s v="678652-001"/>
    <s v="N/A"/>
    <n v="1"/>
    <s v="IRIS-OPR09-A01"/>
    <s v="_"/>
  </r>
  <r>
    <x v="0"/>
    <s v="USB 3.0 to Gigabit Ethernet Fiber Optic Network Adapter - 1000Base-SX SC"/>
    <s v="USB-Fiber"/>
    <s v="EUROTEMPEST"/>
    <s v="US1GA30SXSC"/>
    <s v="2019.06.18239"/>
    <n v="1"/>
    <s v="IRIS-OPR09-A01"/>
    <s v="_"/>
  </r>
  <r>
    <x v="0"/>
    <s v="Thunderbolts 3 to dual DisplayPort Adapter"/>
    <s v="Thunderbolt"/>
    <s v="EUROTEMPEST"/>
    <s v="TB32DP2T"/>
    <s v="2019.06.18260"/>
    <n v="1"/>
    <s v="IRIS-OPR09-A01"/>
    <s v="_"/>
  </r>
  <r>
    <x v="0"/>
    <s v="IIYAMA B2783QSU"/>
    <s v="Screen"/>
    <s v="EUROTEMPEST"/>
    <s v="B2783QSU"/>
    <s v="2019.07.22337"/>
    <n v="1"/>
    <s v="IRIS-OPR09-A01"/>
    <s v="IRIS-27-SCR01-A01"/>
  </r>
  <r>
    <x v="0"/>
    <s v="IIYAMA B2783QSU"/>
    <s v="Screen"/>
    <s v="EUROTEMPEST"/>
    <s v="B2783QSU"/>
    <s v="2019.07.22336"/>
    <n v="1"/>
    <s v="IRIS-OPR09-A01"/>
    <s v="IRIS-27-SCR02-A01"/>
  </r>
  <r>
    <x v="0"/>
    <s v="SPARE CASE 1 / IRIS - A01"/>
    <s v="SPARE CASE 1"/>
    <s v="_"/>
    <s v="_"/>
    <s v="_"/>
    <n v="1"/>
    <s v="SPARE CASE 1 / IRIS - A01"/>
    <s v="_"/>
  </r>
  <r>
    <x v="0"/>
    <s v="HP ZBOOK 17 G4"/>
    <s v="Laptop"/>
    <s v="EUROTEMPEST"/>
    <s v="Y3J81AV"/>
    <s v="2019.07.20258"/>
    <n v="1"/>
    <s v="_"/>
    <s v="IRIS-SPARE01-A01"/>
  </r>
  <r>
    <x v="0"/>
    <s v="HP 512GB 2280 M2 PCIe 3x4 DS NVME EU"/>
    <s v="HP 512GB M2"/>
    <s v="ACTIVIUM"/>
    <s v="861960-003"/>
    <s v=""/>
    <n v="1"/>
    <s v="IRIS-SPARE01-A01"/>
    <s v="_"/>
  </r>
  <r>
    <x v="0"/>
    <s v="HP USB Business Slim Keyboard - Hungarian"/>
    <s v="Keyboard"/>
    <s v="EUROTEMPEST"/>
    <s v="803181-211"/>
    <s v="2019.07.20236"/>
    <n v="1"/>
    <s v="IRIS-SPARE01-A01"/>
    <s v="_"/>
  </r>
  <r>
    <x v="0"/>
    <s v="HP USB Optical Mouse"/>
    <s v="Mouse"/>
    <s v="EUROTEMPEST"/>
    <s v="678652-001"/>
    <s v="N/A"/>
    <n v="1"/>
    <s v="IRIS-SPARE01-A01"/>
    <s v="_"/>
  </r>
  <r>
    <x v="0"/>
    <s v="USB 3.0 to Gigabit Ethernet Fiber Optic Network Adapter - 1000Base-SX SC"/>
    <s v="USB-Fiber"/>
    <s v="EUROTEMPEST"/>
    <s v="US1GA30SXSC"/>
    <s v="2019.06.18223"/>
    <n v="1"/>
    <s v="_"/>
    <s v="_"/>
  </r>
  <r>
    <x v="0"/>
    <s v="Thunderbolts 3 to dual DisplayPort Adapter"/>
    <s v="Thunderbolt"/>
    <s v="EUROTEMPEST"/>
    <s v="TB32DP2T"/>
    <s v="2019.06.18258"/>
    <n v="1"/>
    <s v="_"/>
    <s v="_"/>
  </r>
  <r>
    <x v="0"/>
    <s v="HP EliteDisplay E243i"/>
    <s v="Screen"/>
    <s v="EUROTEMPEST"/>
    <s v="1FH49AT"/>
    <s v="2019.05.17331"/>
    <n v="1"/>
    <s v="_"/>
    <s v="IRIS-24-SPARE01-A01"/>
  </r>
  <r>
    <x v="0"/>
    <s v="HP EliteDisplay E243i"/>
    <s v="Screen"/>
    <s v="EUROTEMPEST"/>
    <s v="1FH49AT"/>
    <s v="2019.05.17332"/>
    <n v="1"/>
    <s v="_"/>
    <s v="IRIS-24-SPARE02-A01"/>
  </r>
  <r>
    <x v="0"/>
    <s v="HP ZBOOK 17 G4"/>
    <s v="Laptop"/>
    <s v="EUROTEMPEST"/>
    <s v="Y3J81AV"/>
    <s v="2019.07.20255"/>
    <n v="1"/>
    <s v="_"/>
    <s v="IRIS-SPARE02-A01"/>
  </r>
  <r>
    <x v="0"/>
    <s v="HP 512GB 2280 M2 PCIe 3x4 DS NVME EU"/>
    <s v="HP 512GB M2"/>
    <s v="ACTIVIUM"/>
    <s v="861960-003"/>
    <s v=""/>
    <n v="1"/>
    <s v="IRIS-SPARE02-A01"/>
    <s v="_"/>
  </r>
  <r>
    <x v="0"/>
    <s v="HP USB Business Slim Keyboard - Hungarian"/>
    <s v="Keyboard"/>
    <s v="EUROTEMPEST"/>
    <s v="803181-211"/>
    <s v="2019.07.20233"/>
    <n v="1"/>
    <s v="IRIS-SPARE02-A01"/>
    <s v="_"/>
  </r>
  <r>
    <x v="0"/>
    <s v="HP USB Optical Mouse"/>
    <s v="Mouse"/>
    <s v="EUROTEMPEST"/>
    <s v="678652-001"/>
    <s v="N/A"/>
    <n v="1"/>
    <s v="IRIS-SPARE02-A01"/>
    <s v="_"/>
  </r>
  <r>
    <x v="0"/>
    <s v="USB 3.0 to Gigabit Ethernet Fiber Optic Network Adapter - 1000Base-SX SC"/>
    <s v="USB-Fiber"/>
    <s v="EUROTEMPEST"/>
    <s v="US1GA30SXSC"/>
    <s v="2019.06.18238"/>
    <n v="1"/>
    <s v="_"/>
    <s v="_"/>
  </r>
  <r>
    <x v="0"/>
    <s v="Thunderbolts 3 to dual DisplayPort Adapter"/>
    <s v="Thunderbolt"/>
    <s v="EUROTEMPEST"/>
    <s v="TB32DP2T"/>
    <s v="2019.06.18245"/>
    <n v="1"/>
    <s v="_"/>
    <s v="_"/>
  </r>
  <r>
    <x v="0"/>
    <s v="HP EliteDisplay E243i"/>
    <s v="Screen"/>
    <s v="EUROTEMPEST"/>
    <s v="1FH49AT"/>
    <s v="2019.05.17333"/>
    <n v="1"/>
    <s v="_"/>
    <s v="IRIS-24-SPARE03-A01"/>
  </r>
  <r>
    <x v="0"/>
    <s v="HP EliteDisplay E243i"/>
    <s v="Screen"/>
    <s v="EUROTEMPEST"/>
    <s v="1FH49AT"/>
    <s v="2019.05.17334"/>
    <n v="1"/>
    <s v="_"/>
    <s v="IRIS-24-SPARE04-A01"/>
  </r>
  <r>
    <x v="0"/>
    <s v="SPARE CASE 2 / IRIS - A01"/>
    <s v="SPARE CASE 2"/>
    <s v="_"/>
    <s v="_"/>
    <s v="_"/>
    <n v="1"/>
    <s v="SPARE CASE 2 / IRIS - A01"/>
    <s v="_"/>
  </r>
  <r>
    <x v="0"/>
    <s v="HP EliteDisplay E243i"/>
    <s v="Screen"/>
    <s v="EUROTEMPEST"/>
    <s v="1FH49AT"/>
    <s v="2019.05.17335"/>
    <n v="1"/>
    <s v="_"/>
    <s v="IRIS-24-SPARE05-A01"/>
  </r>
  <r>
    <x v="0"/>
    <s v="HP EliteDisplay E243i"/>
    <s v="Screen"/>
    <s v="EUROTEMPEST"/>
    <s v="1FH49AT"/>
    <s v="2019.05.17336"/>
    <n v="1"/>
    <s v="_"/>
    <s v="IRIS-24-SPARE06-A01"/>
  </r>
  <r>
    <x v="0"/>
    <s v="IIYAMA B2783QSU"/>
    <s v="Screen"/>
    <s v="EUROTEMPEST"/>
    <s v="B2783QSU"/>
    <s v="2019.07.22335"/>
    <n v="1"/>
    <s v="_"/>
    <s v="IRIS-27-SPARE01-A01"/>
  </r>
  <r>
    <x v="0"/>
    <s v="IIYAMA B2783QSU"/>
    <s v="Screen"/>
    <s v="EUROTEMPEST"/>
    <s v="B2783QSU"/>
    <s v="2019.07.22334"/>
    <n v="1"/>
    <s v="_"/>
    <s v="IRIS-27-SPARE02-A01"/>
  </r>
  <r>
    <x v="0"/>
    <s v="SPARE / IRIS - A01"/>
    <s v="SPARE"/>
    <s v="_"/>
    <s v="_"/>
    <s v="_"/>
    <n v="1"/>
    <s v="SPARE / IRIS - A01"/>
    <s v="_"/>
  </r>
  <r>
    <x v="0"/>
    <s v="SDC4/8GB - 8GB microSDHC (Class 4)"/>
    <s v="SDC4/8GB"/>
    <s v="ACTIVIUM"/>
    <s v="SDC4/8GBSP - 8GB2 microSDHC (Class 4)"/>
    <s v="N/A"/>
    <n v="1"/>
    <s v="_"/>
    <s v="IRIS-8GB-SPARE-A01"/>
  </r>
  <r>
    <x v="0"/>
    <s v="HP 512GB 2280 M2 PCIe 3x4 DS NVME EU"/>
    <s v="HP 512GB M2"/>
    <s v="ACTIVIUM"/>
    <s v="861960-003"/>
    <s v="S34CNX0K821454"/>
    <n v="1"/>
    <s v="_"/>
    <s v="IRIS-512GB-SPARE01-A01"/>
  </r>
  <r>
    <x v="0"/>
    <s v="HPE MSA 10TB 12G SAS 7.2K LFF 512e HDD"/>
    <s v="Disk"/>
    <s v="ACTIVIUM"/>
    <s v="P9M82A"/>
    <s v="JEHH68EN"/>
    <n v="1"/>
    <s v="_"/>
    <s v="IRIS-10TB-SPARE01-A01"/>
  </r>
  <r>
    <x v="0"/>
    <s v="HPE MSA 10TB 12G SAS 7.2K LFF 512e HDD"/>
    <s v="Disk"/>
    <s v="ACTIVIUM"/>
    <s v="P9M82A"/>
    <s v="JEHEJ88N"/>
    <n v="1"/>
    <s v="_"/>
    <s v="IRIS-10TB-SPARE02-A01"/>
  </r>
  <r>
    <x v="0"/>
    <s v="10GBASE-SR SFP MODULE"/>
    <s v="SFP module"/>
    <s v="DIMENSION DATA"/>
    <s v="SFP-10G-SR-S"/>
    <s v="AVD2305D9JH"/>
    <n v="1"/>
    <s v="_"/>
    <s v="IRIS-10GB-SR-SPARE01-A01"/>
  </r>
  <r>
    <x v="0"/>
    <s v="10GBASE-SR SFP MODULE"/>
    <s v="SFP module"/>
    <s v="DIMENSION DATA"/>
    <s v="SFP-10G-SR-S"/>
    <s v="AVD2305D9J9"/>
    <n v="1"/>
    <s v="_"/>
    <s v="IRIS-10GB-SR-SPARE02-A01"/>
  </r>
  <r>
    <x v="0"/>
    <s v="1000BASE-SX SFP TRANSCEIVER MODULE"/>
    <s v="SFP module"/>
    <s v="DIMENSION DATA"/>
    <s v="GLC-SX-MMD"/>
    <s v="ACW230502UM"/>
    <n v="1"/>
    <s v="_"/>
    <s v="IRIS-1GB-SX-SPARE01-A01"/>
  </r>
  <r>
    <x v="0"/>
    <s v="1000BASE-SX SFP TRANSCEIVER MODULE"/>
    <s v="SFP module"/>
    <s v="DIMENSION DATA"/>
    <s v="GLC-SX-MMD"/>
    <s v="ACW230503HY"/>
    <n v="1"/>
    <s v="_"/>
    <s v="IRIS-1GB-SX-SPARE02-A01"/>
  </r>
  <r>
    <x v="0"/>
    <s v="1000BASE-T SFP TRANSCEIVER MODULE FOR CATEGORY 5 COPPER WIRE"/>
    <s v="SFP module"/>
    <s v="DIMENSION DATA"/>
    <s v="GLC-TE"/>
    <s v="SMTC22380CBB"/>
    <n v="1"/>
    <s v="_"/>
    <s v="IRIS-1GB-T-SPARE-A01"/>
  </r>
  <r>
    <x v="1"/>
    <s v="NETWORK TRANSPORT CASE"/>
    <s v="TRANSPORT CASE"/>
    <s v="_"/>
    <s v="_"/>
    <s v="_"/>
    <n v="1"/>
    <s v="NETWORK TRANSPORT CASE"/>
    <s v="_"/>
  </r>
  <r>
    <x v="1"/>
    <s v="HPE DL360 Gen10 8SFF CTO Server"/>
    <s v="Server"/>
    <s v="HPE"/>
    <s v="867959-B21"/>
    <s v="CZJ8510C1C"/>
    <n v="1"/>
    <s v="NETWORK TRANSPORT CASE"/>
    <s v="IRIS-SRV1-G01"/>
  </r>
  <r>
    <x v="1"/>
    <s v="HPE BLc 10G SFP+ SR Transceiver"/>
    <s v="SFP module"/>
    <s v="HPE"/>
    <s v="455883-B21"/>
    <s v="7CR841N1WK"/>
    <n v="1"/>
    <s v="_"/>
    <s v="_"/>
  </r>
  <r>
    <x v="1"/>
    <s v="HPE BLc 10G SFP+ SR Transceiver"/>
    <s v="SFP module"/>
    <s v="HPE"/>
    <s v="455883-B21"/>
    <s v="7CR841N1WL"/>
    <n v="1"/>
    <s v="_"/>
    <s v="_"/>
  </r>
  <r>
    <x v="1"/>
    <s v="HPE 16G SFP+ SW XCVR-C"/>
    <s v="SFP module"/>
    <s v="HPE"/>
    <s v="E7Y10-63001"/>
    <s v="MY883701S8"/>
    <n v="1"/>
    <s v="_"/>
    <s v="_"/>
  </r>
  <r>
    <x v="1"/>
    <s v="HPE 16G SFP+ SW XCVR-C"/>
    <s v="SFP module"/>
    <s v="HPE"/>
    <s v="E7Y10-63001"/>
    <s v="MY883701UL"/>
    <n v="1"/>
    <s v="_"/>
    <s v="_"/>
  </r>
  <r>
    <x v="1"/>
    <s v="HPE DL360 Gen10 8SFF CTO Server"/>
    <s v="Server"/>
    <s v="HPE"/>
    <s v="867959-B21"/>
    <s v="CZJ8510C1M"/>
    <n v="1"/>
    <s v="NETWORK TRANSPORT CASE"/>
    <s v="IRIS-SRV2-G01"/>
  </r>
  <r>
    <x v="1"/>
    <s v="HPE BLc 10G SFP+ SR Transceiver"/>
    <s v="SFP module"/>
    <s v="HPE"/>
    <s v="455883-B21"/>
    <s v="7CR841N0NX"/>
    <n v="1"/>
    <s v="_"/>
    <s v="_"/>
  </r>
  <r>
    <x v="1"/>
    <s v="HPE BLc 10G SFP+ SR Transceiver"/>
    <s v="SFP module"/>
    <s v="HPE"/>
    <s v="455883-B21"/>
    <s v="7CR841N1W6"/>
    <n v="1"/>
    <s v="_"/>
    <s v="_"/>
  </r>
  <r>
    <x v="1"/>
    <s v="HPE 16G SFP+ SW XCVR-C"/>
    <s v="SFP module"/>
    <s v="HPE"/>
    <s v="E7Y10-63001"/>
    <s v="MY883701RX"/>
    <n v="1"/>
    <s v="_"/>
    <s v="_"/>
  </r>
  <r>
    <x v="1"/>
    <s v="HPE 16G SFP+ SW XCVR-C"/>
    <s v="SFP module"/>
    <s v="HPE"/>
    <s v="E7Y10-63001"/>
    <s v="MY883701UH"/>
    <n v="1"/>
    <s v="_"/>
    <s v="_"/>
  </r>
  <r>
    <x v="1"/>
    <s v="CATALYST 3850 24 PORT 10G FIBER SWITCH BASE"/>
    <s v="Switch"/>
    <s v="CISCO"/>
    <s v="WS-C3850-24XS-S"/>
    <s v="FCW2247D0AC"/>
    <n v="1"/>
    <s v="NETWORK TRANSPORT CASE"/>
    <s v="IRIS-SW1-G01"/>
  </r>
  <r>
    <x v="1"/>
    <s v="10GBASE-SR SFP MODULE"/>
    <s v="SFP module"/>
    <s v="CISCO"/>
    <s v="SFP-10G-SR-S"/>
    <s v="SOPM22411UG9"/>
    <n v="1"/>
    <s v="_"/>
    <s v="_"/>
  </r>
  <r>
    <x v="1"/>
    <s v="10GBASE-SR SFP MODULE"/>
    <s v="SFP module"/>
    <s v="CISCO"/>
    <s v="SFP-10G-SR-S"/>
    <s v="SOPM22411UGJ"/>
    <n v="1"/>
    <s v="_"/>
    <s v="_"/>
  </r>
  <r>
    <x v="1"/>
    <s v="10GBASE-SR SFP MODULE"/>
    <s v="SFP module"/>
    <s v="CISCO"/>
    <s v="SFP-10G-SR-S"/>
    <s v="SOPM22411UGK"/>
    <n v="1"/>
    <s v="_"/>
    <s v="_"/>
  </r>
  <r>
    <x v="1"/>
    <s v="10GBASE-SR SFP MODULE"/>
    <s v="SFP module"/>
    <s v="CISCO"/>
    <s v="SFP-10G-SR-S"/>
    <s v="SOPM22411UGL"/>
    <n v="1"/>
    <s v="_"/>
    <s v="_"/>
  </r>
  <r>
    <x v="1"/>
    <s v="10GBASE-SR SFP MODULE"/>
    <s v="SFP module"/>
    <s v="CISCO"/>
    <s v="SFP-10G-SR-S"/>
    <s v="SOPM22411UGP"/>
    <n v="1"/>
    <s v="_"/>
    <s v="_"/>
  </r>
  <r>
    <x v="1"/>
    <s v="1000BASE-SX SFP TRANSCEIVER MODULE"/>
    <s v="SFP module"/>
    <s v="CISCO"/>
    <s v="GLC-SX-MMD"/>
    <s v="SOPM22390B7U"/>
    <n v="1"/>
    <s v="_"/>
    <s v="_"/>
  </r>
  <r>
    <x v="1"/>
    <s v="1000BASE-SX SFP TRANSCEIVER MODULE"/>
    <s v="SFP module"/>
    <s v="CISCO"/>
    <s v="GLC-SX-MMD"/>
    <s v="SOPM22390B9J"/>
    <n v="1"/>
    <s v="_"/>
    <s v="_"/>
  </r>
  <r>
    <x v="1"/>
    <s v="1000BASE-SX SFP TRANSCEIVER MODULE"/>
    <s v="SFP module"/>
    <s v="CISCO"/>
    <s v="GLC-SX-MMD"/>
    <s v="SOPM22390B9M"/>
    <n v="1"/>
    <s v="_"/>
    <s v="_"/>
  </r>
  <r>
    <x v="1"/>
    <s v="1000BASE-T SFP TRANSCEIVER MODULE FOR CATEGORY 5 COPPER WIRE"/>
    <s v="SFP module"/>
    <s v="CISCO"/>
    <s v="GLC-TE"/>
    <s v="SMTC22380CB0"/>
    <n v="1"/>
    <s v="_"/>
    <s v="_"/>
  </r>
  <r>
    <x v="1"/>
    <s v="1000BASE-T SFP TRANSCEIVER MODULE FOR CATEGORY 5 COPPER WIRE"/>
    <s v="SFP module"/>
    <s v="CISCO"/>
    <s v="GLC-TE"/>
    <s v="SMTC22380CB6"/>
    <n v="1"/>
    <s v="_"/>
    <s v="_"/>
  </r>
  <r>
    <x v="1"/>
    <s v="1000BASE-T SFP TRANSCEIVER MODULE FOR CATEGORY 5 COPPER WIRE"/>
    <s v="SFP module"/>
    <s v="CISCO"/>
    <s v="GLC-TE"/>
    <s v="SMTC22380AY5"/>
    <n v="1"/>
    <s v="_"/>
    <s v="_"/>
  </r>
  <r>
    <x v="1"/>
    <s v="1000BASE-T SFP TRANSCEIVER MODULE FOR CATEGORY 5 COPPER WIRE"/>
    <s v="SFP module"/>
    <s v="CISCO"/>
    <s v="GLC-TE"/>
    <s v="SMTC22380B9B"/>
    <n v="1"/>
    <s v="_"/>
    <s v="_"/>
  </r>
  <r>
    <x v="1"/>
    <s v="CATALYST 3850 24 PORT 10G FIBER SWITCH BASE"/>
    <s v="Switch"/>
    <s v="CISCO"/>
    <s v="WS-C3850-24XS-S"/>
    <s v="FOC2247X096"/>
    <n v="1"/>
    <s v="NETWORK TRANSPORT CASE"/>
    <s v="IRIS-SW2-G01"/>
  </r>
  <r>
    <x v="1"/>
    <s v="10GBASE-SR SFP MODULE"/>
    <s v="SFP module"/>
    <s v="CISCO"/>
    <s v="SFP-10G-SR-S"/>
    <s v="SOPM22411SU3"/>
    <n v="1"/>
    <s v="_"/>
    <s v="_"/>
  </r>
  <r>
    <x v="1"/>
    <s v="10GBASE-SR SFP MODULE"/>
    <s v="SFP module"/>
    <s v="CISCO"/>
    <s v="SFP-10G-SR-S"/>
    <s v="SOPM22411SU5"/>
    <n v="1"/>
    <s v="_"/>
    <s v="_"/>
  </r>
  <r>
    <x v="1"/>
    <s v="10GBASE-SR SFP MODULE"/>
    <s v="SFP module"/>
    <s v="CISCO"/>
    <s v="SFP-10G-SR-S"/>
    <s v="SOPM22411SU7"/>
    <n v="1"/>
    <s v="_"/>
    <s v="_"/>
  </r>
  <r>
    <x v="1"/>
    <s v="10GBASE-SR SFP MODULE"/>
    <s v="SFP module"/>
    <s v="CISCO"/>
    <s v="SFP-10G-SR-S"/>
    <s v="SOPM22411SU8"/>
    <n v="1"/>
    <s v="_"/>
    <s v="_"/>
  </r>
  <r>
    <x v="1"/>
    <s v="10GBASE-SR SFP MODULE"/>
    <s v="SFP module"/>
    <s v="CISCO"/>
    <s v="SFP-10G-SR-S"/>
    <s v="SOPM22411SUL"/>
    <n v="1"/>
    <s v="_"/>
    <s v="_"/>
  </r>
  <r>
    <x v="1"/>
    <s v="1000BASE-SX SFP TRANSCEIVER MODULE"/>
    <s v="SFP module"/>
    <s v="CISCO"/>
    <s v="GLC-SX-MMD"/>
    <s v="SOPM22390B7X"/>
    <n v="1"/>
    <s v="_"/>
    <s v="_"/>
  </r>
  <r>
    <x v="1"/>
    <s v="1000BASE-SX SFP TRANSCEIVER MODULE"/>
    <s v="SFP module"/>
    <s v="CISCO"/>
    <s v="GLC-SX-MMD"/>
    <s v="SOPM22390B8G"/>
    <n v="1"/>
    <s v="_"/>
    <s v="_"/>
  </r>
  <r>
    <x v="1"/>
    <s v="1000BASE-SX SFP TRANSCEIVER MODULE"/>
    <s v="SFP module"/>
    <s v="CISCO"/>
    <s v="GLC-SX-MMD"/>
    <s v="SOPM22390BG1"/>
    <n v="1"/>
    <s v="_"/>
    <s v="_"/>
  </r>
  <r>
    <x v="1"/>
    <s v="1000BASE-T SFP TRANSCEIVER MODULE FOR CATEGORY 5 COPPER WIRE"/>
    <s v="SFP module"/>
    <s v="CISCO"/>
    <s v="GLC-TE"/>
    <s v="SMTC22380AWU"/>
    <n v="1"/>
    <s v="_"/>
    <s v="_"/>
  </r>
  <r>
    <x v="1"/>
    <s v="1000BASE-T SFP TRANSCEIVER MODULE FOR CATEGORY 5 COPPER WIRE"/>
    <s v="SFP module"/>
    <s v="CISCO"/>
    <s v="GLC-TE"/>
    <s v="SMTC22380BHK"/>
    <n v="1"/>
    <s v="_"/>
    <s v="_"/>
  </r>
  <r>
    <x v="1"/>
    <s v="1000BASE-T SFP TRANSCEIVER MODULE FOR CATEGORY 5 COPPER WIRE"/>
    <s v="SFP module"/>
    <s v="CISCO"/>
    <s v="GLC-TE"/>
    <s v="SMTC22380AXR"/>
    <n v="1"/>
    <s v="_"/>
    <s v="_"/>
  </r>
  <r>
    <x v="1"/>
    <s v="1000BASE-T SFP TRANSCEIVER MODULE FOR CATEGORY 5 COPPER WIRE"/>
    <s v="SFP module"/>
    <s v="CISCO"/>
    <s v="GLC-TE"/>
    <s v="SMTC223808K0"/>
    <n v="1"/>
    <s v="_"/>
    <s v="_"/>
  </r>
  <r>
    <x v="1"/>
    <s v="SERVER TRANSPORT CASE"/>
    <s v="TRANSPORT CASE"/>
    <s v="_"/>
    <s v="_"/>
    <s v="_"/>
    <n v="1"/>
    <s v="SERVER TRANSPORT CASE"/>
    <s v="_"/>
  </r>
  <r>
    <x v="1"/>
    <s v="HPE DL360 Gen10 8SFF CTO Server"/>
    <s v="Server"/>
    <s v="HPE"/>
    <s v="867959-B21"/>
    <s v="CZJ8510C11"/>
    <n v="1"/>
    <s v="SERVER TRANSPORT CASE"/>
    <s v="IRIS-SRV3-G01"/>
  </r>
  <r>
    <x v="1"/>
    <s v="HPE BLc 10G SFP+ SR Transceiver"/>
    <s v="SFP module"/>
    <s v="HPE"/>
    <s v="455883-B21"/>
    <s v="7CR841N1UB"/>
    <n v="1"/>
    <s v="_"/>
    <s v="_"/>
  </r>
  <r>
    <x v="1"/>
    <s v="HPE BLc 10G SFP+ SR Transceiver"/>
    <s v="SFP module"/>
    <s v="HPE"/>
    <s v="455883-B21"/>
    <s v="7CR841N1VW"/>
    <n v="1"/>
    <s v="_"/>
    <s v="_"/>
  </r>
  <r>
    <x v="1"/>
    <s v="HPE 16G SFP+ SW XCVR-C"/>
    <s v="SFP module"/>
    <s v="HPE"/>
    <s v="E7Y10-63001"/>
    <s v="MY883701UC"/>
    <n v="1"/>
    <s v="_"/>
    <s v="_"/>
  </r>
  <r>
    <x v="1"/>
    <s v="HPE 16G SFP+ SW XCVR-C"/>
    <s v="SFP module"/>
    <s v="HPE"/>
    <s v="E7Y10-63001"/>
    <s v="MY883701UD"/>
    <n v="1"/>
    <s v="_"/>
    <s v="_"/>
  </r>
  <r>
    <x v="1"/>
    <s v="HPE DL360 Gen10 8SFF CTO Server"/>
    <s v="Server"/>
    <s v="HPE"/>
    <s v="867959-B21"/>
    <s v="CZJ8510C17"/>
    <n v="1"/>
    <s v="SERVER TRANSPORT CASE"/>
    <s v="IRIS-SRV4-G01"/>
  </r>
  <r>
    <x v="1"/>
    <s v="HPE BLc 10G SFP+ SR Transceiver"/>
    <s v="SFP module"/>
    <s v="HPE"/>
    <s v="455883-B21"/>
    <s v="7CR841N1VZ"/>
    <n v="1"/>
    <s v="_"/>
    <s v="_"/>
  </r>
  <r>
    <x v="1"/>
    <s v="HPE BLc 10G SFP+ SR Transceiver"/>
    <s v="SFP module"/>
    <s v="HPE"/>
    <s v="455883-B21"/>
    <s v="7CR841N1WH"/>
    <n v="1"/>
    <s v="_"/>
    <s v="_"/>
  </r>
  <r>
    <x v="1"/>
    <s v="HPE 16G SFP+ SW XCVR-C"/>
    <s v="SFP module"/>
    <s v="HPE"/>
    <s v="E7Y10-63001"/>
    <s v="MY884805UV"/>
    <n v="1"/>
    <s v="_"/>
    <s v="_"/>
  </r>
  <r>
    <x v="1"/>
    <s v="HPE 16G SFP+ SW XCVR-C"/>
    <s v="SFP module"/>
    <s v="HPE"/>
    <s v="E7Y10-63001"/>
    <s v="MY884805PC"/>
    <n v="1"/>
    <s v="_"/>
    <s v="_"/>
  </r>
  <r>
    <x v="1"/>
    <s v="HPE 400GB SAS 12G MU SFF SC DS 550"/>
    <s v="Disk"/>
    <s v="HPE"/>
    <s v="P09088-B21"/>
    <s v="5C3904J04B"/>
    <n v="1"/>
    <s v="IRIS-SRV4-G01-01"/>
    <s v="_"/>
  </r>
  <r>
    <x v="1"/>
    <s v="HPE 400GB SAS 12G MU SFF SC DS 550"/>
    <s v="Disk"/>
    <s v="HPE"/>
    <s v="P09088-B21"/>
    <s v="5C3905J075"/>
    <n v="1"/>
    <s v="IRIS-SRV4-G01-02"/>
    <s v="_"/>
  </r>
  <r>
    <x v="1"/>
    <s v="HPE MSA 2050 SAN DC LFF Storage"/>
    <s v="MSA SAN"/>
    <s v="HPE"/>
    <s v="Q1J00A"/>
    <s v="2S6849B200"/>
    <n v="1"/>
    <s v="SERVER TRANSPORT CASE"/>
    <s v="IRIS-MSA-G01"/>
  </r>
  <r>
    <x v="1"/>
    <s v="MSA 2050 SAN dual controller"/>
    <s v="MSA SAN"/>
    <s v="HPE"/>
    <s v="876127-001"/>
    <s v="7CE847M249"/>
    <n v="1"/>
    <s v="_"/>
    <s v="_"/>
  </r>
  <r>
    <x v="1"/>
    <s v="MSA 2050 SAN dual controller"/>
    <s v="MSA SAN"/>
    <s v="HPE"/>
    <s v="876127-001"/>
    <s v="7CE847M256"/>
    <n v="1"/>
    <s v="_"/>
    <s v="_"/>
  </r>
  <r>
    <x v="1"/>
    <s v="HPE MSA 10TB 12G SAS 7.2K LFF 512e HDD"/>
    <s v="Disk"/>
    <s v="HPE"/>
    <s v="P9M82A"/>
    <s v="THH851Z06I"/>
    <n v="1"/>
    <s v="IRIS-MSA-G01-01"/>
    <s v="_"/>
  </r>
  <r>
    <x v="1"/>
    <s v="HPE MSA 10TB 12G SAS 7.2K LFF 512e HDD"/>
    <s v="Disk"/>
    <s v="HPE"/>
    <s v="P9M82A"/>
    <s v="THH851Z06J"/>
    <n v="1"/>
    <s v="IRIS-MSA-G01-02"/>
    <s v="_"/>
  </r>
  <r>
    <x v="1"/>
    <s v="HPE MSA 10TB 12G SAS 7.2K LFF 512e HDD"/>
    <s v="Disk"/>
    <s v="HPE"/>
    <s v="P9M82A"/>
    <s v="THH851Z06K"/>
    <n v="1"/>
    <s v="IRIS-MSA-G01-03"/>
    <s v="_"/>
  </r>
  <r>
    <x v="1"/>
    <s v="HPE MSA 10TB 12G SAS 7.2K LFF 512e HDD"/>
    <s v="Disk"/>
    <s v="HPE"/>
    <s v="P9M82A"/>
    <s v="THH851Z06L"/>
    <n v="1"/>
    <s v="IRIS-MSA-G01-04"/>
    <s v="_"/>
  </r>
  <r>
    <x v="1"/>
    <s v="HPE MSA 10TB 12G SAS 7.2K LFF 512e HDD"/>
    <s v="Disk"/>
    <s v="HPE"/>
    <s v="P9M82A"/>
    <s v="THH851Z06R"/>
    <n v="1"/>
    <s v="IRIS-MSA-G01-05"/>
    <s v="_"/>
  </r>
  <r>
    <x v="1"/>
    <s v="HPE MSA 10TB 12G SAS 7.2K LFF 512e HDD"/>
    <s v="Disk"/>
    <s v="HPE"/>
    <s v="P9M82A"/>
    <s v="THH851Z06P"/>
    <n v="1"/>
    <s v="IRIS-MSA-G01-06"/>
    <s v="_"/>
  </r>
  <r>
    <x v="1"/>
    <s v="HPE MSA 10TB 12G SAS 7.2K LFF 512e HDD"/>
    <s v="Disk"/>
    <s v="HPE"/>
    <s v="P9M82A"/>
    <s v="THH851Z06E"/>
    <n v="1"/>
    <s v="IRIS-MSA-G01-07"/>
    <s v="_"/>
  </r>
  <r>
    <x v="1"/>
    <s v="HPE MSA 10TB 12G SAS 7.2K LFF 512e HDD"/>
    <s v="Disk"/>
    <s v="HPE"/>
    <s v="P9M82A"/>
    <s v="THH851Z06M"/>
    <n v="1"/>
    <s v="IRIS-MSA-G01-08"/>
    <s v="_"/>
  </r>
  <r>
    <x v="1"/>
    <s v="HPE MSA 10TB 12G SAS 7.2K LFF 512e HDD"/>
    <s v="Disk"/>
    <s v="HPE"/>
    <s v="P9M82A"/>
    <s v="THH851Z06N"/>
    <n v="1"/>
    <s v="IRIS-MSA-G01-09"/>
    <s v="_"/>
  </r>
  <r>
    <x v="1"/>
    <s v="HPE MSA 10TB 12G SAS 7.2K LFF 512e HDD"/>
    <s v="Disk"/>
    <s v="HPE"/>
    <s v="P9M82A"/>
    <s v="THH851Z06B"/>
    <n v="1"/>
    <s v="IRIS-MSA-G01-10"/>
    <s v="_"/>
  </r>
  <r>
    <x v="1"/>
    <s v="HPE MSA 10TB 12G SAS 7.2K LFF 512e HDD"/>
    <s v="Disk"/>
    <s v="HPE"/>
    <s v="P9M82A"/>
    <s v="THH851Z06C"/>
    <n v="1"/>
    <s v="IRIS-MSA-G01-11"/>
    <s v="_"/>
  </r>
  <r>
    <x v="1"/>
    <s v="HPE MSA 10TB 12G SAS 7.2K LFF 512e HDD"/>
    <s v="Disk"/>
    <s v="HPE"/>
    <s v="P9M82A"/>
    <s v="THH851Z06D"/>
    <n v="1"/>
    <s v="IRIS-MSA-G01-12"/>
    <s v="_"/>
  </r>
  <r>
    <x v="1"/>
    <s v="HPE MSA 16GB SW FC SFP"/>
    <s v="SFP module"/>
    <s v="HPE"/>
    <s v="720999-002"/>
    <s v="MY884204T3"/>
    <n v="1"/>
    <s v="_"/>
    <s v="_"/>
  </r>
  <r>
    <x v="1"/>
    <s v="HPE MSA 16GB SW FC SFP"/>
    <s v="SFP module"/>
    <s v="HPE"/>
    <s v="720999-002"/>
    <s v="MY884204FU"/>
    <n v="1"/>
    <s v="_"/>
    <s v="_"/>
  </r>
  <r>
    <x v="1"/>
    <s v="HPE MSA 16GB SW FC SFP"/>
    <s v="SFP module"/>
    <s v="HPE"/>
    <s v="720999-002"/>
    <s v="MY884201PP"/>
    <n v="1"/>
    <s v="_"/>
    <s v="_"/>
  </r>
  <r>
    <x v="1"/>
    <s v="HPE MSA 16GB SW FC SFP"/>
    <s v="SFP module"/>
    <s v="HPE"/>
    <s v="720999-002"/>
    <s v="MY884201N9"/>
    <n v="1"/>
    <s v="_"/>
    <s v="_"/>
  </r>
  <r>
    <x v="1"/>
    <s v="HPE MSA 16GB SW FC SFP"/>
    <s v="SFP module"/>
    <s v="HPE"/>
    <s v="720999-002"/>
    <s v="MY884204ZQ"/>
    <n v="1"/>
    <s v="_"/>
    <s v="_"/>
  </r>
  <r>
    <x v="1"/>
    <s v="HPE MSA 16GB SW FC SFP"/>
    <s v="SFP module"/>
    <s v="HPE"/>
    <s v="720999-002"/>
    <s v="MY884302B7"/>
    <n v="1"/>
    <s v="_"/>
    <s v="_"/>
  </r>
  <r>
    <x v="1"/>
    <s v="HPE MSA 16GB SW FC SFP"/>
    <s v="SFP module"/>
    <s v="HPE"/>
    <s v="720999-002"/>
    <s v="MY884201PE"/>
    <n v="1"/>
    <s v="_"/>
    <s v="_"/>
  </r>
  <r>
    <x v="1"/>
    <s v="HPE MSA 16GB SW FC SFP"/>
    <s v="SFP module"/>
    <s v="HPE"/>
    <s v="720999-002"/>
    <s v="MY884201CG"/>
    <n v="1"/>
    <s v="_"/>
    <s v="_"/>
  </r>
  <r>
    <x v="1"/>
    <s v="POWER TRANSPORT CASE"/>
    <s v="TRANSPORT CASE"/>
    <s v="_"/>
    <s v="_"/>
    <s v="_"/>
    <n v="1"/>
    <s v="POWER TRANSPORT CASE"/>
    <s v="_"/>
  </r>
  <r>
    <x v="1"/>
    <s v="NTP TIME SERVER WITH OCXO"/>
    <s v="NTP Server"/>
    <s v="HEOL DESIGN"/>
    <s v="T101R-10us-AC-I/O-OCXOMR"/>
    <s v="0814292"/>
    <n v="1"/>
    <s v="POWER TRANSPORT CASE"/>
    <s v="IRIS-NTP-G01"/>
  </r>
  <r>
    <x v="1"/>
    <s v="HPE R5000 3U IECSO9-32A HV INTL UPS"/>
    <s v="UPS"/>
    <s v="HPE"/>
    <s v="AF461A"/>
    <s v="ACC8390056"/>
    <n v="1"/>
    <s v="POWER TRANSPORT CASE"/>
    <s v="IRIS-UPS-G01"/>
  </r>
  <r>
    <x v="1"/>
    <s v="CASE 1 / IRIS - G01"/>
    <s v="CASE 1"/>
    <s v="_"/>
    <s v="_"/>
    <s v="_"/>
    <n v="1"/>
    <s v="CASE 1 / IRIS - G01"/>
    <s v="_"/>
  </r>
  <r>
    <x v="1"/>
    <s v="Delivery External Usb Hard Disk - WD Elements Portable SE 1TB USB 3.0 2.5In"/>
    <s v="Disk WDE - Delivery"/>
    <s v="ACTIVIUM"/>
    <s v="WDBUZG0010BBK-0B"/>
    <s v="WX51AA88AXAV"/>
    <m/>
    <s v="_"/>
    <s v="_"/>
  </r>
  <r>
    <x v="1"/>
    <s v="VM Initial Backup - WD Elements Portable SE 2TB USB 3.0 2.5In"/>
    <s v="Disk WDE - VM Iinitial BKP"/>
    <s v="ACTIVIUM"/>
    <s v="WDBU6Y0020BBK-0B"/>
    <s v="WXQ1EC86Y698"/>
    <m/>
    <s v="_"/>
    <s v="_"/>
  </r>
  <r>
    <x v="1"/>
    <s v="Deployment Workstation - DataTraveler 100 G3 - 32 Go"/>
    <s v="DT100G3/32GB"/>
    <s v="ACTIVIUM"/>
    <s v="DT100G3/32GB"/>
    <s v="N/A"/>
    <n v="1"/>
    <s v="_"/>
    <s v="_"/>
  </r>
  <r>
    <x v="1"/>
    <s v="Deployment Workstation - DataTraveler 100 G3 - 32 Go"/>
    <s v="DT100G3/32GB"/>
    <s v="ACTIVIUM"/>
    <s v="DT100G3/32GB"/>
    <s v="N/A"/>
    <n v="1"/>
    <s v="_"/>
    <s v="_"/>
  </r>
  <r>
    <x v="1"/>
    <s v="HP ZBOOK 17 G4"/>
    <s v="Laptop"/>
    <s v="EUROTEMPEST"/>
    <s v="Y3J81AV"/>
    <s v="2019.01.3204"/>
    <n v="1"/>
    <s v="OSINT Workstation"/>
    <s v="IRIS-MMCO-G01"/>
  </r>
  <r>
    <x v="1"/>
    <s v="HP 512GB 2280 M2 PCIe 3x4 DS NVME EU"/>
    <s v="HP 512GB M2"/>
    <s v="ACTIVIUM"/>
    <s v="861960-003"/>
    <s v=""/>
    <n v="1"/>
    <s v="IRIS-MMCO-G01"/>
    <s v="_"/>
  </r>
  <r>
    <x v="1"/>
    <s v="HP 1TB 7200RPM SATA 6.0 Gbps 2.5 64MB"/>
    <s v="HP 1TB 7.2K"/>
    <s v="ACTIVIUM"/>
    <s v="Y3J93AV"/>
    <s v=""/>
    <n v="1"/>
    <s v="IRIS-MMCO-G01"/>
    <s v="_"/>
  </r>
  <r>
    <x v="1"/>
    <s v="HP USB Business Slim Keyboard - Hungarian"/>
    <s v="Keyboard"/>
    <s v="EUROTEMPEST"/>
    <s v="803181-211"/>
    <s v="2019.01.3268"/>
    <n v="1"/>
    <s v="IRIS-MMCO-G01"/>
    <s v="_"/>
  </r>
  <r>
    <x v="1"/>
    <s v="HP USB Optical Mouse"/>
    <s v="Mouse"/>
    <s v="EUROTEMPEST"/>
    <s v="678652-001"/>
    <s v="N/A"/>
    <n v="1"/>
    <s v="IRIS-MMCO-G01"/>
    <s v="_"/>
  </r>
  <r>
    <x v="1"/>
    <s v="Thunderbolts 3 to dual DisplayPort Adapter"/>
    <s v="Thunderbolt"/>
    <s v="EUROTEMPEST"/>
    <s v="TB32DP2T"/>
    <s v="2019.01.3088"/>
    <n v="1"/>
    <s v="IRIS-MMCO-G01"/>
    <s v="_"/>
  </r>
  <r>
    <x v="1"/>
    <s v="HP EliteDisplay E243i"/>
    <s v="Screen"/>
    <s v="EUROTEMPEST"/>
    <s v="1FH49AT"/>
    <s v="2019.01.3529"/>
    <n v="1"/>
    <s v="IRIS-MMCO-G01"/>
    <s v="IRIS-24-SCR01-G01"/>
  </r>
  <r>
    <x v="1"/>
    <s v="HP EliteDisplay E243i"/>
    <s v="Screen"/>
    <s v="EUROTEMPEST"/>
    <s v="1FH49AT"/>
    <s v="2019.01.3530"/>
    <n v="1"/>
    <s v="IRIS-MMCO-G01"/>
    <s v="IRIS-24-SCR02-G01"/>
  </r>
  <r>
    <x v="1"/>
    <s v="OSINT Data Collection - WD Elements Portable SE 2TB USB 3.0 2.5In"/>
    <s v="Disk WDE - OSINT Data"/>
    <s v="EUROTEMPEST"/>
    <s v="WDBU6Y0020BBK-0B"/>
    <s v="2019.01.3118"/>
    <m/>
    <s v="IRIS-MMCO-G01"/>
    <s v="_"/>
  </r>
  <r>
    <x v="1"/>
    <s v="OSINT Data Collection - WD Elements Portable SE 2TB USB 3.0 2.5In"/>
    <s v="Disk WDE - OSINT Data"/>
    <s v="EUROTEMPEST"/>
    <s v="WDBU6Y0020BBK-0B"/>
    <s v="2019.01.3117"/>
    <m/>
    <s v="IRIS-MMCO-G01"/>
    <s v="_"/>
  </r>
  <r>
    <x v="1"/>
    <s v="HP ZBOOK 17 G4"/>
    <s v="Laptop"/>
    <s v="EUROTEMPEST"/>
    <s v="Y3J81AV"/>
    <s v="2019.01.3175"/>
    <n v="1"/>
    <s v="Incluses I4DEXPLORER"/>
    <s v="IRIS-OPR01-G01"/>
  </r>
  <r>
    <x v="1"/>
    <s v="HP 512GB 2280 M2 PCIe 3x4 DS NVME EU"/>
    <s v="HP 512GB M2"/>
    <s v="ACTIVIUM"/>
    <s v="861960-003"/>
    <s v=""/>
    <n v="1"/>
    <s v="IRIS-OPR01-G01"/>
    <s v="_"/>
  </r>
  <r>
    <x v="1"/>
    <s v="HP USB Business Slim Keyboard - Hungarian"/>
    <s v="Keyboard"/>
    <s v="EUROTEMPEST"/>
    <s v="803181-211"/>
    <s v="2019.01.3239"/>
    <n v="1"/>
    <s v="IRIS-OPR01-G01"/>
    <s v="_"/>
  </r>
  <r>
    <x v="1"/>
    <s v="HP USB Optical Mouse"/>
    <s v="Mouse"/>
    <s v="EUROTEMPEST"/>
    <s v="678652-001"/>
    <s v="N/A"/>
    <n v="1"/>
    <s v="IRIS-OPR01-G01"/>
    <s v="_"/>
  </r>
  <r>
    <x v="1"/>
    <s v="USB 3.0 to Gigabit Ethernet Fiber Optic Network Adapter - 1000Base-SX SC"/>
    <s v="USB-Fiber"/>
    <s v="EUROTEMPEST"/>
    <s v="US1GA30SXSC"/>
    <s v="2019.01.3012"/>
    <n v="1"/>
    <s v="IRIS-OPR01-G01"/>
    <s v="_"/>
  </r>
  <r>
    <x v="1"/>
    <s v="Thunderbolts 3 to dual DisplayPort Adapter"/>
    <s v="Thunderbolt"/>
    <s v="EUROTEMPEST"/>
    <s v="TB32DP2T"/>
    <s v="2019.01.3087"/>
    <n v="1"/>
    <s v="IRIS-OPR01-G01"/>
    <s v="_"/>
  </r>
  <r>
    <x v="1"/>
    <s v="HP EliteDisplay E243i"/>
    <s v="Screen"/>
    <s v="EUROTEMPEST"/>
    <s v="1FH49AT"/>
    <s v="2019.01.3531"/>
    <n v="1"/>
    <s v="IRIS-OPR01-G01"/>
    <s v="IRIS-24-SCR03-G01"/>
  </r>
  <r>
    <x v="1"/>
    <s v="HP EliteDisplay E243i"/>
    <s v="Screen"/>
    <s v="EUROTEMPEST"/>
    <s v="1FH49AT"/>
    <s v="2019.01.3532"/>
    <n v="1"/>
    <s v="IRIS-OPR01-G01"/>
    <s v="IRIS-24-SCR04-G01"/>
  </r>
  <r>
    <x v="1"/>
    <s v="CASE 2 / IRIS - G01"/>
    <s v="CASE 2"/>
    <s v="_"/>
    <s v="_"/>
    <s v="_"/>
    <n v="1"/>
    <s v="CASE 2 / IRIS - G01"/>
    <s v="_"/>
  </r>
  <r>
    <x v="1"/>
    <s v="HP ZBOOK 17 G4"/>
    <s v="Laptop"/>
    <s v="EUROTEMPEST"/>
    <s v="Y3J81AV"/>
    <s v="2019.01.3176"/>
    <n v="1"/>
    <s v="Incluses I4DEXPLORER"/>
    <s v="IRIS-OPR02-G01"/>
  </r>
  <r>
    <x v="1"/>
    <s v="HP 512GB 2280 M2 PCIe 3x4 DS NVME EU"/>
    <s v="HP 512GB M2"/>
    <s v="ACTIVIUM"/>
    <s v="861960-003"/>
    <s v=""/>
    <n v="1"/>
    <s v="IRIS-OPR02-G01"/>
    <s v="_"/>
  </r>
  <r>
    <x v="1"/>
    <s v="HP USB Business Slim Keyboard - Hungarian"/>
    <s v="Keyboard"/>
    <s v="EUROTEMPEST"/>
    <s v="803181-211"/>
    <s v="2019.01.3240"/>
    <n v="1"/>
    <s v="IRIS-OPR02-G01"/>
    <s v="_"/>
  </r>
  <r>
    <x v="1"/>
    <s v="HP USB Optical Mouse"/>
    <s v="Mouse"/>
    <s v="EUROTEMPEST"/>
    <s v="678652-001"/>
    <s v="N/A"/>
    <n v="1"/>
    <s v="IRIS-OPR02-G01"/>
    <s v="_"/>
  </r>
  <r>
    <x v="1"/>
    <s v="USB 3.0 to Gigabit Ethernet Fiber Optic Network Adapter - 1000Base-SX SC"/>
    <s v="USB-Fiber"/>
    <s v="EUROTEMPEST"/>
    <s v="US1GA30SXSC"/>
    <s v="2019.01.3009"/>
    <n v="1"/>
    <s v="IRIS-OPR02-G01"/>
    <s v="_"/>
  </r>
  <r>
    <x v="1"/>
    <s v="Thunderbolts 3 to dual DisplayPort Adapter"/>
    <s v="Thunderbolt"/>
    <s v="EUROTEMPEST"/>
    <s v="TB32DP2T"/>
    <s v="2019.01.3086"/>
    <n v="1"/>
    <s v="IRIS-OPR02-G01"/>
    <s v="_"/>
  </r>
  <r>
    <x v="1"/>
    <s v="HP EliteDisplay E243i"/>
    <s v="Screen"/>
    <s v="EUROTEMPEST"/>
    <s v="1FH49AT"/>
    <s v="2019.01.3533"/>
    <n v="1"/>
    <s v="IRIS-OPR02-G01"/>
    <s v="IRIS-24-SCR05-G01"/>
  </r>
  <r>
    <x v="1"/>
    <s v="HP EliteDisplay E243i"/>
    <s v="Screen"/>
    <s v="EUROTEMPEST"/>
    <s v="1FH49AT"/>
    <s v="2019.01.3534"/>
    <n v="1"/>
    <s v="IRIS-OPR02-G01"/>
    <s v="IRIS-24-SCR06-G01"/>
  </r>
  <r>
    <x v="1"/>
    <s v="HP ZBOOK 17 G4"/>
    <s v="Laptop"/>
    <s v="EUROTEMPEST"/>
    <s v="Y3J81AV"/>
    <s v="2019.01.3177"/>
    <n v="1"/>
    <s v="_"/>
    <s v="IRIS-OPR03-G01"/>
  </r>
  <r>
    <x v="1"/>
    <s v="HP 512GB 2280 M2 PCIe 3x4 DS NVME EU"/>
    <s v="HP 512GB M2"/>
    <s v="ACTIVIUM"/>
    <s v="861960-003"/>
    <s v=""/>
    <n v="1"/>
    <s v="IRIS-OPR03-G01"/>
    <s v="_"/>
  </r>
  <r>
    <x v="1"/>
    <s v="HP USB Business Slim Keyboard - Hungarian"/>
    <s v="Keyboard"/>
    <s v="EUROTEMPEST"/>
    <s v="803181-211"/>
    <s v="2019.01.3241"/>
    <n v="1"/>
    <s v="IRIS-OPR03-G01"/>
    <s v="_"/>
  </r>
  <r>
    <x v="1"/>
    <s v="HP USB Optical Mouse"/>
    <s v="Mouse"/>
    <s v="EUROTEMPEST"/>
    <s v="678652-001"/>
    <s v="N/A"/>
    <n v="1"/>
    <s v="IRIS-OPR03-G01"/>
    <s v="_"/>
  </r>
  <r>
    <x v="1"/>
    <s v="USB 3.0 to Gigabit Ethernet Fiber Optic Network Adapter - 1000Base-SX SC"/>
    <s v="USB-Fiber"/>
    <s v="EUROTEMPEST"/>
    <s v="US1GA30SXSC"/>
    <s v="2019.01.3011"/>
    <n v="1"/>
    <s v="IRIS-OPR03-G01"/>
    <s v="_"/>
  </r>
  <r>
    <x v="1"/>
    <s v="Thunderbolts 3 to dual DisplayPort Adapter"/>
    <s v="Thunderbolt"/>
    <s v="EUROTEMPEST"/>
    <s v="TB32DP2T"/>
    <s v="2019.01.3085"/>
    <n v="1"/>
    <s v="IRIS-OPR03-G01"/>
    <s v="_"/>
  </r>
  <r>
    <x v="1"/>
    <s v="HP EliteDisplay E243i"/>
    <s v="Screen"/>
    <s v="EUROTEMPEST"/>
    <s v="1FH49AT"/>
    <s v="2019.01.3535"/>
    <n v="1"/>
    <s v="IRIS-OPR03-G01"/>
    <s v="IRIS-24-SCR07-G01"/>
  </r>
  <r>
    <x v="1"/>
    <s v="HP EliteDisplay E243i"/>
    <s v="Screen"/>
    <s v="EUROTEMPEST"/>
    <s v="1FH49AT"/>
    <s v="2019.01.3536"/>
    <n v="1"/>
    <s v="IRIS-OPR03-G01"/>
    <s v="IRIS-24-SCR08-G01"/>
  </r>
  <r>
    <x v="1"/>
    <s v="CASE 3 / IRIS - G01"/>
    <s v="CASE 3"/>
    <s v="_"/>
    <s v="_"/>
    <s v="_"/>
    <n v="1"/>
    <s v="CASE 3 / IRIS - G01"/>
    <s v="_"/>
  </r>
  <r>
    <x v="1"/>
    <s v="HP ZBOOK 17 G4"/>
    <s v="Laptop"/>
    <s v="EUROTEMPEST"/>
    <s v="Y3J81AV"/>
    <s v="2019.01.3178"/>
    <n v="1"/>
    <s v="_"/>
    <s v="IRIS-OPR04-G01"/>
  </r>
  <r>
    <x v="1"/>
    <s v="HP 512GB 2280 M2 PCIe 3x4 DS NVME EU"/>
    <s v="HP 512GB M2"/>
    <s v="ACTIVIUM"/>
    <s v="861960-003"/>
    <s v=""/>
    <n v="1"/>
    <s v="IRIS-OPR04-G01"/>
    <s v="_"/>
  </r>
  <r>
    <x v="1"/>
    <s v="HP USB Business Slim Keyboard - Hungarian"/>
    <s v="Keyboard"/>
    <s v="EUROTEMPEST"/>
    <s v="803181-211"/>
    <s v="2019.01.3242"/>
    <n v="1"/>
    <s v="IRIS-OPR04-G01"/>
    <s v="_"/>
  </r>
  <r>
    <x v="1"/>
    <s v="HP USB Optical Mouse"/>
    <s v="Mouse"/>
    <s v="EUROTEMPEST"/>
    <s v="678652-001"/>
    <s v="N/A"/>
    <n v="1"/>
    <s v="IRIS-OPR04-G01"/>
    <s v="_"/>
  </r>
  <r>
    <x v="1"/>
    <s v="USB 3.0 to Gigabit Ethernet Fiber Optic Network Adapter - 1000Base-SX SC"/>
    <s v="USB-Fiber"/>
    <s v="EUROTEMPEST"/>
    <s v="US1GA30SXSC"/>
    <s v="2019.01.3010"/>
    <n v="1"/>
    <s v="IRIS-OPR04-G01"/>
    <s v="_"/>
  </r>
  <r>
    <x v="1"/>
    <s v="Thunderbolts 3 to dual DisplayPort Adapter"/>
    <s v="Thunderbolt"/>
    <s v="EUROTEMPEST"/>
    <s v="TB32DP2T"/>
    <s v="2019.01.3084"/>
    <n v="1"/>
    <s v="IRIS-OPR04-G01"/>
    <s v="_"/>
  </r>
  <r>
    <x v="1"/>
    <s v="HP EliteDisplay E243i"/>
    <s v="Screen"/>
    <s v="EUROTEMPEST"/>
    <s v="1FH49AT"/>
    <s v="2019.01.3537"/>
    <n v="1"/>
    <s v="IRIS-OPR04-G01"/>
    <s v="IRIS-24-SCR09-G01"/>
  </r>
  <r>
    <x v="1"/>
    <s v="HP EliteDisplay E243i"/>
    <s v="Screen"/>
    <s v="EUROTEMPEST"/>
    <s v="1FH49AT"/>
    <s v="2019.01.3538"/>
    <n v="1"/>
    <s v="IRIS-OPR04-G01"/>
    <s v="IRIS-24-SCR10-G01"/>
  </r>
  <r>
    <x v="1"/>
    <s v="SPARE CASE 1 / IRIS - G01"/>
    <s v="SPARE CASE 1"/>
    <s v="_"/>
    <s v="_"/>
    <s v="_"/>
    <n v="1"/>
    <s v="SPARE CASE 1 / IRIS - G01"/>
    <s v="_"/>
  </r>
  <r>
    <x v="1"/>
    <s v="HP ZBOOK 17 G4"/>
    <s v="Laptop"/>
    <s v="EUROTEMPEST"/>
    <s v="Y3J81AV"/>
    <s v="2019.01.3195"/>
    <n v="1"/>
    <s v="_"/>
    <s v="IRIS-MM-SPARE-G01"/>
  </r>
  <r>
    <x v="1"/>
    <s v="HP 512GB 2280 M2 PCIe 3x4 DS NVME EU"/>
    <s v="HP 512GB M2"/>
    <s v="ACTIVIUM"/>
    <s v="861960-003"/>
    <s v=""/>
    <n v="1"/>
    <s v="IRIS-MM-SPARE-G01"/>
    <s v="_"/>
  </r>
  <r>
    <x v="1"/>
    <s v="HP 1TB 7200RPM SATA 6.0 Gbps 2.5 64MB"/>
    <s v="HP 1TB 7.2K"/>
    <s v="ACTIVIUM"/>
    <s v="Y3J93AV"/>
    <s v=""/>
    <n v="1"/>
    <s v="IRIS-MM-SPARE-G01"/>
    <s v="_"/>
  </r>
  <r>
    <x v="1"/>
    <s v="HP USB Business Slim Keyboard - Hungarian"/>
    <s v="Keyboard"/>
    <s v="EUROTEMPEST"/>
    <s v="803181-211"/>
    <s v="2019.01.3259"/>
    <n v="1"/>
    <s v="IRIS-MM-SPARE-G01"/>
    <s v="_"/>
  </r>
  <r>
    <x v="1"/>
    <s v="HP USB Optical Mouse"/>
    <s v="Mouse"/>
    <s v="EUROTEMPEST"/>
    <s v="678652-001"/>
    <s v="N/A"/>
    <n v="1"/>
    <s v="IRIS-MM-SPARE-G01"/>
    <s v="_"/>
  </r>
  <r>
    <x v="1"/>
    <s v="HP EliteDisplay E243i"/>
    <s v="Screen"/>
    <s v="EUROTEMPEST"/>
    <s v="1FH49AT"/>
    <s v="2019.01.3539"/>
    <n v="1"/>
    <s v="_"/>
    <s v="IRIS-24-SPARE01-G01"/>
  </r>
  <r>
    <x v="1"/>
    <s v="HP EliteDisplay E243i"/>
    <s v="Screen"/>
    <s v="EUROTEMPEST"/>
    <s v="1FH49AT"/>
    <s v="2019.01.3554"/>
    <n v="1"/>
    <s v="_"/>
    <s v="IRIS-24-SPARE02-G01"/>
  </r>
  <r>
    <x v="1"/>
    <s v="HP ZBOOK 17 G4"/>
    <s v="Laptop"/>
    <s v="EUROTEMPEST"/>
    <s v="Y3J81AV"/>
    <s v="2019.01.3192"/>
    <n v="1"/>
    <s v="_"/>
    <s v="IRIS-SPARE01-G01"/>
  </r>
  <r>
    <x v="1"/>
    <s v="HP 512GB 2280 M2 PCIe 3x4 DS NVME EU"/>
    <s v="HP 512GB M2"/>
    <s v="ACTIVIUM"/>
    <s v="861960-003"/>
    <s v=""/>
    <n v="1"/>
    <s v="IRIS-SPARE01-G01"/>
    <s v="_"/>
  </r>
  <r>
    <x v="1"/>
    <s v="HP USB Business Slim Keyboard - Hungarian"/>
    <s v="Keyboard"/>
    <s v="EUROTEMPEST"/>
    <s v="803181-211"/>
    <s v="2019.01.3256"/>
    <n v="1"/>
    <s v="IRIS-SPARE01-G01"/>
    <s v="_"/>
  </r>
  <r>
    <x v="1"/>
    <s v="HP USB Optical Mouse"/>
    <s v="Mouse"/>
    <s v="EUROTEMPEST"/>
    <s v="678652-001"/>
    <s v="N/A"/>
    <n v="1"/>
    <s v="IRIS-SPARE01-G01"/>
    <s v="_"/>
  </r>
  <r>
    <x v="1"/>
    <s v="HP EliteDisplay E243i"/>
    <s v="Screen"/>
    <s v="EUROTEMPEST"/>
    <s v="1FH49AT"/>
    <s v="2019.01.3555"/>
    <n v="1"/>
    <s v="_"/>
    <s v="IRIS-24-SPARE03-G01"/>
  </r>
  <r>
    <x v="1"/>
    <s v="HP EliteDisplay E243i"/>
    <s v="Screen"/>
    <s v="EUROTEMPEST"/>
    <s v="1FH49AT"/>
    <s v="2019.01.3556"/>
    <n v="1"/>
    <s v="_"/>
    <s v="IRIS-24-SPARE04-G01"/>
  </r>
  <r>
    <x v="1"/>
    <s v="USB 3.0 to Gigabit Ethernet Fiber Optic Network Adapter - 1000Base-SX SC"/>
    <s v="USB-Fiber"/>
    <s v="EUROTEMPEST"/>
    <s v="US1GA30SXSC"/>
    <s v="2019.01.3008"/>
    <n v="1"/>
    <s v="_"/>
    <s v="_"/>
  </r>
  <r>
    <x v="1"/>
    <s v="Thunderbolts 3 to dual DisplayPort Adapter"/>
    <s v="Thunderbolt"/>
    <s v="EUROTEMPEST"/>
    <s v="TB32DP2T"/>
    <s v="2019.01.3083"/>
    <n v="1"/>
    <s v="_"/>
    <s v="_"/>
  </r>
  <r>
    <x v="1"/>
    <s v="Thunderbolts 3 to dual DisplayPort Adapter"/>
    <s v="Thunderbolt"/>
    <s v="EUROTEMPEST"/>
    <s v="TB32DP2T"/>
    <s v="2019.01.3082"/>
    <n v="1"/>
    <s v="_"/>
    <s v="_"/>
  </r>
  <r>
    <x v="1"/>
    <s v="HARD DISK / IRIS - G01"/>
    <s v="HARD DISK"/>
    <s v="_"/>
    <s v="_"/>
    <s v="_"/>
    <n v="1"/>
    <s v="HARD DISK / IRIS - G01"/>
    <s v="_"/>
  </r>
  <r>
    <x v="1"/>
    <s v="Pack fan - ebmpapts 7855 ES"/>
    <s v="Fan"/>
    <s v="SOCAMONT"/>
    <s v="W2S130-AA03-01"/>
    <s v="N/A"/>
    <n v="1"/>
    <s v="_"/>
    <s v="IRIS-FAN-SPARE-G01"/>
  </r>
  <r>
    <x v="1"/>
    <s v="SDC4/8GB - 8GB microSDHC (Class 4)"/>
    <s v="SDC4/8GB"/>
    <s v="ACTIVIUM"/>
    <s v="SDC4/8GBSP - 8GB2 microSDHC (Class 4)"/>
    <s v="N/A"/>
    <n v="1"/>
    <s v="_"/>
    <s v="IRIS-8GB-SPARE-G01"/>
  </r>
  <r>
    <x v="1"/>
    <s v="HPE 400GB SAS 12G MU SFF SC DS 550"/>
    <s v="Disk"/>
    <s v="HPE"/>
    <s v="P09088-B21"/>
    <s v="5C3905J06A"/>
    <n v="1"/>
    <s v="_"/>
    <s v="IRIS-400GB-SPARE-G01"/>
  </r>
  <r>
    <x v="1"/>
    <s v="HP 512GB 2280 M2 PCIe 3x4 DS NVME EU"/>
    <s v="HP 512GB M2"/>
    <s v="ACTIVIUM"/>
    <s v="861960-003"/>
    <s v="S34CNX0K821354"/>
    <n v="1"/>
    <s v="_"/>
    <s v="IRIS-512GB-SPARE01-G01"/>
  </r>
  <r>
    <x v="1"/>
    <s v="HPE MSA 10TB 12G SAS 7.2K LFF 512e HDD"/>
    <s v="Disk"/>
    <s v="ACTIVIUM"/>
    <s v="P9M82A"/>
    <s v="JEHGK52N"/>
    <n v="1"/>
    <s v="_"/>
    <s v="IRIS-10TB-SPARE01-G01"/>
  </r>
  <r>
    <x v="1"/>
    <s v="HPE MSA 10TB 12G SAS 7.2K LFF 512e HDD"/>
    <s v="Disk"/>
    <s v="ACTIVIUM"/>
    <s v="P9M82A"/>
    <s v="JEHGEUPN"/>
    <n v="1"/>
    <s v="_"/>
    <s v="IRIS-10TB-SPARE02-G01"/>
  </r>
  <r>
    <x v="1"/>
    <s v="10GBASE-SR SFP MODULE"/>
    <s v="SFP module"/>
    <s v="DIMENSION DATA"/>
    <s v="SFP-10G-SR-S"/>
    <s v="AVD2305D9J1"/>
    <n v="1"/>
    <s v="_"/>
    <s v="IRIS-10GB-SR-SPARE01-G01"/>
  </r>
  <r>
    <x v="1"/>
    <s v="10GBASE-SR SFP MODULE"/>
    <s v="SFP module"/>
    <s v="DIMENSION DATA"/>
    <s v="SFP-10G-SR-S"/>
    <s v="AVD2305D9KL"/>
    <n v="1"/>
    <s v="_"/>
    <s v="IRIS-10GB-SR-SPARE02-G01"/>
  </r>
  <r>
    <x v="1"/>
    <s v="1000BASE-SX SFP TRANSCEIVER MODULE"/>
    <s v="SFP module"/>
    <s v="DIMENSION DATA"/>
    <s v="GLC-SX-MMD"/>
    <s v="ACW230503YN"/>
    <n v="1"/>
    <s v="_"/>
    <s v="IRIS-1GB-SX-SPARE01-G01"/>
  </r>
  <r>
    <x v="1"/>
    <s v="1000BASE-SX SFP TRANSCEIVER MODULE"/>
    <s v="SFP module"/>
    <s v="DIMENSION DATA"/>
    <s v="GLC-SX-MMD"/>
    <s v="ACW230503Y3"/>
    <n v="1"/>
    <s v="_"/>
    <s v="IRIS-1GB-SX-SPARE02-G01"/>
  </r>
  <r>
    <x v="1"/>
    <s v="1000BASE-T SFP TRANSCEIVER MODULE FOR CATEGORY 5 COPPER WIRE"/>
    <s v="SFP module"/>
    <s v="DIMENSION DATA"/>
    <s v="GLC-TE"/>
    <s v="SMTC22380CAN"/>
    <n v="1"/>
    <s v="_"/>
    <s v="IRIS-1GB-T-SPARE-G01"/>
  </r>
  <r>
    <x v="2"/>
    <s v="NETWORK TRANSPORT CASE"/>
    <s v="TRANSPORT CASE"/>
    <s v="_"/>
    <s v="_"/>
    <s v="_"/>
    <n v="1"/>
    <s v="NETWORK TRANSPORT CASE"/>
    <s v="_"/>
  </r>
  <r>
    <x v="2"/>
    <s v="HPE DL360 Gen10 8SFF CTO Server"/>
    <s v="Server"/>
    <s v="HPE"/>
    <s v="867959-B21"/>
    <s v="CZJ91702JF"/>
    <n v="1"/>
    <s v="NETWORK TRANSPORT CASE"/>
    <s v="IRIS-SRV1-H01"/>
  </r>
  <r>
    <x v="2"/>
    <s v="HPE BLc 10G SFP+ SR Transceiver"/>
    <s v="SFP module"/>
    <s v="HPE"/>
    <s v="455883-B21"/>
    <s v="7CR83941YJ"/>
    <n v="1"/>
    <s v="_"/>
    <s v="_"/>
  </r>
  <r>
    <x v="2"/>
    <s v="HPE BLc 10G SFP+ SR Transceiver"/>
    <s v="SFP module"/>
    <s v="HPE"/>
    <s v="455883-B21"/>
    <s v="7CR83941Y4"/>
    <n v="1"/>
    <s v="_"/>
    <s v="_"/>
  </r>
  <r>
    <x v="2"/>
    <s v="HPE 16G SFP+ SW XCVR-C"/>
    <s v="SFP module"/>
    <s v="HPE"/>
    <s v="E7Y10-63001"/>
    <s v="MY891119TZ"/>
    <n v="1"/>
    <s v="_"/>
    <s v="_"/>
  </r>
  <r>
    <x v="2"/>
    <s v="HPE 16G SFP+ SW XCVR-C"/>
    <s v="SFP module"/>
    <s v="HPE"/>
    <s v="E7Y10-63001"/>
    <s v="MY891119TE"/>
    <n v="1"/>
    <s v="_"/>
    <s v="_"/>
  </r>
  <r>
    <x v="2"/>
    <s v="HPE DL360 Gen10 8SFF CTO Server"/>
    <s v="Server"/>
    <s v="HPE"/>
    <s v="867959-B21"/>
    <s v="CZJ91702K8"/>
    <n v="1"/>
    <s v="NETWORK TRANSPORT CASE"/>
    <s v="IRIS-SRV2-H01"/>
  </r>
  <r>
    <x v="2"/>
    <s v="HPE BLc 10G SFP+ SR Transceiver"/>
    <s v="SFP module"/>
    <s v="HPE"/>
    <s v="455883-B21"/>
    <s v="7CR839437B"/>
    <n v="1"/>
    <s v="_"/>
    <s v="_"/>
  </r>
  <r>
    <x v="2"/>
    <s v="HPE BLc 10G SFP+ SR Transceiver"/>
    <s v="SFP module"/>
    <s v="HPE"/>
    <s v="455883-B21"/>
    <s v="7CR839438K"/>
    <n v="1"/>
    <s v="_"/>
    <s v="_"/>
  </r>
  <r>
    <x v="2"/>
    <s v="HPE 16G SFP+ SW XCVR-C"/>
    <s v="SFP module"/>
    <s v="HPE"/>
    <s v="E7Y10-63001"/>
    <s v="MY891119US"/>
    <n v="1"/>
    <s v="_"/>
    <s v="_"/>
  </r>
  <r>
    <x v="2"/>
    <s v="HPE 16G SFP+ SW XCVR-C"/>
    <s v="SFP module"/>
    <s v="HPE"/>
    <s v="E7Y10-63001"/>
    <s v="MY891119TY"/>
    <n v="1"/>
    <s v="_"/>
    <s v="_"/>
  </r>
  <r>
    <x v="2"/>
    <s v="CATALYST 3850 24 PORT 10G FIBER SWITCH BASE"/>
    <s v="Switch"/>
    <s v="CISCO"/>
    <s v="WS-C3850-24XS-S"/>
    <s v="FCW2302D17P"/>
    <n v="1"/>
    <s v="NETWORK TRANSPORT CASE"/>
    <s v="IRIS-SW1-H01"/>
  </r>
  <r>
    <x v="2"/>
    <s v="10GBASE-SR SFP MODULE"/>
    <s v="SFP module"/>
    <s v="CISCO"/>
    <s v="SFP-10G-SR-S"/>
    <s v="AVD2305D021"/>
    <n v="1"/>
    <s v="_"/>
    <s v="_"/>
  </r>
  <r>
    <x v="2"/>
    <s v="10GBASE-SR SFP MODULE"/>
    <s v="SFP module"/>
    <s v="CISCO"/>
    <s v="SFP-10G-SR-S"/>
    <s v="AVD2305D02W"/>
    <n v="1"/>
    <s v="_"/>
    <s v="_"/>
  </r>
  <r>
    <x v="2"/>
    <s v="10GBASE-SR SFP MODULE"/>
    <s v="SFP module"/>
    <s v="CISCO"/>
    <s v="SFP-10G-SR-S"/>
    <s v="AVD2305D02G"/>
    <n v="1"/>
    <s v="_"/>
    <s v="_"/>
  </r>
  <r>
    <x v="2"/>
    <s v="10GBASE-SR SFP MODULE"/>
    <s v="SFP module"/>
    <s v="CISCO"/>
    <s v="SFP-10G-SR-S"/>
    <s v="AVD2305D024"/>
    <n v="1"/>
    <s v="_"/>
    <s v="_"/>
  </r>
  <r>
    <x v="2"/>
    <s v="10GBASE-SR SFP MODULE"/>
    <s v="SFP module"/>
    <s v="CISCO"/>
    <s v="SFP-10G-SR-S"/>
    <s v="AVD2305D02F"/>
    <n v="1"/>
    <s v="_"/>
    <s v="_"/>
  </r>
  <r>
    <x v="2"/>
    <s v="1000BASE-SX SFP TRANSCEIVER MODULE"/>
    <s v="SFP module"/>
    <s v="CISCO"/>
    <s v="GLC-SX-MMD"/>
    <s v="ACW230416A4"/>
    <n v="1"/>
    <s v="_"/>
    <s v="_"/>
  </r>
  <r>
    <x v="2"/>
    <s v="1000BASE-SX SFP TRANSCEIVER MODULE"/>
    <s v="SFP module"/>
    <s v="CISCO"/>
    <s v="GLC-SX-MMD"/>
    <s v="ACW23041688"/>
    <n v="1"/>
    <s v="_"/>
    <s v="_"/>
  </r>
  <r>
    <x v="2"/>
    <s v="1000BASE-SX SFP TRANSCEIVER MODULE"/>
    <s v="SFP module"/>
    <s v="CISCO"/>
    <s v="GLC-SX-MMD"/>
    <s v="ACW230415P3"/>
    <n v="1"/>
    <s v="_"/>
    <s v="_"/>
  </r>
  <r>
    <x v="2"/>
    <s v="1000BASE-SX SFP TRANSCEIVER MODULE"/>
    <s v="SFP module"/>
    <s v="CISCO"/>
    <s v="GLC-SX-MMD"/>
    <s v="ACW23040ZAX"/>
    <n v="1"/>
    <s v="_"/>
    <s v="_"/>
  </r>
  <r>
    <x v="2"/>
    <s v="1000BASE-T SFP TRANSCEIVER MODULE FOR CATEGORY 5 COPPER WIRE"/>
    <s v="SFP module"/>
    <s v="CISCO"/>
    <s v="GLC-TE"/>
    <s v="AVC230721FT"/>
    <n v="1"/>
    <s v="_"/>
    <s v="_"/>
  </r>
  <r>
    <x v="2"/>
    <s v="1000BASE-T SFP TRANSCEIVER MODULE FOR CATEGORY 5 COPPER WIRE"/>
    <s v="SFP module"/>
    <s v="CISCO"/>
    <s v="GLC-TE"/>
    <s v="AVC230720US"/>
    <n v="1"/>
    <s v="_"/>
    <s v="_"/>
  </r>
  <r>
    <x v="2"/>
    <s v="1000BASE-T SFP TRANSCEIVER MODULE FOR CATEGORY 5 COPPER WIRE"/>
    <s v="SFP module"/>
    <s v="CISCO"/>
    <s v="GLC-TE"/>
    <s v="AVC230721FF"/>
    <n v="1"/>
    <s v="_"/>
    <s v="_"/>
  </r>
  <r>
    <x v="2"/>
    <s v="1000BASE-T SFP TRANSCEIVER MODULE FOR CATEGORY 5 COPPER WIRE"/>
    <s v="SFP module"/>
    <s v="CISCO"/>
    <s v="GLC-TE"/>
    <s v="AVC230720UX"/>
    <n v="1"/>
    <s v="_"/>
    <s v="_"/>
  </r>
  <r>
    <x v="2"/>
    <s v="CATALYST 3850 24 PORT 10G FIBER SWITCH BASE"/>
    <s v="Switch"/>
    <s v="CISCO"/>
    <s v="WS-C3850-24XS-S"/>
    <s v="FCW2308D140"/>
    <n v="1"/>
    <s v="NETWORK TRANSPORT CASE"/>
    <s v="IRIS-SW2-H01"/>
  </r>
  <r>
    <x v="2"/>
    <s v="10GBASE-SR SFP MODULE"/>
    <s v="SFP module"/>
    <s v="CISCO"/>
    <s v="SFP-10G-SR-S"/>
    <s v="AVD2305D7F1"/>
    <n v="1"/>
    <s v="_"/>
    <s v="_"/>
  </r>
  <r>
    <x v="2"/>
    <s v="10GBASE-SR SFP MODULE"/>
    <s v="SFP module"/>
    <s v="CISCO"/>
    <s v="SFP-10G-SR-S"/>
    <s v="AVD2305D7FN"/>
    <n v="1"/>
    <s v="_"/>
    <s v="_"/>
  </r>
  <r>
    <x v="2"/>
    <s v="10GBASE-SR SFP MODULE"/>
    <s v="SFP module"/>
    <s v="CISCO"/>
    <s v="SFP-10G-SR-S"/>
    <s v="AVD2305D7GM"/>
    <n v="1"/>
    <s v="_"/>
    <s v="_"/>
  </r>
  <r>
    <x v="2"/>
    <s v="10GBASE-SR SFP MODULE"/>
    <s v="SFP module"/>
    <s v="CISCO"/>
    <s v="SFP-10G-SR-S"/>
    <s v="AVD2305D7FU"/>
    <n v="1"/>
    <s v="_"/>
    <s v="_"/>
  </r>
  <r>
    <x v="2"/>
    <s v="10GBASE-SR SFP MODULE"/>
    <s v="SFP module"/>
    <s v="CISCO"/>
    <s v="SFP-10G-SR-S"/>
    <s v="AVD2305D7FX"/>
    <n v="1"/>
    <s v="_"/>
    <s v="_"/>
  </r>
  <r>
    <x v="2"/>
    <s v="1000BASE-SX SFP TRANSCEIVER MODULE"/>
    <s v="SFP module"/>
    <s v="CISCO"/>
    <s v="GLC-SX-MMD"/>
    <s v="ACW23040YZL"/>
    <n v="1"/>
    <s v="_"/>
    <s v="_"/>
  </r>
  <r>
    <x v="2"/>
    <s v="1000BASE-SX SFP TRANSCEIVER MODULE"/>
    <s v="SFP module"/>
    <s v="CISCO"/>
    <s v="GLC-SX-MMD"/>
    <s v="ACW23040ZDE"/>
    <n v="1"/>
    <s v="_"/>
    <s v="_"/>
  </r>
  <r>
    <x v="2"/>
    <s v="1000BASE-SX SFP TRANSCEIVER MODULE"/>
    <s v="SFP module"/>
    <s v="CISCO"/>
    <s v="GLC-SX-MMD"/>
    <s v="ACW23040YRQ"/>
    <n v="1"/>
    <s v="_"/>
    <s v="_"/>
  </r>
  <r>
    <x v="2"/>
    <s v="1000BASE-SX SFP TRANSCEIVER MODULE"/>
    <s v="SFP module"/>
    <s v="CISCO"/>
    <s v="GLC-SX-MMD"/>
    <s v="ACW23040ZBS"/>
    <n v="1"/>
    <s v="_"/>
    <s v="_"/>
  </r>
  <r>
    <x v="2"/>
    <s v="1000BASE-T SFP TRANSCEIVER MODULE FOR CATEGORY 5 COPPER WIRE"/>
    <s v="SFP module"/>
    <s v="CISCO"/>
    <s v="GLC-TE"/>
    <s v="AVC230721FL"/>
    <n v="1"/>
    <s v="_"/>
    <s v="_"/>
  </r>
  <r>
    <x v="2"/>
    <s v="1000BASE-T SFP TRANSCEIVER MODULE FOR CATEGORY 5 COPPER WIRE"/>
    <s v="SFP module"/>
    <s v="CISCO"/>
    <s v="GLC-TE"/>
    <s v="AVC230721FG"/>
    <n v="1"/>
    <s v="_"/>
    <s v="_"/>
  </r>
  <r>
    <x v="2"/>
    <s v="1000BASE-T SFP TRANSCEIVER MODULE FOR CATEGORY 5 COPPER WIRE"/>
    <s v="SFP module"/>
    <s v="CISCO"/>
    <s v="GLC-TE"/>
    <s v="AVC230721F6"/>
    <n v="1"/>
    <s v="_"/>
    <s v="_"/>
  </r>
  <r>
    <x v="2"/>
    <s v="1000BASE-T SFP TRANSCEIVER MODULE FOR CATEGORY 5 COPPER WIRE"/>
    <s v="SFP module"/>
    <s v="CISCO"/>
    <s v="GLC-TE"/>
    <s v="AVC230721FH"/>
    <n v="1"/>
    <s v="_"/>
    <s v="_"/>
  </r>
  <r>
    <x v="2"/>
    <s v="SERVER TRANSPORT CASE"/>
    <s v="TRANSPORT CASE"/>
    <s v="_"/>
    <s v="_"/>
    <s v="_"/>
    <n v="1"/>
    <s v="SERVER TRANSPORT CASE"/>
    <s v="_"/>
  </r>
  <r>
    <x v="2"/>
    <s v="HPE DL360 Gen10 8SFF CTO Server"/>
    <s v="Server"/>
    <s v="HPE"/>
    <s v="867959-B21"/>
    <s v="CZJ91702JD"/>
    <n v="1"/>
    <s v="SERVER TRANSPORT CASE"/>
    <s v="IRIS-SRV3-H01"/>
  </r>
  <r>
    <x v="2"/>
    <s v="HPE BLc 10G SFP+ SR Transceiver"/>
    <s v="SFP module"/>
    <s v="HPE"/>
    <s v="455883-B21"/>
    <s v="7CR83941Y7"/>
    <n v="1"/>
    <s v="_"/>
    <s v="_"/>
  </r>
  <r>
    <x v="2"/>
    <s v="HPE BLc 10G SFP+ SR Transceiver"/>
    <s v="SFP module"/>
    <s v="HPE"/>
    <s v="455883-B21"/>
    <s v="7CR83941YB"/>
    <n v="1"/>
    <s v="_"/>
    <s v="_"/>
  </r>
  <r>
    <x v="2"/>
    <s v="HPE 16G SFP+ SW XCVR-C"/>
    <s v="SFP module"/>
    <s v="HPE"/>
    <s v="E7Y10-63001"/>
    <s v="MY8911124Z"/>
    <n v="1"/>
    <s v="_"/>
    <s v="_"/>
  </r>
  <r>
    <x v="2"/>
    <s v="HPE 16G SFP+ SW XCVR-C"/>
    <s v="SFP module"/>
    <s v="HPE"/>
    <s v="E7Y10-63001"/>
    <s v="MY89111202"/>
    <n v="1"/>
    <s v="_"/>
    <s v="_"/>
  </r>
  <r>
    <x v="2"/>
    <s v="HPE DL360 Gen10 8SFF CTO Server"/>
    <s v="Server"/>
    <s v="HPE"/>
    <s v="867959-B21"/>
    <s v="CZJ91702JL"/>
    <n v="1"/>
    <s v="SERVER TRANSPORT CASE"/>
    <s v="IRIS-SRV4-H01"/>
  </r>
  <r>
    <x v="2"/>
    <s v="HPE BLc 10G SFP+ SR Transceiver"/>
    <s v="SFP module"/>
    <s v="HPE"/>
    <s v="455883-B21"/>
    <s v="7CR839436Y"/>
    <n v="1"/>
    <s v="_"/>
    <s v="_"/>
  </r>
  <r>
    <x v="2"/>
    <s v="HPE BLc 10G SFP+ SR Transceiver"/>
    <s v="SFP module"/>
    <s v="HPE"/>
    <s v="455883-B21"/>
    <s v="7CR839437E"/>
    <n v="1"/>
    <s v="_"/>
    <s v="_"/>
  </r>
  <r>
    <x v="2"/>
    <s v="HPE 16G SFP+ SW XCVR-C"/>
    <s v="SFP module"/>
    <s v="HPE"/>
    <s v="E7Y10-63001"/>
    <s v="MY891119TP"/>
    <n v="1"/>
    <s v="_"/>
    <s v="_"/>
  </r>
  <r>
    <x v="2"/>
    <s v="HPE 16G SFP+ SW XCVR-C"/>
    <s v="SFP module"/>
    <s v="HPE"/>
    <s v="E7Y10-63001"/>
    <s v="MY891117TJ"/>
    <n v="1"/>
    <s v="_"/>
    <s v="_"/>
  </r>
  <r>
    <x v="2"/>
    <s v="HPE 400GB SAS 12G MU SFF SC DS 550"/>
    <s v="Disk"/>
    <s v="HPE"/>
    <s v="P09088-B21"/>
    <s v="5C3905J06B"/>
    <n v="1"/>
    <s v="IRIS-SRV4-H01-01"/>
    <s v="_"/>
  </r>
  <r>
    <x v="2"/>
    <s v="HPE 400GB SAS 12G MU SFF SC DS 550"/>
    <s v="Disk"/>
    <s v="HPE"/>
    <s v="P09088-B21"/>
    <s v="5C3904J047"/>
    <n v="1"/>
    <s v="IRIS-SRV4-H01-02"/>
    <s v="_"/>
  </r>
  <r>
    <x v="2"/>
    <s v="HPE MSA 2050 SAN DC LFF Storage"/>
    <s v="MSA SAN"/>
    <s v="HPE"/>
    <s v="Q1J00A"/>
    <s v="2S6910B080"/>
    <n v="1"/>
    <s v="SERVER TRANSPORT CASE"/>
    <s v="IRIS-MSA-H01"/>
  </r>
  <r>
    <x v="2"/>
    <s v="MSA 2050 SAN dual controller"/>
    <s v="MSA SAN"/>
    <s v="HPE"/>
    <s v="876127-001"/>
    <s v="7CE903M566"/>
    <n v="1"/>
    <s v="_"/>
    <s v="_"/>
  </r>
  <r>
    <x v="2"/>
    <s v="MSA 2050 SAN dual controller"/>
    <s v="MSA SAN"/>
    <s v="HPE"/>
    <s v="876127-001"/>
    <s v="7CE901M976"/>
    <n v="1"/>
    <s v="_"/>
    <s v="_"/>
  </r>
  <r>
    <x v="2"/>
    <s v="HPE MSA 10TB 12G SAS 7.2K LFF 512e HDD"/>
    <s v="Disk"/>
    <s v="HPE"/>
    <s v="P9M82A"/>
    <s v="THH917Z0DR"/>
    <n v="1"/>
    <s v="IRIS-MSA-H01-01"/>
    <s v="_"/>
  </r>
  <r>
    <x v="2"/>
    <s v="HPE MSA 10TB 12G SAS 7.2K LFF 512e HDD"/>
    <s v="Disk"/>
    <s v="HPE"/>
    <s v="P9M82A"/>
    <s v="THH917Z0DS"/>
    <n v="1"/>
    <s v="IRIS-MSA-H01-02"/>
    <s v="_"/>
  </r>
  <r>
    <x v="2"/>
    <s v="HPE MSA 10TB 12G SAS 7.2K LFF 512e HDD"/>
    <s v="Disk"/>
    <s v="HPE"/>
    <s v="P9M82A"/>
    <s v="THH917Z0DT"/>
    <n v="1"/>
    <s v="IRIS-MSA-H01-03"/>
    <s v="_"/>
  </r>
  <r>
    <x v="2"/>
    <s v="HPE MSA 10TB 12G SAS 7.2K LFF 512e HDD"/>
    <s v="Disk"/>
    <s v="HPE"/>
    <s v="P9M82A"/>
    <s v="THH914Z076"/>
    <n v="1"/>
    <s v="IRIS-MSA-H01-04"/>
    <s v="_"/>
  </r>
  <r>
    <x v="2"/>
    <s v="HPE MSA 10TB 12G SAS 7.2K LFF 512e HDD"/>
    <s v="Disk"/>
    <s v="HPE"/>
    <s v="P9M82A"/>
    <s v="THH914Z07J"/>
    <n v="1"/>
    <s v="IRIS-MSA-H01-05"/>
    <s v="_"/>
  </r>
  <r>
    <x v="2"/>
    <s v="HPE MSA 10TB 12G SAS 7.2K LFF 512e HDD"/>
    <s v="Disk"/>
    <s v="HPE"/>
    <s v="P9M82A"/>
    <s v="THH917Z0DP"/>
    <n v="1"/>
    <s v="IRIS-MSA-H01-06"/>
    <s v="_"/>
  </r>
  <r>
    <x v="2"/>
    <s v="HPE MSA 10TB 12G SAS 7.2K LFF 512e HDD"/>
    <s v="Disk"/>
    <s v="HPE"/>
    <s v="P9M82A"/>
    <s v="THH914Z07L"/>
    <n v="1"/>
    <s v="IRIS-MSA-H01-07"/>
    <s v="_"/>
  </r>
  <r>
    <x v="2"/>
    <s v="HPE MSA 10TB 12G SAS 7.2K LFF 512e HDD"/>
    <s v="Disk"/>
    <s v="HPE"/>
    <s v="P9M82A"/>
    <s v="THH914Z07C"/>
    <n v="1"/>
    <s v="IRIS-MSA-H01-08"/>
    <s v="_"/>
  </r>
  <r>
    <x v="2"/>
    <s v="HPE MSA 10TB 12G SAS 7.2K LFF 512e HDD"/>
    <s v="Disk"/>
    <s v="HPE"/>
    <s v="P9M82A"/>
    <s v="THH914Z07D"/>
    <n v="1"/>
    <s v="IRIS-MSA-H01-09"/>
    <s v="_"/>
  </r>
  <r>
    <x v="2"/>
    <s v="HPE MSA 10TB 12G SAS 7.2K LFF 512e HDD"/>
    <s v="Disk"/>
    <s v="HPE"/>
    <s v="P9M82A"/>
    <s v="THH914Z07K"/>
    <n v="1"/>
    <s v="IRIS-MSA-H01-10"/>
    <s v="_"/>
  </r>
  <r>
    <x v="2"/>
    <s v="HPE MSA 10TB 12G SAS 7.2K LFF 512e HDD"/>
    <s v="Disk"/>
    <s v="HPE"/>
    <s v="P9M82A"/>
    <s v="THH914Z084"/>
    <n v="1"/>
    <s v="IRIS-MSA-H01-11"/>
    <s v="_"/>
  </r>
  <r>
    <x v="2"/>
    <s v="HPE MSA 10TB 12G SAS 7.2K LFF 512e HDD"/>
    <s v="Disk"/>
    <s v="HPE"/>
    <s v="P9M82A"/>
    <s v="THH914Z085"/>
    <n v="1"/>
    <s v="IRIS-MSA-H01-12"/>
    <s v="_"/>
  </r>
  <r>
    <x v="2"/>
    <s v="HPE MSA 16GB SW FC SFP"/>
    <s v="SFP module"/>
    <s v="HPE"/>
    <s v="720999-002"/>
    <s v="MY8905111S"/>
    <n v="1"/>
    <s v="_"/>
    <s v="_"/>
  </r>
  <r>
    <x v="2"/>
    <s v="HPE MSA 16GB SW FC SFP"/>
    <s v="SFP module"/>
    <s v="HPE"/>
    <s v="720999-002"/>
    <s v="MY890511ZR"/>
    <n v="1"/>
    <s v="_"/>
    <s v="_"/>
  </r>
  <r>
    <x v="2"/>
    <s v="HPE MSA 16GB SW FC SFP"/>
    <s v="SFP module"/>
    <s v="HPE"/>
    <s v="720999-002"/>
    <s v="MY890511Q8"/>
    <n v="1"/>
    <s v="_"/>
    <s v="_"/>
  </r>
  <r>
    <x v="2"/>
    <s v="HPE MSA 16GB SW FC SFP"/>
    <s v="SFP module"/>
    <s v="HPE"/>
    <s v="720999-002"/>
    <s v="MY890511QU"/>
    <n v="1"/>
    <s v="_"/>
    <s v="_"/>
  </r>
  <r>
    <x v="2"/>
    <s v="HPE MSA 16GB SW FC SFP"/>
    <s v="SFP module"/>
    <s v="HPE"/>
    <s v="720999-002"/>
    <s v="MY890511WN"/>
    <n v="1"/>
    <s v="_"/>
    <s v="_"/>
  </r>
  <r>
    <x v="2"/>
    <s v="HPE MSA 16GB SW FC SFP"/>
    <s v="SFP module"/>
    <s v="HPE"/>
    <s v="720999-002"/>
    <s v="MY89051120"/>
    <n v="1"/>
    <s v="_"/>
    <s v="_"/>
  </r>
  <r>
    <x v="2"/>
    <s v="HPE MSA 16GB SW FC SFP"/>
    <s v="SFP module"/>
    <s v="HPE"/>
    <s v="720999-002"/>
    <s v="MY890511PP"/>
    <n v="1"/>
    <s v="_"/>
    <s v="_"/>
  </r>
  <r>
    <x v="2"/>
    <s v="HPE MSA 16GB SW FC SFP"/>
    <s v="SFP module"/>
    <s v="HPE"/>
    <s v="720999-002"/>
    <s v="MY890511QP"/>
    <n v="1"/>
    <s v="_"/>
    <s v="_"/>
  </r>
  <r>
    <x v="2"/>
    <s v="POWER TRANSPORT CASE"/>
    <s v="TRANSPORT CASE"/>
    <s v="_"/>
    <s v="_"/>
    <s v="_"/>
    <n v="1"/>
    <s v="POWER TRANSPORT CASE"/>
    <s v="_"/>
  </r>
  <r>
    <x v="2"/>
    <s v="NTP TIME SERVER WITH OCXO"/>
    <s v="NTP Server"/>
    <s v="HEOL DESIGN"/>
    <s v="T101R-10us-AC-I/O-OCXOMR"/>
    <s v="0814289"/>
    <n v="1"/>
    <s v="POWER TRANSPORT CASE"/>
    <s v="IRIS-NTP-H01"/>
  </r>
  <r>
    <x v="2"/>
    <s v="HPE R5000 3U IECSO9-32A HV INTL UPS"/>
    <s v="UPS"/>
    <s v="HPE"/>
    <s v="AF461A"/>
    <s v="ACC8371120"/>
    <n v="1"/>
    <s v="POWER TRANSPORT CASE"/>
    <s v="IRIS-UPS-H01"/>
  </r>
  <r>
    <x v="2"/>
    <s v="CASE 1 / IRIS - H01"/>
    <s v="CASE 1"/>
    <s v="_"/>
    <s v="_"/>
    <s v="_"/>
    <n v="1"/>
    <s v="CASE 1 / IRIS - H01"/>
    <s v="_"/>
  </r>
  <r>
    <x v="2"/>
    <s v="Delivery External Usb Hard Disk - WD Elements Portable SE 1TB USB 3.0 2.5In"/>
    <s v="Disk WDE - Delivery"/>
    <s v="ACTIVIUM"/>
    <s v="WDBUZG0010BBK-0B"/>
    <s v="WXV1A881SUX1"/>
    <m/>
    <s v="_"/>
    <s v="_"/>
  </r>
  <r>
    <x v="2"/>
    <s v="VM Initial Backup - WD Elements Portable SE 2TB USB 3.0 2.5In"/>
    <s v="Disk WDE - VM Iinitial BKP"/>
    <s v="ACTIVIUM"/>
    <s v="WDBU6Y0020BBK-0B"/>
    <s v="WXR1EA8AN4DA"/>
    <m/>
    <s v="_"/>
    <s v="_"/>
  </r>
  <r>
    <x v="2"/>
    <s v="Deployment Workstation - DataTraveler 100 G3 - 32 Go"/>
    <s v="DT100G3/32GB"/>
    <s v="ACTIVIUM"/>
    <s v="DT100G3/32GB"/>
    <s v="N/A"/>
    <n v="1"/>
    <s v="_"/>
    <s v="_"/>
  </r>
  <r>
    <x v="2"/>
    <s v="Deployment Workstation - DataTraveler 100 G3 - 32 Go"/>
    <s v="DT100G3/32GB"/>
    <s v="ACTIVIUM"/>
    <s v="DT100G3/32GB"/>
    <s v="N/A"/>
    <n v="1"/>
    <s v="_"/>
    <s v="_"/>
  </r>
  <r>
    <x v="2"/>
    <s v="HP ZBOOK 17 G4"/>
    <s v="Laptop"/>
    <s v="EUROTEMPEST"/>
    <s v="Y3J81AV"/>
    <s v="2019.05.17095"/>
    <n v="1"/>
    <s v="OSINT Workstation"/>
    <s v="IRIS-MMCO1-H01"/>
  </r>
  <r>
    <x v="2"/>
    <s v="HP 512GB 2280 M2 PCIe 3x4 DS NVME EU"/>
    <s v="HP 512GB M2"/>
    <s v="ACTIVIUM"/>
    <s v="861960-003"/>
    <s v=""/>
    <n v="1"/>
    <s v="IRIS-MMCO1-H01"/>
    <s v="_"/>
  </r>
  <r>
    <x v="2"/>
    <s v="HP 1TB 7200RPM SATA 6.0 Gbps 2.5 64MB"/>
    <s v="HP 1TB 7.2K"/>
    <s v="ACTIVIUM"/>
    <s v="Y3J93AV"/>
    <s v=""/>
    <n v="1"/>
    <s v="IRIS-MMCO1-H01"/>
    <s v="_"/>
  </r>
  <r>
    <x v="2"/>
    <s v="HP USB Business Slim Keyboard - Hungarian"/>
    <s v="Keyboard"/>
    <s v="EUROTEMPEST"/>
    <s v="803181-211"/>
    <s v="2019.05.17134"/>
    <n v="1"/>
    <s v="IRIS-MMCO1-H01"/>
    <s v="_"/>
  </r>
  <r>
    <x v="2"/>
    <s v="HP USB Optical Mouse"/>
    <s v="Mouse"/>
    <s v="EUROTEMPEST"/>
    <s v="678652-001"/>
    <s v="N/A"/>
    <n v="1"/>
    <s v="IRIS-MMCO1-H01"/>
    <s v="_"/>
  </r>
  <r>
    <x v="2"/>
    <s v="Thunderbolts 3 to dual DisplayPort Adapter"/>
    <s v="Thunderbolt"/>
    <s v="EUROTEMPEST"/>
    <s v="TB32DP2T"/>
    <s v="2019.09.27865"/>
    <n v="1"/>
    <s v="IRIS-MMCO1-H01"/>
    <s v="_"/>
  </r>
  <r>
    <x v="2"/>
    <s v="HP EliteDisplay E243i"/>
    <s v="Screen"/>
    <s v="EUROTEMPEST"/>
    <s v="1FH49AT"/>
    <s v="2019.05.17526"/>
    <n v="1"/>
    <s v="IRIS-MMCO1-H01"/>
    <s v="IRIS-24-SCR01-H01"/>
  </r>
  <r>
    <x v="2"/>
    <s v="HP EliteDisplay E243i"/>
    <s v="Screen"/>
    <s v="EUROTEMPEST"/>
    <s v="1FH49AT"/>
    <s v="2019.05.17525"/>
    <n v="1"/>
    <s v="IRIS-MMCO1-H01"/>
    <s v="IRIS-24-SCR02-H01"/>
  </r>
  <r>
    <x v="2"/>
    <s v="OSINT Data Collection - WD Elements Portable SE 2TB USB 3.0 2.5In"/>
    <s v="Disk WDE - OSINT Data"/>
    <s v="EUROTEMPEST"/>
    <s v="WDBU6Y0020BBK-0B"/>
    <s v="2019.09.27889"/>
    <m/>
    <s v="IRIS-MMCO1-H01"/>
    <s v="_"/>
  </r>
  <r>
    <x v="2"/>
    <s v="OSINT Data Collection - WD Elements Portable SE 2TB USB 3.0 2.5In"/>
    <s v="Disk WDE - OSINT Data"/>
    <s v="EUROTEMPEST"/>
    <s v="WDBU6Y0020BBK-0B"/>
    <s v="2019.09.27888"/>
    <m/>
    <s v="IRIS-MMCO1-H01"/>
    <s v="_"/>
  </r>
  <r>
    <x v="2"/>
    <s v="HP ZBOOK 17 G4"/>
    <s v="Laptop"/>
    <s v="EUROTEMPEST"/>
    <s v="Y3J81AV"/>
    <s v="2019.05.17108"/>
    <n v="1"/>
    <s v="Incluses I4DEXPLORER"/>
    <s v="IRIS-OPR01-H01"/>
  </r>
  <r>
    <x v="2"/>
    <s v="HP 512GB 2280 M2 PCIe 3x4 DS NVME EU"/>
    <s v="HP 512GB M2"/>
    <s v="ACTIVIUM"/>
    <s v="861960-003"/>
    <s v=""/>
    <n v="1"/>
    <s v="IRIS-OPR01-H01"/>
    <s v="_"/>
  </r>
  <r>
    <x v="2"/>
    <s v="HP USB Business Slim Keyboard - Hungarian"/>
    <s v="Keyboard"/>
    <s v="EUROTEMPEST"/>
    <s v="803181-211"/>
    <s v="2019.05.17147"/>
    <n v="1"/>
    <s v="IRIS-OPR01-H01"/>
    <s v="_"/>
  </r>
  <r>
    <x v="2"/>
    <s v="HP USB Optical Mouse"/>
    <s v="Mouse"/>
    <s v="EUROTEMPEST"/>
    <s v="678652-001"/>
    <s v="N/A"/>
    <n v="1"/>
    <s v="IRIS-OPR01-H01"/>
    <s v="_"/>
  </r>
  <r>
    <x v="2"/>
    <s v="USB 3.0 to Gigabit Ethernet Fiber Optic Network Adapter - 1000Base-SX SC"/>
    <s v="USB-Fiber"/>
    <s v="EUROTEMPEST"/>
    <s v="US1GA30SXSC"/>
    <s v="2019.09.27815"/>
    <n v="1"/>
    <s v="IRIS-OPR01-H01"/>
    <s v="_"/>
  </r>
  <r>
    <x v="2"/>
    <s v="Thunderbolts 3 to dual DisplayPort Adapter"/>
    <s v="Thunderbolt"/>
    <s v="EUROTEMPEST"/>
    <s v="TB32DP2T"/>
    <s v="2019.09.27856"/>
    <n v="1"/>
    <s v="IRIS-OPR01-H01"/>
    <s v="_"/>
  </r>
  <r>
    <x v="2"/>
    <s v="HP EliteDisplay E243i"/>
    <s v="Screen"/>
    <s v="EUROTEMPEST"/>
    <s v="1FH49AT"/>
    <s v="2019.05.17529"/>
    <n v="1"/>
    <s v="IRIS-OPR01-H01"/>
    <s v="IRIS-24-SCR03-H01"/>
  </r>
  <r>
    <x v="2"/>
    <s v="HP EliteDisplay E243i"/>
    <s v="Screen"/>
    <s v="EUROTEMPEST"/>
    <s v="1FH49AT"/>
    <s v="2019.05.17528"/>
    <n v="1"/>
    <s v="IRIS-OPR01-H01"/>
    <s v="IRIS-24-SCR04-H01"/>
  </r>
  <r>
    <x v="2"/>
    <s v="CASE 2 / IRIS - H01"/>
    <s v="CASE 2"/>
    <s v="_"/>
    <s v="_"/>
    <s v="_"/>
    <n v="1"/>
    <s v="CASE 2 / IRIS - H01"/>
    <s v="_"/>
  </r>
  <r>
    <x v="2"/>
    <s v="HP ZBOOK 17 G4"/>
    <s v="Laptop"/>
    <s v="EUROTEMPEST"/>
    <s v="Y3J81AV"/>
    <s v="2019.05.17109"/>
    <n v="1"/>
    <s v="Incluses I4DEXPLORER"/>
    <s v="IRIS-OPR02-H01"/>
  </r>
  <r>
    <x v="2"/>
    <s v="HP 512GB 2280 M2 PCIe 3x4 DS NVME EU"/>
    <s v="HP 512GB M2"/>
    <s v="ACTIVIUM"/>
    <s v="861960-003"/>
    <s v=""/>
    <n v="1"/>
    <s v="IRIS-OPR02-H01"/>
    <s v="_"/>
  </r>
  <r>
    <x v="2"/>
    <s v="HP USB Business Slim Keyboard - Hungarian"/>
    <s v="Keyboard"/>
    <s v="EUROTEMPEST"/>
    <s v="803181-211"/>
    <s v="2019.05.17148"/>
    <n v="1"/>
    <s v="IRIS-OPR02-H01"/>
    <s v="_"/>
  </r>
  <r>
    <x v="2"/>
    <s v="HP USB Optical Mouse"/>
    <s v="Mouse"/>
    <s v="EUROTEMPEST"/>
    <s v="678652-001"/>
    <s v="N/A"/>
    <n v="1"/>
    <s v="IRIS-OPR02-H01"/>
    <s v="_"/>
  </r>
  <r>
    <x v="2"/>
    <s v="USB 3.0 to Gigabit Ethernet Fiber Optic Network Adapter - 1000Base-SX SC"/>
    <s v="USB-Fiber"/>
    <s v="EUROTEMPEST"/>
    <s v="US1GA30SXSC"/>
    <s v="2019.09.27812"/>
    <n v="1"/>
    <s v="IRIS-OPR02-H01"/>
    <s v="_"/>
  </r>
  <r>
    <x v="2"/>
    <s v="Thunderbolts 3 to dual DisplayPort Adapter"/>
    <s v="Thunderbolt"/>
    <s v="EUROTEMPEST"/>
    <s v="TB32DP2T"/>
    <s v="2019.09.27843"/>
    <n v="1"/>
    <s v="IRIS-OPR02-H01"/>
    <s v="_"/>
  </r>
  <r>
    <x v="2"/>
    <s v="HP EliteDisplay E243i"/>
    <s v="Screen"/>
    <s v="EUROTEMPEST"/>
    <s v="1FH49AT"/>
    <s v="2019.05.17522"/>
    <n v="1"/>
    <s v="IRIS-OPR02-H01"/>
    <s v="IRIS-24-SCR05-H01"/>
  </r>
  <r>
    <x v="2"/>
    <s v="HP EliteDisplay E243i"/>
    <s v="Screen"/>
    <s v="EUROTEMPEST"/>
    <s v="1FH49AT"/>
    <s v="2019.05.17523"/>
    <n v="1"/>
    <s v="IRIS-OPR02-H01"/>
    <s v="IRIS-24-SCR06-H01"/>
  </r>
  <r>
    <x v="2"/>
    <s v="HP ZBOOK 17 G4"/>
    <s v="Laptop"/>
    <s v="EUROTEMPEST"/>
    <s v="Y3J81AV"/>
    <s v="2019.05.17110"/>
    <n v="1"/>
    <s v="_"/>
    <s v="IRIS-OPR03-H01"/>
  </r>
  <r>
    <x v="2"/>
    <s v="HP 512GB 2280 M2 PCIe 3x4 DS NVME EU"/>
    <s v="HP 512GB M2"/>
    <s v="ACTIVIUM"/>
    <s v="861960-003"/>
    <s v=""/>
    <n v="1"/>
    <s v="IRIS-OPR03-H01"/>
    <s v="_"/>
  </r>
  <r>
    <x v="2"/>
    <s v="HP USB Business Slim Keyboard - Hungarian"/>
    <s v="Keyboard"/>
    <s v="EUROTEMPEST"/>
    <s v="803181-211"/>
    <s v="2019.05.17149"/>
    <n v="1"/>
    <s v="IRIS-OPR03-H01"/>
    <s v="_"/>
  </r>
  <r>
    <x v="2"/>
    <s v="HP USB Optical Mouse"/>
    <s v="Mouse"/>
    <s v="EUROTEMPEST"/>
    <s v="678652-001"/>
    <s v="N/A"/>
    <n v="1"/>
    <s v="IRIS-OPR03-H01"/>
    <s v="_"/>
  </r>
  <r>
    <x v="2"/>
    <s v="USB 3.0 to Gigabit Ethernet Fiber Optic Network Adapter - 1000Base-SX SC"/>
    <s v="USB-Fiber"/>
    <s v="EUROTEMPEST"/>
    <s v="US1GA30SXSC"/>
    <s v="2019.09.27813"/>
    <n v="1"/>
    <s v="IRIS-OPR03-H01"/>
    <s v="_"/>
  </r>
  <r>
    <x v="2"/>
    <s v="Thunderbolts 3 to dual DisplayPort Adapter"/>
    <s v="Thunderbolt"/>
    <s v="EUROTEMPEST"/>
    <s v="TB32DP2T"/>
    <s v="2019.09.27842"/>
    <n v="1"/>
    <s v="IRIS-OPR03-H01"/>
    <s v="_"/>
  </r>
  <r>
    <x v="2"/>
    <s v="HP EliteDisplay E243i"/>
    <s v="Screen"/>
    <s v="EUROTEMPEST"/>
    <s v="1FH49AT"/>
    <s v="2019.05.17524"/>
    <n v="1"/>
    <s v="IRIS-OPR03-H01"/>
    <s v="IRIS-24-SCR07-H01"/>
  </r>
  <r>
    <x v="2"/>
    <s v="HP EliteDisplay E243i"/>
    <s v="Screen"/>
    <s v="EUROTEMPEST"/>
    <s v="1FH49AT"/>
    <s v="2019.05.17527"/>
    <n v="1"/>
    <s v="IRIS-OPR03-H01"/>
    <s v="IRIS-24-SCR08-H01"/>
  </r>
  <r>
    <x v="2"/>
    <s v="CASE 3 / IRIS - H01"/>
    <s v="CASE 3"/>
    <s v="_"/>
    <s v="_"/>
    <s v="_"/>
    <n v="1"/>
    <s v="CASE 3 / IRIS - H01"/>
    <s v="_"/>
  </r>
  <r>
    <x v="2"/>
    <s v="HP ZBOOK 17 G4"/>
    <s v="Laptop"/>
    <s v="EUROTEMPEST"/>
    <s v="Y3J81AV"/>
    <s v="2019.05.17111"/>
    <n v="1"/>
    <s v="_"/>
    <s v="IRIS-OPR04-H01"/>
  </r>
  <r>
    <x v="2"/>
    <s v="HP 512GB 2280 M2 PCIe 3x4 DS NVME EU"/>
    <s v="HP 512GB M2"/>
    <s v="ACTIVIUM"/>
    <s v="861960-003"/>
    <s v=""/>
    <n v="1"/>
    <s v="IRIS-OPR04-H01"/>
    <s v="_"/>
  </r>
  <r>
    <x v="2"/>
    <s v="HP USB Business Slim Keyboard - Hungarian"/>
    <s v="Keyboard"/>
    <s v="EUROTEMPEST"/>
    <s v="803181-211"/>
    <s v="2019.05.17150"/>
    <n v="1"/>
    <s v="IRIS-OPR04-H01"/>
    <s v="_"/>
  </r>
  <r>
    <x v="2"/>
    <s v="HP USB Optical Mouse"/>
    <s v="Mouse"/>
    <s v="EUROTEMPEST"/>
    <s v="678652-001"/>
    <s v="N/A"/>
    <n v="1"/>
    <s v="IRIS-OPR04-H01"/>
    <s v="_"/>
  </r>
  <r>
    <x v="2"/>
    <s v="USB 3.0 to Gigabit Ethernet Fiber Optic Network Adapter - 1000Base-SX SC"/>
    <s v="USB-Fiber"/>
    <s v="EUROTEMPEST"/>
    <s v="US1GA30SXSC"/>
    <s v="2019.09.27814"/>
    <n v="1"/>
    <s v="IRIS-OPR04-H01"/>
    <s v="_"/>
  </r>
  <r>
    <x v="2"/>
    <s v="Thunderbolts 3 to dual DisplayPort Adapter"/>
    <s v="Thunderbolt"/>
    <s v="EUROTEMPEST"/>
    <s v="TB32DP2T"/>
    <s v="2019.09.27846"/>
    <n v="1"/>
    <s v="IRIS-OPR04-H01"/>
    <s v="_"/>
  </r>
  <r>
    <x v="2"/>
    <s v="HP EliteDisplay E243i"/>
    <s v="Screen"/>
    <s v="EUROTEMPEST"/>
    <s v="1FH49AT"/>
    <s v="2019.05.17521"/>
    <n v="1"/>
    <s v="IRIS-OPR04-H01"/>
    <s v="IRIS-24-SCR09-H01"/>
  </r>
  <r>
    <x v="2"/>
    <s v="HP EliteDisplay E243i"/>
    <s v="Screen"/>
    <s v="EUROTEMPEST"/>
    <s v="1FH49AT"/>
    <s v="2019.05.17520"/>
    <n v="1"/>
    <s v="IRIS-OPR04-H01"/>
    <s v="IRIS-24-SCR10-H01"/>
  </r>
  <r>
    <x v="2"/>
    <s v="HP ZBOOK 17 G4"/>
    <s v="Laptop"/>
    <s v="EUROTEMPEST"/>
    <s v="Y3J81AV"/>
    <s v="2019.05.17112"/>
    <n v="1"/>
    <s v="_"/>
    <s v="IRIS-OPR05-H01"/>
  </r>
  <r>
    <x v="2"/>
    <s v="HP 512GB 2280 M2 PCIe 3x4 DS NVME EU"/>
    <s v="HP 512GB M2"/>
    <s v="ACTIVIUM"/>
    <s v="861960-003"/>
    <s v=""/>
    <n v="1"/>
    <s v="IRIS-OPR05-H01"/>
    <s v="_"/>
  </r>
  <r>
    <x v="2"/>
    <s v="HP USB Business Slim Keyboard - Hungarian"/>
    <s v="Keyboard"/>
    <s v="EUROTEMPEST"/>
    <s v="803181-211"/>
    <s v="2019.05.17151"/>
    <n v="1"/>
    <s v="IRIS-OPR05-H01"/>
    <s v="_"/>
  </r>
  <r>
    <x v="2"/>
    <s v="HP USB Optical Mouse"/>
    <s v="Mouse"/>
    <s v="EUROTEMPEST"/>
    <s v="678652-001"/>
    <s v="N/A"/>
    <n v="1"/>
    <s v="IRIS-OPR05-H01"/>
    <s v="_"/>
  </r>
  <r>
    <x v="2"/>
    <s v="USB 3.0 to Gigabit Ethernet Fiber Optic Network Adapter - 1000Base-SX SC"/>
    <s v="USB-Fiber"/>
    <s v="EUROTEMPEST"/>
    <s v="US1GA30SXSC"/>
    <s v="2019.09.27816"/>
    <n v="1"/>
    <s v="IRIS-OPR05-H01"/>
    <s v="_"/>
  </r>
  <r>
    <x v="2"/>
    <s v="Thunderbolts 3 to dual DisplayPort Adapter"/>
    <s v="Thunderbolt"/>
    <s v="EUROTEMPEST"/>
    <s v="TB32DP2T"/>
    <s v="2019.09.27866"/>
    <n v="1"/>
    <s v="IRIS-OPR05-H01"/>
    <s v="_"/>
  </r>
  <r>
    <x v="2"/>
    <s v="HP EliteDisplay E243i"/>
    <s v="Screen"/>
    <s v="EUROTEMPEST"/>
    <s v="1FH49AT"/>
    <s v="2019.05.17519"/>
    <n v="1"/>
    <s v="IRIS-OPR05-H01"/>
    <s v="IRIS-24-SCR11-H01"/>
  </r>
  <r>
    <x v="2"/>
    <s v="HP EliteDisplay E243i"/>
    <s v="Screen"/>
    <s v="EUROTEMPEST"/>
    <s v="1FH49AT"/>
    <s v="2019.05.17518"/>
    <n v="1"/>
    <s v="IRIS-OPR05-H01"/>
    <s v="IRIS-24-SCR12-H01"/>
  </r>
  <r>
    <x v="2"/>
    <s v="CASE 4 / IRIS - H01"/>
    <s v="CASE 4"/>
    <s v="_"/>
    <s v="_"/>
    <s v="_"/>
    <n v="1"/>
    <s v="CASE 4 / IRIS - H01"/>
    <s v="_"/>
  </r>
  <r>
    <x v="2"/>
    <s v="HP ZBOOK 17 G4"/>
    <s v="Laptop"/>
    <s v="EUROTEMPEST"/>
    <s v="Y3J81AV"/>
    <s v="2019.05.17113"/>
    <n v="1"/>
    <s v="_"/>
    <s v="IRIS-OPR06-H01"/>
  </r>
  <r>
    <x v="2"/>
    <s v="HP 512GB 2280 M2 PCIe 3x4 DS NVME EU"/>
    <s v="HP 512GB M2"/>
    <s v="ACTIVIUM"/>
    <s v="861960-003"/>
    <s v=""/>
    <n v="1"/>
    <s v="IRIS-OPR06-H01"/>
    <s v="_"/>
  </r>
  <r>
    <x v="2"/>
    <s v="HP USB Business Slim Keyboard - Hungarian"/>
    <s v="Keyboard"/>
    <s v="EUROTEMPEST"/>
    <s v="803181-211"/>
    <s v="2019.05.17152"/>
    <n v="1"/>
    <s v="IRIS-OPR06-H01"/>
    <s v="_"/>
  </r>
  <r>
    <x v="2"/>
    <s v="HP USB Optical Mouse"/>
    <s v="Mouse"/>
    <s v="EUROTEMPEST"/>
    <s v="678652-001"/>
    <s v="N/A"/>
    <n v="1"/>
    <s v="IRIS-OPR06-H01"/>
    <s v="_"/>
  </r>
  <r>
    <x v="2"/>
    <s v="USB 3.0 to Gigabit Ethernet Fiber Optic Network Adapter - 1000Base-SX SC"/>
    <s v="USB-Fiber"/>
    <s v="EUROTEMPEST"/>
    <s v="US1GA30SXSC"/>
    <s v="2019.09.27825"/>
    <n v="1"/>
    <s v="IRIS-OPR06-H01"/>
    <s v="_"/>
  </r>
  <r>
    <x v="2"/>
    <s v="Thunderbolts 3 to dual DisplayPort Adapter"/>
    <s v="Thunderbolt"/>
    <s v="EUROTEMPEST"/>
    <s v="TB32DP2T"/>
    <s v="2019.01.3054"/>
    <n v="1"/>
    <s v="IRIS-OPR06-H01"/>
    <s v="_"/>
  </r>
  <r>
    <x v="2"/>
    <s v="HP Z27n G2"/>
    <s v="Screen"/>
    <s v="EUROTEMPEST"/>
    <s v="1JS10AT"/>
    <s v="2019.05.17567"/>
    <n v="1"/>
    <s v="IRIS-OPR06-H01"/>
    <s v="IRIS-27-SCR01-H01"/>
  </r>
  <r>
    <x v="2"/>
    <s v="HP Z27n G2"/>
    <s v="Screen"/>
    <s v="EUROTEMPEST"/>
    <s v="1JS10AT"/>
    <s v="2019.05.17566"/>
    <n v="1"/>
    <s v="IRIS-OPR06-H01"/>
    <s v="IRIS-27-SCR02-H01"/>
  </r>
  <r>
    <x v="2"/>
    <s v="SPARE CASE 1 / IRIS - H01"/>
    <s v="SPARE CASE 1"/>
    <s v="_"/>
    <s v="_"/>
    <s v="_"/>
    <n v="1"/>
    <s v="SPARE CASE 1 / IRIS - H01"/>
    <s v="_"/>
  </r>
  <r>
    <x v="2"/>
    <s v="HP ZBOOK 17 G4"/>
    <s v="Laptop"/>
    <s v="EUROTEMPEST"/>
    <s v="Y3J81AV"/>
    <s v="2019.05.17096"/>
    <n v="1"/>
    <s v="_"/>
    <s v="IRIS-MM-SPARE-H01"/>
  </r>
  <r>
    <x v="2"/>
    <s v="HP 512GB 2280 M2 PCIe 3x4 DS NVME EU"/>
    <s v="HP 512GB M2"/>
    <s v="ACTIVIUM"/>
    <s v="861960-003"/>
    <s v=""/>
    <n v="1"/>
    <s v="IRIS-MM-SPARE-H01"/>
    <s v="_"/>
  </r>
  <r>
    <x v="2"/>
    <s v="HP 1TB 7200RPM SATA 6.0 Gbps 2.5 64MB"/>
    <s v="HP 1TB 7.2K"/>
    <s v="ACTIVIUM"/>
    <s v="Y3J93AV"/>
    <s v=""/>
    <n v="1"/>
    <s v="IRIS-MM-SPARE-H01"/>
    <s v="_"/>
  </r>
  <r>
    <x v="2"/>
    <s v="HP USB Business Slim Keyboard - Hungarian"/>
    <s v="Keyboard"/>
    <s v="EUROTEMPEST"/>
    <s v="803181-211"/>
    <s v="2019.05.17135"/>
    <n v="1"/>
    <s v="IRIS-MM-SPARE-H01"/>
    <s v="_"/>
  </r>
  <r>
    <x v="2"/>
    <s v="HP USB Optical Mouse"/>
    <s v="Mouse"/>
    <s v="EUROTEMPEST"/>
    <s v="678652-001"/>
    <s v="N/A"/>
    <n v="1"/>
    <s v="IRIS-MM-SPARE-H01"/>
    <s v="_"/>
  </r>
  <r>
    <x v="2"/>
    <s v="USB 3.0 to Gigabit Ethernet Fiber Optic Network Adapter - 1000Base-SX SC"/>
    <s v="USB-Fiber"/>
    <s v="EUROTEMPEST"/>
    <s v="US1GA30SXSC"/>
    <s v="2019.09.27818"/>
    <n v="1"/>
    <s v="_"/>
    <s v="_"/>
  </r>
  <r>
    <x v="2"/>
    <s v="Thunderbolts 3 to dual DisplayPort Adapter"/>
    <s v="Thunderbolt"/>
    <s v="EUROTEMPEST"/>
    <s v="TB32DP2T"/>
    <s v="2019.09.27845"/>
    <n v="1"/>
    <s v="_"/>
    <s v="_"/>
  </r>
  <r>
    <x v="2"/>
    <s v="Thunderbolts 3 to dual DisplayPort Adapter"/>
    <s v="Thunderbolt"/>
    <s v="EUROTEMPEST"/>
    <s v="TB32DP2T"/>
    <s v="2019.09.27844"/>
    <n v="1"/>
    <s v="_"/>
    <s v="_"/>
  </r>
  <r>
    <x v="2"/>
    <s v="HP EliteDisplay E243i"/>
    <s v="Screen"/>
    <s v="EUROTEMPEST"/>
    <s v="1FH49AT"/>
    <s v="2019.05.17517"/>
    <n v="1"/>
    <s v="_"/>
    <s v="IRIS-24-SPARE01-H01"/>
  </r>
  <r>
    <x v="2"/>
    <s v="HP EliteDisplay E243i"/>
    <s v="Screen"/>
    <s v="EUROTEMPEST"/>
    <s v="1FH49AT"/>
    <s v="2019.05.17516"/>
    <n v="1"/>
    <s v="_"/>
    <s v="IRIS-24-SPARE02-H01"/>
  </r>
  <r>
    <x v="2"/>
    <s v="HP Z27n G2"/>
    <s v="Screen"/>
    <s v="EUROTEMPEST"/>
    <s v="1JS10AT"/>
    <s v="2019.05.17565"/>
    <n v="1"/>
    <s v="_"/>
    <s v="IRIS-27-SPARE01-H01"/>
  </r>
  <r>
    <x v="2"/>
    <s v="HARD DISK / IRIS - H01"/>
    <s v="HARD DISK"/>
    <s v="_"/>
    <s v="_"/>
    <s v="_"/>
    <n v="1"/>
    <s v="HARD DISK / IRIS - H01"/>
    <s v="_"/>
  </r>
  <r>
    <x v="2"/>
    <s v="Pack fan - ebmpapts 7855 ES"/>
    <s v="Fan"/>
    <s v="SOCAMONT"/>
    <s v="W2S130-AA03-01"/>
    <s v="N/A"/>
    <n v="1"/>
    <s v="_"/>
    <s v="IRIS-FAN-SPARE-H01"/>
  </r>
  <r>
    <x v="2"/>
    <s v="SDC4/8GB - 8GB microSDHC (Class 4)"/>
    <s v="SDC4/8GB"/>
    <s v="ACTIVIUM"/>
    <s v="SDC4/8GBSP - 8GB2 microSDHC (Class 4)"/>
    <s v="N/A"/>
    <n v="1"/>
    <s v="_"/>
    <s v="IRIS-8GB-SPARE-H01"/>
  </r>
  <r>
    <x v="2"/>
    <s v="HPE 400GB SAS 12G MU SFF SC DS 550"/>
    <s v="Disk"/>
    <s v="HPE"/>
    <s v="P09088-B21"/>
    <s v="5C3905J06C"/>
    <n v="1"/>
    <s v="_"/>
    <s v="IRIS-400GB-SPARE-H01"/>
  </r>
  <r>
    <x v="2"/>
    <s v="HP 512GB 2280 M2 PCIe 3x4 DS NVME EU"/>
    <s v="HP 512GB M2"/>
    <s v="ACTIVIUM"/>
    <s v="861960-003"/>
    <s v="S34CNX0K821395"/>
    <n v="1"/>
    <s v="_"/>
    <s v="IRIS-512GB-SPARE-H01"/>
  </r>
  <r>
    <x v="2"/>
    <s v="HPE MSA 10TB 12G SAS 7.2K LFF 512e HDD"/>
    <s v="Disk"/>
    <s v="ACTIVIUM"/>
    <s v="P9M82A"/>
    <s v="JEHH1URN"/>
    <n v="1"/>
    <s v="_"/>
    <s v="IRIS-10TB-SPARE01-H01"/>
  </r>
  <r>
    <x v="2"/>
    <s v="HPE MSA 10TB 12G SAS 7.2K LFF 512e HDD"/>
    <s v="Disk"/>
    <s v="ACTIVIUM"/>
    <s v="P9M82A"/>
    <s v="JEHERUUN"/>
    <n v="1"/>
    <s v="_"/>
    <s v="IRIS-10TB-SPARE02-H01"/>
  </r>
  <r>
    <x v="2"/>
    <s v="10GBASE-SR SFP MODULE"/>
    <s v="SFP module"/>
    <s v="DIMENSION DATA"/>
    <s v="SFP-10G-SR-S"/>
    <s v="AVD2305D76H"/>
    <n v="1"/>
    <s v="_"/>
    <s v="IRIS-10GB-SR-SPARE01-H01"/>
  </r>
  <r>
    <x v="2"/>
    <s v="10GBASE-SR SFP MODULE"/>
    <s v="SFP module"/>
    <s v="DIMENSION DATA"/>
    <s v="SFP-10G-SR-S"/>
    <s v="AVD2305D76F"/>
    <n v="1"/>
    <s v="_"/>
    <s v="IRIS-10GB-SR-SPARE02-H01"/>
  </r>
  <r>
    <x v="2"/>
    <s v="1000BASE-SX SFP TRANSCEIVER MODULE"/>
    <s v="SFP module"/>
    <s v="DIMENSION DATA"/>
    <s v="GLC-SX-MMD"/>
    <s v="ACW230503XN"/>
    <n v="1"/>
    <s v="_"/>
    <s v="IRIS-1GB-SX-SPARE01-H01"/>
  </r>
  <r>
    <x v="2"/>
    <s v="1000BASE-SX SFP TRANSCEIVER MODULE"/>
    <s v="SFP module"/>
    <s v="DIMENSION DATA"/>
    <s v="GLC-SX-MMD"/>
    <s v="ACW23040YLH"/>
    <n v="1"/>
    <s v="_"/>
    <s v="IRIS-1GB-SX-SPARE02-H01"/>
  </r>
  <r>
    <x v="2"/>
    <s v="1000BASE-T SFP TRANSCEIVER MODULE FOR CATEGORY 5 COPPER WIRE"/>
    <s v="SFP module"/>
    <s v="DIMENSION DATA"/>
    <s v="GLC-TE"/>
    <s v="SMTC22380AWD"/>
    <n v="1"/>
    <s v="_"/>
    <s v="IRIS-1GB-T-SPARE-H01"/>
  </r>
  <r>
    <x v="3"/>
    <s v="HPE DL360 Gen10 8SFF CTO Server"/>
    <s v="Server"/>
    <s v="HPE"/>
    <s v="867959-B21"/>
    <s v="CZJ91702JM"/>
    <n v="1"/>
    <s v="_"/>
    <s v="IRIS-SRV1-I01"/>
  </r>
  <r>
    <x v="3"/>
    <s v="HPE BLc 10G SFP+ SR Transceiver"/>
    <s v="SFP module"/>
    <s v="HPE"/>
    <s v="455883-B21"/>
    <s v="7CR8394385"/>
    <n v="1"/>
    <s v="_"/>
    <s v="_"/>
  </r>
  <r>
    <x v="3"/>
    <s v="HPE BLc 10G SFP+ SR Transceiver"/>
    <s v="SFP module"/>
    <s v="HPE"/>
    <s v="455883-B21"/>
    <s v="7CR839420J"/>
    <n v="1"/>
    <s v="_"/>
    <s v="_"/>
  </r>
  <r>
    <x v="3"/>
    <s v="HPE 16G SFP+ SW XCVR-C"/>
    <s v="SFP module"/>
    <s v="HPE"/>
    <s v="E7Y10-63001"/>
    <s v="MY891115AQ"/>
    <n v="1"/>
    <s v="_"/>
    <s v="_"/>
  </r>
  <r>
    <x v="3"/>
    <s v="HPE 16G SFP+ SW XCVR-C"/>
    <s v="SFP module"/>
    <s v="HPE"/>
    <s v="E7Y10-63001"/>
    <s v="MY891115C5"/>
    <n v="1"/>
    <s v="_"/>
    <s v="_"/>
  </r>
  <r>
    <x v="3"/>
    <s v="HPE DL360 Gen10 8SFF CTO Server"/>
    <s v="Server"/>
    <s v="HPE"/>
    <s v="867959-B21"/>
    <s v="CZJ91702JQ"/>
    <n v="1"/>
    <s v="_"/>
    <s v="IRIS-SRV2-I01"/>
  </r>
  <r>
    <x v="3"/>
    <s v="HPE BLc 10G SFP+ SR Transceiver"/>
    <s v="SFP module"/>
    <s v="HPE"/>
    <s v="455883-B21"/>
    <s v="7CR839420P"/>
    <n v="1"/>
    <s v="_"/>
    <s v="_"/>
  </r>
  <r>
    <x v="3"/>
    <s v="HPE BLc 10G SFP+ SR Transceiver"/>
    <s v="SFP module"/>
    <s v="HPE"/>
    <s v="455883-B21"/>
    <s v="7CR839438G"/>
    <n v="1"/>
    <s v="_"/>
    <s v="_"/>
  </r>
  <r>
    <x v="3"/>
    <s v="HPE 16G SFP+ SW XCVR-C"/>
    <s v="SFP module"/>
    <s v="HPE"/>
    <s v="E7Y10-63001"/>
    <s v="MY891115BG"/>
    <n v="1"/>
    <s v="_"/>
    <s v="_"/>
  </r>
  <r>
    <x v="3"/>
    <s v="HPE 16G SFP+ SW XCVR-C"/>
    <s v="SFP module"/>
    <s v="HPE"/>
    <s v="E7Y10-63001"/>
    <s v="MY891114JH"/>
    <n v="1"/>
    <s v="_"/>
    <s v="_"/>
  </r>
  <r>
    <x v="3"/>
    <s v="CATALYST 3850 24 PORT 10G FIBER SWITCH BASE"/>
    <s v="Switch"/>
    <s v="CISCO"/>
    <s v="WS-C3850-24XS-S"/>
    <s v="FOC2247X09P"/>
    <n v="1"/>
    <s v="_"/>
    <s v="IRIS-SW1-I01"/>
  </r>
  <r>
    <x v="3"/>
    <s v="10GBASE-SR SFP MODULE"/>
    <s v="SFP module"/>
    <s v="CISCO"/>
    <s v="SFP-10G-SR-S"/>
    <s v="AVD3205D7F4"/>
    <n v="1"/>
    <s v="_"/>
    <s v="_"/>
  </r>
  <r>
    <x v="3"/>
    <s v="10GBASE-SR SFP MODULE"/>
    <s v="SFP module"/>
    <s v="CISCO"/>
    <s v="SFP-10G-SR-S"/>
    <s v="AVD3205D7FA"/>
    <n v="1"/>
    <s v="_"/>
    <s v="_"/>
  </r>
  <r>
    <x v="3"/>
    <s v="10GBASE-SR SFP MODULE"/>
    <s v="SFP module"/>
    <s v="CISCO"/>
    <s v="SFP-10G-SR-S"/>
    <s v="AVD3205D7FK"/>
    <n v="1"/>
    <s v="_"/>
    <s v="_"/>
  </r>
  <r>
    <x v="3"/>
    <s v="10GBASE-SR SFP MODULE"/>
    <s v="SFP module"/>
    <s v="CISCO"/>
    <s v="SFP-10G-SR-S"/>
    <s v="AVD3205D7FB"/>
    <n v="1"/>
    <s v="_"/>
    <s v="_"/>
  </r>
  <r>
    <x v="3"/>
    <s v="10GBASE-SR SFP MODULE"/>
    <s v="SFP module"/>
    <s v="CISCO"/>
    <s v="SFP-10G-SR-S"/>
    <s v="AVD3205D7FL"/>
    <n v="1"/>
    <s v="_"/>
    <s v="_"/>
  </r>
  <r>
    <x v="3"/>
    <s v="1000BASE-SX SFP TRANSCEIVER MODULE"/>
    <s v="SFP module"/>
    <s v="CISCO"/>
    <s v="GLC-SX-MMD"/>
    <s v="ACW23031NSD"/>
    <n v="1"/>
    <s v="_"/>
    <s v="_"/>
  </r>
  <r>
    <x v="3"/>
    <s v="1000BASE-SX SFP TRANSCEIVER MODULE"/>
    <s v="SFP module"/>
    <s v="CISCO"/>
    <s v="GLC-SX-MMD"/>
    <s v="ACW230415SV"/>
    <n v="1"/>
    <s v="_"/>
    <s v="_"/>
  </r>
  <r>
    <x v="3"/>
    <s v="1000BASE-SX SFP TRANSCEIVER MODULE"/>
    <s v="SFP module"/>
    <s v="CISCO"/>
    <s v="GLC-SX-MMD"/>
    <s v="ACW2304168G"/>
    <n v="1"/>
    <s v="_"/>
    <s v="_"/>
  </r>
  <r>
    <x v="3"/>
    <s v="1000BASE-SX SFP TRANSCEIVER MODULE"/>
    <s v="SFP module"/>
    <s v="CISCO"/>
    <s v="GLC-SX-MMD"/>
    <s v="ACW230415T1"/>
    <n v="1"/>
    <s v="_"/>
    <s v="_"/>
  </r>
  <r>
    <x v="3"/>
    <s v="1000BASE-T SFP TRANSCEIVER MODULE FOR CATEGORY 5 COPPER WIRE"/>
    <s v="SFP module"/>
    <s v="CISCO"/>
    <s v="GLC-TE"/>
    <s v="AVC230721E6"/>
    <n v="1"/>
    <s v="_"/>
    <s v="_"/>
  </r>
  <r>
    <x v="3"/>
    <s v="1000BASE-T SFP TRANSCEIVER MODULE FOR CATEGORY 5 COPPER WIRE"/>
    <s v="SFP module"/>
    <s v="CISCO"/>
    <s v="GLC-TE"/>
    <s v="AVC230721E7"/>
    <n v="1"/>
    <s v="_"/>
    <s v="_"/>
  </r>
  <r>
    <x v="3"/>
    <s v="1000BASE-T SFP TRANSCEIVER MODULE FOR CATEGORY 5 COPPER WIRE"/>
    <s v="SFP module"/>
    <s v="CISCO"/>
    <s v="GLC-TE"/>
    <s v="AVC230721E4"/>
    <n v="1"/>
    <s v="_"/>
    <s v="_"/>
  </r>
  <r>
    <x v="3"/>
    <s v="1000BASE-T SFP TRANSCEIVER MODULE FOR CATEGORY 5 COPPER WIRE"/>
    <s v="SFP module"/>
    <s v="CISCO"/>
    <s v="GLC-TE"/>
    <s v="AVC230721E8"/>
    <n v="1"/>
    <s v="_"/>
    <s v="_"/>
  </r>
  <r>
    <x v="3"/>
    <s v="CATALYST 3850 24 PORT 10G FIBER SWITCH BASE"/>
    <s v="Switch"/>
    <s v="CISCO"/>
    <s v="WS-C3850-24XS-S"/>
    <s v="FOC2247U0AS"/>
    <n v="1"/>
    <s v="_"/>
    <s v="IRIS-SW2-I01"/>
  </r>
  <r>
    <x v="3"/>
    <s v="10GBASE-SR SFP MODULE"/>
    <s v="SFP module"/>
    <s v="CISCO"/>
    <s v="SFP-10G-SR-S"/>
    <s v="AVD3205D7H3"/>
    <n v="1"/>
    <s v="_"/>
    <s v="_"/>
  </r>
  <r>
    <x v="3"/>
    <s v="10GBASE-SR SFP MODULE"/>
    <s v="SFP module"/>
    <s v="CISCO"/>
    <s v="SFP-10G-SR-S"/>
    <s v="AVD3205D7GY"/>
    <n v="1"/>
    <s v="_"/>
    <s v="_"/>
  </r>
  <r>
    <x v="3"/>
    <s v="10GBASE-SR SFP MODULE"/>
    <s v="SFP module"/>
    <s v="CISCO"/>
    <s v="SFP-10G-SR-S"/>
    <s v="AVD3205D7GG"/>
    <n v="1"/>
    <s v="_"/>
    <s v="_"/>
  </r>
  <r>
    <x v="3"/>
    <s v="10GBASE-SR SFP MODULE"/>
    <s v="SFP module"/>
    <s v="CISCO"/>
    <s v="SFP-10G-SR-S"/>
    <s v="AVD3205D7GB"/>
    <n v="1"/>
    <s v="_"/>
    <s v="_"/>
  </r>
  <r>
    <x v="3"/>
    <s v="10GBASE-SR SFP MODULE"/>
    <s v="SFP module"/>
    <s v="CISCO"/>
    <s v="SFP-10G-SR-S"/>
    <s v="AVD3205D7GL"/>
    <n v="1"/>
    <s v="_"/>
    <s v="_"/>
  </r>
  <r>
    <x v="3"/>
    <s v="1000BASE-SX SFP TRANSCEIVER MODULE"/>
    <s v="SFP module"/>
    <s v="CISCO"/>
    <s v="GLC-SX-MMD"/>
    <s v="ACW230416KX"/>
    <n v="1"/>
    <s v="_"/>
    <s v="_"/>
  </r>
  <r>
    <x v="3"/>
    <s v="1000BASE-SX SFP TRANSCEIVER MODULE"/>
    <s v="SFP module"/>
    <s v="CISCO"/>
    <s v="GLC-SX-MMD"/>
    <s v="ACW230416HF"/>
    <n v="1"/>
    <s v="_"/>
    <s v="_"/>
  </r>
  <r>
    <x v="3"/>
    <s v="1000BASE-SX SFP TRANSCEIVER MODULE"/>
    <s v="SFP module"/>
    <s v="CISCO"/>
    <s v="GLC-SX-MMD"/>
    <s v="ACW230416JA"/>
    <n v="1"/>
    <s v="_"/>
    <s v="_"/>
  </r>
  <r>
    <x v="3"/>
    <s v="1000BASE-SX SFP TRANSCEIVER MODULE"/>
    <s v="SFP module"/>
    <s v="CISCO"/>
    <s v="GLC-SX-MMD"/>
    <s v="ACW230416K5"/>
    <n v="1"/>
    <s v="_"/>
    <s v="_"/>
  </r>
  <r>
    <x v="3"/>
    <s v="1000BASE-T SFP TRANSCEIVER MODULE FOR CATEGORY 5 COPPER WIRE"/>
    <s v="SFP module"/>
    <s v="CISCO"/>
    <s v="GLC-TE"/>
    <s v="AVC230721E5"/>
    <n v="1"/>
    <s v="_"/>
    <s v="_"/>
  </r>
  <r>
    <x v="3"/>
    <s v="1000BASE-T SFP TRANSCEIVER MODULE FOR CATEGORY 5 COPPER WIRE"/>
    <s v="SFP module"/>
    <s v="CISCO"/>
    <s v="GLC-TE"/>
    <s v="AVC230721ET"/>
    <n v="1"/>
    <s v="_"/>
    <s v="_"/>
  </r>
  <r>
    <x v="3"/>
    <s v="1000BASE-T SFP TRANSCEIVER MODULE FOR CATEGORY 5 COPPER WIRE"/>
    <s v="SFP module"/>
    <s v="CISCO"/>
    <s v="GLC-TE"/>
    <s v="AVC230720UW"/>
    <n v="1"/>
    <s v="_"/>
    <s v="_"/>
  </r>
  <r>
    <x v="3"/>
    <s v="1000BASE-T SFP TRANSCEIVER MODULE FOR CATEGORY 5 COPPER WIRE"/>
    <s v="SFP module"/>
    <s v="CISCO"/>
    <s v="GLC-TE"/>
    <s v="AVC230721FR"/>
    <n v="1"/>
    <s v="_"/>
    <s v="_"/>
  </r>
  <r>
    <x v="3"/>
    <s v="HPE DL360 Gen10 8SFF CTO Server"/>
    <s v="Server"/>
    <s v="HPE"/>
    <s v="867959-B21"/>
    <s v="CZJ91702K0"/>
    <n v="1"/>
    <s v="_"/>
    <s v="IRIS-SRV3-I01"/>
  </r>
  <r>
    <x v="3"/>
    <s v="HPE BLc 10G SFP+ SR Transceiver"/>
    <s v="SFP module"/>
    <s v="HPE"/>
    <s v="455883-B21"/>
    <s v="7CR839420F"/>
    <n v="1"/>
    <s v="_"/>
    <s v="_"/>
  </r>
  <r>
    <x v="3"/>
    <s v="HPE BLc 10G SFP+ SR Transceiver"/>
    <s v="SFP module"/>
    <s v="HPE"/>
    <s v="455883-B21"/>
    <s v="7CR839420H"/>
    <n v="1"/>
    <s v="_"/>
    <s v="_"/>
  </r>
  <r>
    <x v="3"/>
    <s v="HPE 16G SFP+ SW XCVR-C"/>
    <s v="SFP module"/>
    <s v="HPE"/>
    <s v="E7Y10-63001"/>
    <s v="MY89111578"/>
    <n v="1"/>
    <s v="_"/>
    <s v="_"/>
  </r>
  <r>
    <x v="3"/>
    <s v="HPE 16G SFP+ SW XCVR-C"/>
    <s v="SFP module"/>
    <s v="HPE"/>
    <s v="E7Y10-63001"/>
    <s v="MY891115AF"/>
    <n v="1"/>
    <s v="_"/>
    <s v="_"/>
  </r>
  <r>
    <x v="3"/>
    <s v="HPE DL360 Gen10 8SFF CTO Server"/>
    <s v="Server"/>
    <s v="HPE"/>
    <s v="867959-B21"/>
    <s v="CZJ91702K3"/>
    <n v="1"/>
    <s v="_"/>
    <s v="IRIS-SRV4-I01"/>
  </r>
  <r>
    <x v="3"/>
    <s v="HPE BLc 10G SFP+ SR Transceiver"/>
    <s v="SFP module"/>
    <s v="HPE"/>
    <s v="455883-B21"/>
    <s v="7CR839420U"/>
    <n v="1"/>
    <s v="_"/>
    <s v="_"/>
  </r>
  <r>
    <x v="3"/>
    <s v="HPE BLc 10G SFP+ SR Transceiver"/>
    <s v="SFP module"/>
    <s v="HPE"/>
    <s v="455883-B21"/>
    <s v="7CR839420R"/>
    <n v="1"/>
    <s v="_"/>
    <s v="_"/>
  </r>
  <r>
    <x v="3"/>
    <s v="HPE 16G SFP+ SW XCVR-C"/>
    <s v="SFP module"/>
    <s v="HPE"/>
    <s v="E7Y10-63001"/>
    <s v="MY891119U2"/>
    <n v="1"/>
    <s v="_"/>
    <s v="_"/>
  </r>
  <r>
    <x v="3"/>
    <s v="HPE 16G SFP+ SW XCVR-C"/>
    <s v="SFP module"/>
    <s v="HPE"/>
    <s v="E7Y10-63001"/>
    <s v="MY891119M0"/>
    <n v="1"/>
    <s v="_"/>
    <s v="_"/>
  </r>
  <r>
    <x v="3"/>
    <s v="HPE 400GB SAS 12G MU SFF SC DS 550"/>
    <s v="Disk"/>
    <s v="HPE"/>
    <s v="P09088-B21"/>
    <s v="5C3905J06T"/>
    <n v="1"/>
    <s v="IRIS-SRV4-I01-01"/>
    <s v="_"/>
  </r>
  <r>
    <x v="3"/>
    <s v="HPE 400GB SAS 12G MU SFF SC DS 550"/>
    <s v="Disk"/>
    <s v="HPE"/>
    <s v="P09088-B21"/>
    <s v="5C3905J06R"/>
    <n v="1"/>
    <s v="IRIS-SRV4-I01-02"/>
    <s v="_"/>
  </r>
  <r>
    <x v="3"/>
    <s v="HPE MSA 2050 SAN DC LFF Storage"/>
    <s v="MSA SAN"/>
    <s v="HPE"/>
    <s v="Q1J00A"/>
    <s v="2S6910B091"/>
    <n v="1"/>
    <s v="_"/>
    <s v="IRIS-MSA-I01"/>
  </r>
  <r>
    <x v="3"/>
    <s v="MSA 2050 SAN dual controller"/>
    <s v="MSA SAN"/>
    <s v="HPE"/>
    <s v="876127-001"/>
    <s v="7CE901M842"/>
    <n v="1"/>
    <s v="_"/>
    <s v="_"/>
  </r>
  <r>
    <x v="3"/>
    <s v="MSA 2050 SAN dual controller"/>
    <s v="MSA SAN"/>
    <s v="HPE"/>
    <s v="876127-001"/>
    <s v="7CE901M918"/>
    <n v="1"/>
    <s v="_"/>
    <s v="_"/>
  </r>
  <r>
    <x v="3"/>
    <s v="HPE MSA 10TB 12G SAS 7.2K LFF 512e HDD"/>
    <s v="Disk"/>
    <s v="HPE"/>
    <s v="P9M82A"/>
    <s v="THH917Z08N"/>
    <n v="1"/>
    <s v="IRIS-MSA-I01-01"/>
    <s v="_"/>
  </r>
  <r>
    <x v="3"/>
    <s v="HPE MSA 10TB 12G SAS 7.2K LFF 512e HDD"/>
    <s v="Disk"/>
    <s v="HPE"/>
    <s v="P9M82A"/>
    <s v="THH917Z07U"/>
    <n v="1"/>
    <s v="IRIS-MSA-I01-02"/>
    <s v="_"/>
  </r>
  <r>
    <x v="3"/>
    <s v="HPE MSA 10TB 12G SAS 7.2K LFF 512e HDD"/>
    <s v="Disk"/>
    <s v="HPE"/>
    <s v="P9M82A"/>
    <s v="THH917Z08G"/>
    <n v="1"/>
    <s v="IRIS-MSA-I01-03"/>
    <s v="_"/>
  </r>
  <r>
    <x v="3"/>
    <s v="HPE MSA 10TB 12G SAS 7.2K LFF 512e HDD"/>
    <s v="Disk"/>
    <s v="HPE"/>
    <s v="P9M82A"/>
    <s v="THH917Z082"/>
    <n v="1"/>
    <s v="IRIS-MSA-I01-04"/>
    <s v="_"/>
  </r>
  <r>
    <x v="3"/>
    <s v="HPE MSA 10TB 12G SAS 7.2K LFF 512e HDD"/>
    <s v="Disk"/>
    <s v="HPE"/>
    <s v="P9M82A"/>
    <s v="THH917Z07F"/>
    <n v="1"/>
    <s v="IRIS-MSA-I01-05"/>
    <s v="_"/>
  </r>
  <r>
    <x v="3"/>
    <s v="HPE MSA 10TB 12G SAS 7.2K LFF 512e HDD"/>
    <s v="Disk"/>
    <s v="HPE"/>
    <s v="P9M82A"/>
    <s v="THH917Z08D"/>
    <n v="1"/>
    <s v="IRIS-MSA-I01-06"/>
    <s v="_"/>
  </r>
  <r>
    <x v="3"/>
    <s v="HPE MSA 10TB 12G SAS 7.2K LFF 512e HDD"/>
    <s v="Disk"/>
    <s v="HPE"/>
    <s v="P9M82A"/>
    <s v="THH917Z07G"/>
    <n v="1"/>
    <s v="IRIS-MSA-I01-07"/>
    <s v="_"/>
  </r>
  <r>
    <x v="3"/>
    <s v="HPE MSA 10TB 12G SAS 7.2K LFF 512e HDD"/>
    <s v="Disk"/>
    <s v="HPE"/>
    <s v="P9M82A"/>
    <s v="THH917Z07P"/>
    <n v="1"/>
    <s v="IRIS-MSA-I01-08"/>
    <s v="_"/>
  </r>
  <r>
    <x v="3"/>
    <s v="HPE MSA 10TB 12G SAS 7.2K LFF 512e HDD"/>
    <s v="Disk"/>
    <s v="HPE"/>
    <s v="P9M82A"/>
    <s v="THH917Z08C"/>
    <n v="1"/>
    <s v="IRIS-MSA-I01-09"/>
    <s v="_"/>
  </r>
  <r>
    <x v="3"/>
    <s v="HPE MSA 10TB 12G SAS 7.2K LFF 512e HDD"/>
    <s v="Disk"/>
    <s v="HPE"/>
    <s v="P9M82A"/>
    <s v="THH917Z086"/>
    <n v="1"/>
    <s v="IRIS-MSA-I01-10"/>
    <s v="_"/>
  </r>
  <r>
    <x v="3"/>
    <s v="HPE MSA 10TB 12G SAS 7.2K LFF 512e HDD"/>
    <s v="Disk"/>
    <s v="HPE"/>
    <s v="P9M82A"/>
    <s v="THH917Z07E"/>
    <n v="1"/>
    <s v="IRIS-MSA-I01-11"/>
    <s v="_"/>
  </r>
  <r>
    <x v="3"/>
    <s v="HPE MSA 10TB 12G SAS 7.2K LFF 512e HDD"/>
    <s v="Disk"/>
    <s v="HPE"/>
    <s v="P9M82A"/>
    <s v="THH917Z07A"/>
    <n v="1"/>
    <s v="IRIS-MSA-I01-12"/>
    <s v="_"/>
  </r>
  <r>
    <x v="3"/>
    <s v="HPE MSA 16GB SW FC SFP"/>
    <s v="SFP module"/>
    <s v="HPE"/>
    <s v="720999-002"/>
    <s v="MY890510HH"/>
    <n v="1"/>
    <s v="_"/>
    <s v="_"/>
  </r>
  <r>
    <x v="3"/>
    <s v="HPE MSA 16GB SW FC SFP"/>
    <s v="SFP module"/>
    <s v="HPE"/>
    <s v="720999-002"/>
    <s v="MY890510H7"/>
    <n v="1"/>
    <s v="_"/>
    <s v="_"/>
  </r>
  <r>
    <x v="3"/>
    <s v="HPE MSA 16GB SW FC SFP"/>
    <s v="SFP module"/>
    <s v="HPE"/>
    <s v="720999-002"/>
    <s v="MY890510HB"/>
    <n v="1"/>
    <s v="_"/>
    <s v="_"/>
  </r>
  <r>
    <x v="3"/>
    <s v="HPE MSA 16GB SW FC SFP"/>
    <s v="SFP module"/>
    <s v="HPE"/>
    <s v="720999-002"/>
    <s v="MY890510H9"/>
    <n v="1"/>
    <s v="_"/>
    <s v="_"/>
  </r>
  <r>
    <x v="3"/>
    <s v="HPE MSA 16GB SW FC SFP"/>
    <s v="SFP module"/>
    <s v="HPE"/>
    <s v="720999-002"/>
    <s v="MY890511KG"/>
    <n v="1"/>
    <s v="_"/>
    <s v="_"/>
  </r>
  <r>
    <x v="3"/>
    <s v="HPE MSA 16GB SW FC SFP"/>
    <s v="SFP module"/>
    <s v="HPE"/>
    <s v="720999-002"/>
    <s v="MY890511K1"/>
    <n v="1"/>
    <s v="_"/>
    <s v="_"/>
  </r>
  <r>
    <x v="3"/>
    <s v="HPE MSA 16GB SW FC SFP"/>
    <s v="SFP module"/>
    <s v="HPE"/>
    <s v="720999-002"/>
    <s v="MY890511KM"/>
    <n v="1"/>
    <s v="_"/>
    <s v="_"/>
  </r>
  <r>
    <x v="3"/>
    <s v="HPE MSA 16GB SW FC SFP"/>
    <s v="SFP module"/>
    <s v="HPE"/>
    <s v="720999-002"/>
    <s v="MY890511JW"/>
    <n v="1"/>
    <s v="_"/>
    <s v="_"/>
  </r>
  <r>
    <x v="3"/>
    <s v="NTP TIME SERVER WITH OCXO"/>
    <s v="NTP Server"/>
    <s v="HEOL DESIGN"/>
    <s v="T101R-10us-AC-I/O-OCXOMR"/>
    <s v="0814296"/>
    <n v="1"/>
    <s v="_"/>
    <s v="IRIS-NTP-I01"/>
  </r>
  <r>
    <x v="3"/>
    <s v="HPE R5000 3U IECSO9-32A HV INTL UPS"/>
    <s v="UPS"/>
    <s v="HPE"/>
    <s v="AF461A"/>
    <s v="ACC8390071"/>
    <n v="1"/>
    <s v="_"/>
    <s v="IRIS-UPS-I01"/>
  </r>
  <r>
    <x v="3"/>
    <s v="Delivery External Usb Hard Disk - WD Elements Portable SE 1TB USB 3.0 2.5In"/>
    <s v="Disk WDE - Delivery"/>
    <s v="WesternDigital"/>
    <s v="WDBUZG0010BBK-0B"/>
    <s v="WXV1A881S44R"/>
    <m/>
    <s v="_"/>
    <s v="_"/>
  </r>
  <r>
    <x v="3"/>
    <s v="VM Initial Backup - WD Elements Portable SE 2TB USB 3.0 2.5In"/>
    <s v="Disk WDE - VM Iinitial BKP"/>
    <s v="WesternDigital"/>
    <s v="WDBU6Y0020BBK-0B"/>
    <s v="WXW1EB83FM5L"/>
    <m/>
    <s v="_"/>
    <s v="_"/>
  </r>
  <r>
    <x v="3"/>
    <s v="Deployment Workstation - DataTraveler 100 G3 - 32 Go"/>
    <s v="DT100G3/32GB"/>
    <s v="ACTIVIUM"/>
    <s v="DT100G3/32GB"/>
    <s v="N/A"/>
    <n v="1"/>
    <s v="_"/>
    <s v="_"/>
  </r>
  <r>
    <x v="3"/>
    <s v="Deployment Workstation - DataTraveler 100 G3 - 32 Go"/>
    <s v="DT100G3/32GB"/>
    <s v="ACTIVIUM"/>
    <s v="DT100G3/32GB"/>
    <s v="N/A"/>
    <n v="1"/>
    <s v="_"/>
    <s v="_"/>
  </r>
  <r>
    <x v="3"/>
    <s v="HP ZBOOK 17 G4"/>
    <s v="Laptop"/>
    <s v="EUROTEMPEST"/>
    <s v="Y3J81AV"/>
    <s v="2019.05.17099"/>
    <n v="1"/>
    <s v="IOSINT Worsktation"/>
    <s v="IRIS-MMCO1-I01"/>
  </r>
  <r>
    <x v="3"/>
    <s v="HP 512GB 2280 M2 PCIe 3x4 DS NVME EU"/>
    <s v="HP 512GB M2"/>
    <s v="ACTIVIUM"/>
    <s v="861960-003"/>
    <s v=""/>
    <n v="1"/>
    <s v="IRIS-MMCO1-I01"/>
    <s v="_"/>
  </r>
  <r>
    <x v="3"/>
    <s v="HP 1TB 7200RPM SATA 6.0 Gbps 2.5 64MB"/>
    <s v="HP 1TB 7.2K"/>
    <s v="ACTIVIUM"/>
    <s v="Y3J93AV"/>
    <s v=""/>
    <n v="1"/>
    <s v="IRIS-MMCO1-I01"/>
    <s v="_"/>
  </r>
  <r>
    <x v="3"/>
    <s v="HP USB Business Slim Keyboard - Hungarian"/>
    <s v="Keyboard"/>
    <s v="EUROTEMPEST"/>
    <s v="803181-211"/>
    <s v="2019.05.17138"/>
    <n v="1"/>
    <s v="IRIS-MMCO1-I01"/>
    <s v="_"/>
  </r>
  <r>
    <x v="3"/>
    <s v="HP USB Optical Mouse"/>
    <s v="Mouse"/>
    <s v="EUROTEMPEST"/>
    <s v="678652-001"/>
    <s v="N/A"/>
    <n v="1"/>
    <s v="IRIS-MMCO1-I01"/>
    <s v="_"/>
  </r>
  <r>
    <x v="3"/>
    <s v="Thunderbolts 3 to dual DisplayPort Adapter"/>
    <s v="Thunderbolt"/>
    <s v="EUROTEMPEST"/>
    <s v="TB32DP2T"/>
    <s v="2019.09.27859"/>
    <n v="1"/>
    <s v="IRIS-MMCO1-I01"/>
    <s v="_"/>
  </r>
  <r>
    <x v="3"/>
    <s v="HP EliteDisplay E243i"/>
    <s v="Screen"/>
    <s v="EUROTEMPEST"/>
    <s v="1FH49AT"/>
    <s v="2019.05.17514"/>
    <n v="1"/>
    <s v="IRIS-MMCO1-I01"/>
    <s v="IRIS-24-SCR01-I01"/>
  </r>
  <r>
    <x v="3"/>
    <s v="HP EliteDisplay E243i"/>
    <s v="Screen"/>
    <s v="EUROTEMPEST"/>
    <s v="1FH49AT"/>
    <s v="2019.05.17513"/>
    <n v="1"/>
    <s v="IRIS-MMCO1-I01"/>
    <s v="IRIS-24-SCR02-I01"/>
  </r>
  <r>
    <x v="3"/>
    <s v="OSINT Data Collection - WD Elements Portable SE 2TB USB 3.0 2.5In"/>
    <s v="Disk WDE - OSINT Data"/>
    <s v="EUROTEMPEST"/>
    <s v="WDBU6Y0020BBK-0B"/>
    <s v="2019.09.27884"/>
    <m/>
    <s v="IRIS-MMCO1-I01"/>
    <s v="_"/>
  </r>
  <r>
    <x v="3"/>
    <s v="OSINT Data Collection - WD Elements Portable SE 2TB USB 3.0 2.5In"/>
    <s v="Disk WDE - OSINT Data"/>
    <s v="EUROTEMPEST"/>
    <s v="WDBU6Y0020BBK-0B"/>
    <s v="2019.09.27885"/>
    <m/>
    <s v="IRIS-MMCO1-I01"/>
    <s v="_"/>
  </r>
  <r>
    <x v="3"/>
    <s v="HP ZBOOK 17 G4"/>
    <s v="Laptop"/>
    <s v="EUROTEMPEST"/>
    <s v="Y3J81AV"/>
    <s v="2019.05.17120"/>
    <n v="1"/>
    <s v="Incluses I4DEXPLORER"/>
    <s v="IRIS-OPR01-I01"/>
  </r>
  <r>
    <x v="3"/>
    <s v="HP 512GB 2280 M2 PCIe 3x4 DS NVME EU"/>
    <s v="HP 512GB M2"/>
    <s v="ACTIVIUM"/>
    <s v="861960-003"/>
    <s v=""/>
    <n v="1"/>
    <s v="IRIS-OPR01-I01"/>
    <s v="_"/>
  </r>
  <r>
    <x v="3"/>
    <s v="HP USB Business Slim Keyboard - Hungarian"/>
    <s v="Keyboard"/>
    <s v="EUROTEMPEST"/>
    <s v="803181-211"/>
    <s v="2019.05.17159"/>
    <n v="1"/>
    <s v="IRIS-OPR01-I01"/>
    <s v="_"/>
  </r>
  <r>
    <x v="3"/>
    <s v="HP USB Optical Mouse"/>
    <s v="Mouse"/>
    <s v="EUROTEMPEST"/>
    <s v="678652-001"/>
    <s v="N/A"/>
    <n v="1"/>
    <s v="IRIS-OPR01-I01"/>
    <s v="_"/>
  </r>
  <r>
    <x v="3"/>
    <s v="USB 3.0 to Gigabit Ethernet Fiber Optic Network Adapter - 1000Base-SX SC"/>
    <s v="USB-Fiber"/>
    <s v="EUROTEMPEST"/>
    <s v="US1GA30SXSC"/>
    <s v="2019.09.27805"/>
    <n v="1"/>
    <s v="IRIS-OPR01-I01"/>
    <s v="_"/>
  </r>
  <r>
    <x v="3"/>
    <s v="Thunderbolts 3 to dual DisplayPort Adapter"/>
    <s v="Thunderbolt"/>
    <s v="EUROTEMPEST"/>
    <s v="TB32DP2T"/>
    <s v="2019.09.27847"/>
    <n v="1"/>
    <s v="IRIS-OPR01-I01"/>
    <s v="_"/>
  </r>
  <r>
    <x v="3"/>
    <s v="HP EliteDisplay E243i"/>
    <s v="Screen"/>
    <s v="EUROTEMPEST"/>
    <s v="1FH49AT"/>
    <s v="2019.05.17512"/>
    <n v="1"/>
    <s v="IRIS-OPR01-I01"/>
    <s v="IRIS-24-SCR03-I01"/>
  </r>
  <r>
    <x v="3"/>
    <s v="HP EliteDisplay E243i"/>
    <s v="Screen"/>
    <s v="EUROTEMPEST"/>
    <s v="1FH49AT"/>
    <s v="2019.05.17511"/>
    <n v="1"/>
    <s v="IRIS-OPR01-I01"/>
    <s v="IRIS-24-SCR04-I01"/>
  </r>
  <r>
    <x v="3"/>
    <s v="HP ZBOOK 17 G4"/>
    <s v="Laptop"/>
    <s v="EUROTEMPEST"/>
    <s v="Y3J81AV"/>
    <s v="2019.05.17121"/>
    <n v="1"/>
    <s v="Incluses I4DEXPLORER"/>
    <s v="IRIS-OPR02-I01"/>
  </r>
  <r>
    <x v="3"/>
    <s v="HP 512GB 2280 M2 PCIe 3x4 DS NVME EU"/>
    <s v="HP 512GB M2"/>
    <s v="ACTIVIUM"/>
    <s v="861960-003"/>
    <s v=""/>
    <n v="1"/>
    <s v="IRIS-OPR02-I01"/>
    <s v="_"/>
  </r>
  <r>
    <x v="3"/>
    <s v="HP USB Business Slim Keyboard - Hungarian"/>
    <s v="Keyboard"/>
    <s v="EUROTEMPEST"/>
    <s v="803181-211"/>
    <s v="2019.05.17160"/>
    <n v="1"/>
    <s v="IRIS-OPR02-I01"/>
    <s v="_"/>
  </r>
  <r>
    <x v="3"/>
    <s v="HP USB Optical Mouse"/>
    <s v="Mouse"/>
    <s v="EUROTEMPEST"/>
    <s v="678652-001"/>
    <s v="N/A"/>
    <n v="1"/>
    <s v="IRIS-OPR02-I01"/>
    <s v="_"/>
  </r>
  <r>
    <x v="3"/>
    <s v="USB 3.0 to Gigabit Ethernet Fiber Optic Network Adapter - 1000Base-SX SC"/>
    <s v="USB-Fiber"/>
    <s v="EUROTEMPEST"/>
    <s v="US1GA30SXSC"/>
    <s v="2019.09.27829"/>
    <n v="1"/>
    <s v="IRIS-OPR02-I01"/>
    <s v="_"/>
  </r>
  <r>
    <x v="3"/>
    <s v="Thunderbolts 3 to dual DisplayPort Adapter"/>
    <s v="Thunderbolt"/>
    <s v="EUROTEMPEST"/>
    <s v="TB32DP2T"/>
    <s v="2019.09.27850"/>
    <n v="1"/>
    <s v="IRIS-OPR02-I01"/>
    <s v="_"/>
  </r>
  <r>
    <x v="3"/>
    <s v="HP EliteDisplay E243i"/>
    <s v="Screen"/>
    <s v="EUROTEMPEST"/>
    <s v="1FH49AT"/>
    <s v="2019.05.17510"/>
    <n v="1"/>
    <s v="IRIS-OPR02-I01"/>
    <s v="IRIS-24-SCR05-I01"/>
  </r>
  <r>
    <x v="3"/>
    <s v="HP EliteDisplay E243i"/>
    <s v="Screen"/>
    <s v="EUROTEMPEST"/>
    <s v="1FH49AT"/>
    <s v="2019.05.17515"/>
    <n v="1"/>
    <s v="IRIS-OPR02-I01"/>
    <s v="IRIS-24-SCR06-I01"/>
  </r>
  <r>
    <x v="3"/>
    <s v="HP ZBOOK 17 G4"/>
    <s v="Laptop"/>
    <s v="EUROTEMPEST"/>
    <s v="Y3J81AV"/>
    <s v="2019.05.17122"/>
    <n v="1"/>
    <s v="_"/>
    <s v="IRIS-OPR03-I01"/>
  </r>
  <r>
    <x v="3"/>
    <s v="HP 512GB 2280 M2 PCIe 3x4 DS NVME EU"/>
    <s v="HP 512GB M2"/>
    <s v="ACTIVIUM"/>
    <s v="861960-003"/>
    <s v=""/>
    <n v="1"/>
    <s v="IRIS-OPR03-I01"/>
    <s v="_"/>
  </r>
  <r>
    <x v="3"/>
    <s v="HP USB Business Slim Keyboard - Hungarian"/>
    <s v="Keyboard"/>
    <s v="EUROTEMPEST"/>
    <s v="803181-211"/>
    <s v="2019.05.17161"/>
    <n v="1"/>
    <s v="IRIS-OPR03-I01"/>
    <s v="_"/>
  </r>
  <r>
    <x v="3"/>
    <s v="HP USB Optical Mouse"/>
    <s v="Mouse"/>
    <s v="EUROTEMPEST"/>
    <s v="678652-001"/>
    <s v="N/A"/>
    <n v="1"/>
    <s v="IRIS-OPR03-I01"/>
    <s v="_"/>
  </r>
  <r>
    <x v="3"/>
    <s v="USB 3.0 to Gigabit Ethernet Fiber Optic Network Adapter - 1000Base-SX SC"/>
    <s v="USB-Fiber"/>
    <s v="EUROTEMPEST"/>
    <s v="US1GA30SXSC"/>
    <s v="2019.09.27830"/>
    <n v="1"/>
    <s v="IRIS-OPR03-I01"/>
    <s v="_"/>
  </r>
  <r>
    <x v="3"/>
    <s v="Thunderbolts 3 to dual DisplayPort Adapter"/>
    <s v="Thunderbolt"/>
    <s v="EUROTEMPEST"/>
    <s v="TB32DP2T"/>
    <s v="2019.09.27860"/>
    <n v="1"/>
    <s v="IRIS-OPR03-I01"/>
    <s v="_"/>
  </r>
  <r>
    <x v="3"/>
    <s v="HP EliteDisplay E243i"/>
    <s v="Screen"/>
    <s v="EUROTEMPEST"/>
    <s v="1FH49AT"/>
    <s v="2019.05.17536"/>
    <n v="1"/>
    <s v="IRIS-OPR03-I01"/>
    <s v="IRIS-24-SCR07-I01"/>
  </r>
  <r>
    <x v="3"/>
    <s v="HP EliteDisplay E243i"/>
    <s v="Screen"/>
    <s v="EUROTEMPEST"/>
    <s v="1FH49AT"/>
    <s v="2019.05.17539"/>
    <n v="1"/>
    <s v="IRIS-OPR03-I01"/>
    <s v="IRIS-24-SCR08-I01"/>
  </r>
  <r>
    <x v="3"/>
    <s v="HP ZBOOK 17 G4"/>
    <s v="Laptop"/>
    <s v="EUROTEMPEST"/>
    <s v="Y3J81AV"/>
    <s v="2019.05.17123"/>
    <n v="1"/>
    <s v="_"/>
    <s v="IRIS-OPR04-I01"/>
  </r>
  <r>
    <x v="3"/>
    <s v="HP 512GB 2280 M2 PCIe 3x4 DS NVME EU"/>
    <s v="HP 512GB M2"/>
    <s v="ACTIVIUM"/>
    <s v="861960-003"/>
    <s v=""/>
    <n v="1"/>
    <s v="IRIS-OPR04-I01"/>
    <s v="_"/>
  </r>
  <r>
    <x v="3"/>
    <s v="HP USB Business Slim Keyboard - Hungarian"/>
    <s v="Keyboard"/>
    <s v="EUROTEMPEST"/>
    <s v="803181-211"/>
    <s v="2019.05.17162"/>
    <n v="1"/>
    <s v="IRIS-OPR04-I01"/>
    <s v="_"/>
  </r>
  <r>
    <x v="3"/>
    <s v="HP USB Optical Mouse"/>
    <s v="Mouse"/>
    <s v="EUROTEMPEST"/>
    <s v="678652-001"/>
    <s v="N/A"/>
    <n v="1"/>
    <s v="IRIS-OPR04-I01"/>
    <s v="_"/>
  </r>
  <r>
    <x v="3"/>
    <s v="USB 3.0 to Gigabit Ethernet Fiber Optic Network Adapter - 1000Base-SX SC"/>
    <s v="USB-Fiber"/>
    <s v="EUROTEMPEST"/>
    <s v="US1GA30SXSC"/>
    <s v="2019.09.27806"/>
    <n v="1"/>
    <s v="IRIS-OPR04-I01"/>
    <s v="_"/>
  </r>
  <r>
    <x v="3"/>
    <s v="Thunderbolts 3 to dual DisplayPort Adapter"/>
    <s v="Thunderbolt"/>
    <s v="EUROTEMPEST"/>
    <s v="TB32DP2T"/>
    <s v="2019.09.27848"/>
    <n v="1"/>
    <s v="IRIS-OPR04-I01"/>
    <s v="_"/>
  </r>
  <r>
    <x v="3"/>
    <s v="HP EliteDisplay E243i"/>
    <s v="Screen"/>
    <s v="EUROTEMPEST"/>
    <s v="1FH49AT"/>
    <s v="2019.05.17535"/>
    <n v="1"/>
    <s v="IRIS-OPR04-I01"/>
    <s v="IRIS-24-SCR09-I01"/>
  </r>
  <r>
    <x v="3"/>
    <s v="HP EliteDisplay E243i"/>
    <s v="Screen"/>
    <s v="EUROTEMPEST"/>
    <s v="1FH49AT"/>
    <s v="2019.05.17534"/>
    <n v="1"/>
    <s v="IRIS-OPR04-I01"/>
    <s v="IRIS-24-SCR10-I01"/>
  </r>
  <r>
    <x v="3"/>
    <s v="HP ZBOOK 17 G4"/>
    <s v="Laptop"/>
    <s v="EUROTEMPEST"/>
    <s v="Y3J81AV"/>
    <s v="2019.05.17124"/>
    <n v="1"/>
    <s v="_"/>
    <s v="IRIS-OPR05-I01"/>
  </r>
  <r>
    <x v="3"/>
    <s v="HP 512GB 2280 M2 PCIe 3x4 DS NVME EU"/>
    <s v="HP 512GB M2"/>
    <s v="ACTIVIUM"/>
    <s v="861960-003"/>
    <s v=""/>
    <n v="1"/>
    <s v="IRIS-OPR05-I01"/>
    <s v="_"/>
  </r>
  <r>
    <x v="3"/>
    <s v="HP USB Business Slim Keyboard - Hungarian"/>
    <s v="Keyboard"/>
    <s v="EUROTEMPEST"/>
    <s v="803181-211"/>
    <s v="2019.05.17163"/>
    <n v="1"/>
    <s v="IRIS-OPR05-I01"/>
    <s v="_"/>
  </r>
  <r>
    <x v="3"/>
    <s v="HP USB Optical Mouse"/>
    <s v="Mouse"/>
    <s v="EUROTEMPEST"/>
    <s v="678652-001"/>
    <s v="N/A"/>
    <n v="1"/>
    <s v="IRIS-OPR05-I01"/>
    <s v="_"/>
  </r>
  <r>
    <x v="3"/>
    <s v="USB 3.0 to Gigabit Ethernet Fiber Optic Network Adapter - 1000Base-SX SC"/>
    <s v="USB-Fiber"/>
    <s v="EUROTEMPEST"/>
    <s v="US1GA30SXSC"/>
    <s v="2019.09.27804"/>
    <n v="1"/>
    <s v="IRIS-OPR05-I01"/>
    <s v="_"/>
  </r>
  <r>
    <x v="3"/>
    <s v="Thunderbolts 3 to dual DisplayPort Adapter"/>
    <s v="Thunderbolt"/>
    <s v="EUROTEMPEST"/>
    <s v="TB32DP2T"/>
    <s v="2019.09.27849"/>
    <n v="1"/>
    <s v="IRIS-OPR05-I01"/>
    <s v="_"/>
  </r>
  <r>
    <x v="3"/>
    <s v="HP EliteDisplay E243i"/>
    <s v="Screen"/>
    <s v="EUROTEMPEST"/>
    <s v="1FH49AT"/>
    <s v="2019.05.17537"/>
    <n v="1"/>
    <s v="IRIS-OPR05-I01"/>
    <s v="IRIS-24-SCR11-I01"/>
  </r>
  <r>
    <x v="3"/>
    <s v="HP EliteDisplay E243i"/>
    <s v="Screen"/>
    <s v="EUROTEMPEST"/>
    <s v="1FH49AT"/>
    <s v="2019.05.17540"/>
    <n v="1"/>
    <s v="IRIS-OPR05-I01"/>
    <s v="IRIS-24-SCR12-I01"/>
  </r>
  <r>
    <x v="3"/>
    <s v="HP ZBOOK 17 G4"/>
    <s v="Laptop"/>
    <s v="EUROTEMPEST"/>
    <s v="Y3J81AV"/>
    <s v="2019.05.17125"/>
    <n v="1"/>
    <s v="_"/>
    <s v="IRIS-OPR06-I01"/>
  </r>
  <r>
    <x v="3"/>
    <s v="HP 512GB 2280 M2 PCIe 3x4 DS NVME EU"/>
    <s v="HP 512GB M2"/>
    <s v="ACTIVIUM"/>
    <s v="861960-003"/>
    <s v=""/>
    <n v="1"/>
    <s v="IRIS-OPR06-I01"/>
    <s v="_"/>
  </r>
  <r>
    <x v="3"/>
    <s v="HP USB Business Slim Keyboard - Hungarian"/>
    <s v="Keyboard"/>
    <s v="EUROTEMPEST"/>
    <s v="803181-211"/>
    <s v="2019.05.17164"/>
    <n v="1"/>
    <s v="IRIS-OPR06-I01"/>
    <s v="_"/>
  </r>
  <r>
    <x v="3"/>
    <s v="HP USB Optical Mouse"/>
    <s v="Mouse"/>
    <s v="EUROTEMPEST"/>
    <s v="678652-001"/>
    <s v="N/A"/>
    <n v="1"/>
    <s v="IRIS-OPR06-I01"/>
    <s v="_"/>
  </r>
  <r>
    <x v="3"/>
    <s v="USB 3.0 to Gigabit Ethernet Fiber Optic Network Adapter - 1000Base-SX SC"/>
    <s v="USB-Fiber"/>
    <s v="EUROTEMPEST"/>
    <s v="US1GA30SXSC"/>
    <s v="2019.09.27832"/>
    <n v="1"/>
    <s v="IRIS-OPR06-I01"/>
    <s v="_"/>
  </r>
  <r>
    <x v="3"/>
    <s v="Thunderbolts 3 to dual DisplayPort Adapter"/>
    <s v="Thunderbolt"/>
    <s v="EUROTEMPEST"/>
    <s v="TB32DP2T"/>
    <s v="2019.09.27851"/>
    <n v="1"/>
    <s v="IRIS-OPR06-I01"/>
    <s v="_"/>
  </r>
  <r>
    <x v="3"/>
    <s v="HP Z27n G2"/>
    <s v="Screen"/>
    <s v="EUROTEMPEST"/>
    <s v="1JS10AT"/>
    <s v="2019.05.17556"/>
    <n v="1"/>
    <s v="IRIS-OPR06-I01"/>
    <s v="IRIS-27-SCR01-I01"/>
  </r>
  <r>
    <x v="3"/>
    <s v="HP Z27n G2"/>
    <s v="Screen"/>
    <s v="EUROTEMPEST"/>
    <s v="1JS10AT"/>
    <s v="2019.05.17560"/>
    <n v="1"/>
    <s v="IRIS-OPR06-I01"/>
    <s v="IRIS-27-SCR02-I01"/>
  </r>
  <r>
    <x v="3"/>
    <s v="SPARE / IRIS - I01"/>
    <s v="SPARE / IRIS - I01"/>
    <s v="_"/>
    <s v="_"/>
    <s v="_"/>
    <n v="1"/>
    <s v="SPARE / IRIS - I01"/>
    <s v="_"/>
  </r>
  <r>
    <x v="3"/>
    <s v="HP ZBOOK 17 G4"/>
    <s v="Laptop"/>
    <s v="EUROTEMPEST"/>
    <s v="Y3J81AV"/>
    <s v="2019.05.17100"/>
    <n v="1"/>
    <s v="_"/>
    <s v="IRIS-MM-SPARE-I01"/>
  </r>
  <r>
    <x v="3"/>
    <s v="HP 512GB 2280 M2 PCIe 3x4 DS NVME EU"/>
    <s v="HP 512GB M2"/>
    <s v="ACTIVIUM"/>
    <s v="861960-003"/>
    <s v=""/>
    <n v="1"/>
    <s v="IRIS-MM-SPARE-I01"/>
    <s v="_"/>
  </r>
  <r>
    <x v="3"/>
    <s v="HP 1TB 7200RPM SATA 6.0 Gbps 2.5 64MB"/>
    <s v="HP 1TB 7.2K"/>
    <s v="ACTIVIUM"/>
    <s v="Y3J93AV"/>
    <s v=""/>
    <n v="1"/>
    <s v="IRIS-MM-SPARE-I01"/>
    <s v="_"/>
  </r>
  <r>
    <x v="3"/>
    <s v="HP USB Business Slim Keyboard - Hungarian"/>
    <s v="Keyboard"/>
    <s v="EUROTEMPEST"/>
    <s v="803181-211"/>
    <s v="2019.05.17139"/>
    <n v="1"/>
    <s v="IRIS-MM-SPARE-I01"/>
    <s v="_"/>
  </r>
  <r>
    <x v="3"/>
    <s v="HP USB Optical Mouse"/>
    <s v="Mouse"/>
    <s v="EUROTEMPEST"/>
    <s v="678652-001"/>
    <s v="N/A"/>
    <n v="1"/>
    <s v="IRIS-MM-SPARE-I01"/>
    <s v="_"/>
  </r>
  <r>
    <x v="3"/>
    <s v="USB 3.0 to Gigabit Ethernet Fiber Optic Network Adapter - 1000Base-SX SC"/>
    <s v="USB-Fiber"/>
    <s v="EUROTEMPEST"/>
    <s v="US1GA30SXSC"/>
    <s v="2019.09.27831"/>
    <n v="1"/>
    <s v="_"/>
    <s v="_"/>
  </r>
  <r>
    <x v="3"/>
    <s v="Thunderbolts 3 to dual DisplayPort Adapter"/>
    <s v="Thunderbolt"/>
    <s v="EUROTEMPEST"/>
    <s v="TB32DP2T"/>
    <s v="2019.09.27871"/>
    <n v="1"/>
    <s v="_"/>
    <s v="_"/>
  </r>
  <r>
    <x v="3"/>
    <s v="Thunderbolts 3 to dual DisplayPort Adapter"/>
    <s v="Thunderbolt"/>
    <s v="EUROTEMPEST"/>
    <s v="TB32DP2T"/>
    <s v="2019.09.27870"/>
    <n v="1"/>
    <s v="_"/>
    <s v="_"/>
  </r>
  <r>
    <x v="3"/>
    <s v="HP EliteDisplay E243i"/>
    <s v="Screen"/>
    <s v="EUROTEMPEST"/>
    <s v="1FH49AT"/>
    <s v="2019.05.17544"/>
    <n v="1"/>
    <s v="_"/>
    <s v="IRIS-24-SPARE01-I01"/>
  </r>
  <r>
    <x v="3"/>
    <s v="HP EliteDisplay E243i"/>
    <s v="Screen"/>
    <s v="EUROTEMPEST"/>
    <s v="1FH49AT"/>
    <s v="2019.05.17542"/>
    <n v="1"/>
    <s v="_"/>
    <s v="IRIS-24-SPARE02-I01"/>
  </r>
  <r>
    <x v="3"/>
    <s v="HP Z27n G2"/>
    <s v="Screen"/>
    <s v="EUROTEMPEST"/>
    <s v="1JS10AT"/>
    <s v="2019.05.17564"/>
    <n v="1"/>
    <s v="_"/>
    <s v="IRIS-27-SPARE01-I01"/>
  </r>
  <r>
    <x v="3"/>
    <s v="SDC4/8GB - 8GB microSDHC (Class 4)"/>
    <s v="SDC4/8GB"/>
    <s v="ACTIVIUM"/>
    <s v="SDC4/8GBSP - 8GB2 microSDHC (Class 4)"/>
    <s v="N/A"/>
    <n v="1"/>
    <s v="_"/>
    <s v="IRIS-8GB-SPARE-I01"/>
  </r>
  <r>
    <x v="3"/>
    <s v="HPE 400GB SAS 12G MU SFF SC DS 550"/>
    <s v="Disk"/>
    <s v="HPE"/>
    <s v="P09088-B21"/>
    <s v="5C3905J06K"/>
    <n v="1"/>
    <s v="_"/>
    <s v="IRIS-400GB-SPARE-I01"/>
  </r>
  <r>
    <x v="3"/>
    <s v="HP 512GB 2280 M2 PCIe 3x4 DS NVME EU"/>
    <s v="HP 512GB M2"/>
    <s v="ACTIVIUM"/>
    <s v="861960-003"/>
    <s v="S34CNX0K821452"/>
    <n v="1"/>
    <s v="_"/>
    <s v="IRIS-512GB-SPARE-I01"/>
  </r>
  <r>
    <x v="3"/>
    <s v="HPE MSA 10TB 12G SAS 7.2K LFF 512e HDD"/>
    <s v="Disk"/>
    <s v="ACTIVIUM"/>
    <s v="P9M82A"/>
    <s v="JEHGMSJN"/>
    <n v="1"/>
    <s v="_"/>
    <s v="IRIS-10TB-SPARE01-I01"/>
  </r>
  <r>
    <x v="3"/>
    <s v="HPE MSA 10TB 12G SAS 7.2K LFF 512e HDD"/>
    <s v="Disk"/>
    <s v="ACTIVIUM"/>
    <s v="P9M82A"/>
    <s v="JEHDZHHN"/>
    <n v="1"/>
    <s v="_"/>
    <s v="IRIS-10TB-SPARE02-I01"/>
  </r>
  <r>
    <x v="3"/>
    <s v="10GBASE-SR SFP MODULE"/>
    <s v="SFP module"/>
    <s v="DIMENSION DATA"/>
    <s v="SFP-10G-SR-S"/>
    <s v="AVD2305D7EE"/>
    <n v="1"/>
    <s v="_"/>
    <s v="IRIS-10GB-SR-SPARE01-I01"/>
  </r>
  <r>
    <x v="3"/>
    <s v="10GBASE-SR SFP MODULE"/>
    <s v="SFP module"/>
    <s v="DIMENSION DATA"/>
    <s v="SFP-10G-SR-S"/>
    <s v="AVD2305D7EG"/>
    <n v="1"/>
    <s v="_"/>
    <s v="IRIS-10GB-SR-SPARE02-I01"/>
  </r>
  <r>
    <x v="3"/>
    <s v="1000BASE-SX SFP TRANSCEIVER MODULE"/>
    <s v="SFP module"/>
    <s v="DIMENSION DATA"/>
    <s v="GLC-SX-MMD"/>
    <s v="ACW23040YUT"/>
    <n v="1"/>
    <s v="_"/>
    <s v="IRIS-1GB-SX-SPARE01-I01"/>
  </r>
  <r>
    <x v="3"/>
    <s v="1000BASE-SX SFP TRANSCEIVER MODULE"/>
    <s v="SFP module"/>
    <s v="DIMENSION DATA"/>
    <s v="GLC-SX-MMD"/>
    <s v="ACW23040Z2R"/>
    <n v="1"/>
    <s v="_"/>
    <s v="IRIS-1GB-SX-SPARE02-I01"/>
  </r>
  <r>
    <x v="3"/>
    <s v="1000BASE-T SFP TRANSCEIVER MODULE FOR CATEGORY 5 COPPER WIRE"/>
    <s v="SFP module"/>
    <s v="DIMENSION DATA"/>
    <s v="GLC-TE"/>
    <s v="SMTC22380BHC"/>
    <n v="1"/>
    <s v="_"/>
    <s v="IRIS-1GB-T-SPARE-I01"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Kimutatás3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8" firstHeaderRow="1" firstDataRow="1" firstDataCol="1" rowPageCount="1" colPageCount="1"/>
  <pivotFields count="10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axis="axisPage" multipleItemSelectionAllowed="1" showAll="0">
      <items count="14">
        <item h="1" x="6"/>
        <item h="1" x="1"/>
        <item x="5"/>
        <item h="1" x="2"/>
        <item h="1" x="0"/>
        <item h="1" m="1" x="11"/>
        <item h="1" m="1" x="12"/>
        <item h="1" x="10"/>
        <item h="1" x="3"/>
        <item h="1" x="4"/>
        <item h="1" x="7"/>
        <item h="1" x="8"/>
        <item h="1" x="9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3"/>
    </i>
    <i>
      <x v="6"/>
    </i>
    <i>
      <x v="7"/>
    </i>
    <i>
      <x v="8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Kimutatás2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8" firstHeaderRow="1" firstDataRow="1" firstDataCol="1" rowPageCount="1" colPageCount="1"/>
  <pivotFields count="10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x="1"/>
        <item x="0"/>
        <item x="2"/>
        <item t="default"/>
      </items>
    </pivotField>
  </pivotFields>
  <rowFields count="1">
    <field x="0"/>
  </rowFields>
  <rowItems count="5">
    <i>
      <x v="3"/>
    </i>
    <i>
      <x v="6"/>
    </i>
    <i>
      <x v="7"/>
    </i>
    <i>
      <x v="8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Kimutatás1" cacheId="1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8" firstHeaderRow="1" firstDataRow="1" firstDataCol="1"/>
  <pivotFields count="9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 v="3"/>
    </i>
    <i>
      <x v="5"/>
    </i>
    <i>
      <x v="6"/>
    </i>
    <i>
      <x v="7"/>
    </i>
    <i>
      <x v="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P2000"/>
  <sheetViews>
    <sheetView tabSelected="1" zoomScaleNormal="100" workbookViewId="0">
      <pane ySplit="1" topLeftCell="A2" activePane="bottomLeft" state="frozen"/>
      <selection pane="bottomLeft" activeCell="M7" sqref="M7"/>
    </sheetView>
  </sheetViews>
  <sheetFormatPr defaultColWidth="8.88671875" defaultRowHeight="14.4" x14ac:dyDescent="0.3"/>
  <cols>
    <col min="1" max="1" width="21.109375" style="4" bestFit="1" customWidth="1"/>
    <col min="2" max="2" width="12.44140625" hidden="1" customWidth="1"/>
    <col min="3" max="3" width="15.33203125" hidden="1" customWidth="1"/>
    <col min="4" max="11" width="8.88671875" hidden="1" customWidth="1"/>
    <col min="12" max="12" width="52.109375" customWidth="1"/>
    <col min="13" max="13" width="25.33203125" customWidth="1"/>
    <col min="14" max="14" width="10.5546875" customWidth="1"/>
  </cols>
  <sheetData>
    <row r="1" spans="1:16" ht="21.9" customHeight="1" x14ac:dyDescent="0.3">
      <c r="A1" s="18" t="s">
        <v>101</v>
      </c>
      <c r="B1" s="10" t="s">
        <v>102</v>
      </c>
      <c r="C1" s="10" t="s">
        <v>103</v>
      </c>
      <c r="D1" s="11" t="s">
        <v>104</v>
      </c>
      <c r="E1" s="10" t="s">
        <v>106</v>
      </c>
      <c r="F1" s="10" t="s">
        <v>1092</v>
      </c>
      <c r="G1" s="10"/>
      <c r="H1" s="10"/>
      <c r="I1" s="10"/>
      <c r="J1" s="11"/>
      <c r="K1" s="11" t="s">
        <v>105</v>
      </c>
      <c r="L1" s="11" t="s">
        <v>107</v>
      </c>
      <c r="M1" s="13" t="s">
        <v>1093</v>
      </c>
      <c r="N1" s="12" t="str">
        <f>Inventory!K1</f>
        <v>Not scanned: 59</v>
      </c>
      <c r="P1" s="9"/>
    </row>
    <row r="2" spans="1:16" x14ac:dyDescent="0.3">
      <c r="A2" s="4" t="s">
        <v>685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F2" t="str">
        <f>IF(IFERROR(SEARCH("ö",A2),0)&gt;0,"X","_")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INVENTORY","")))))&amp;IF(F2="X"," Possible NOT Engish keyboard setting","")</f>
        <v>OK</v>
      </c>
      <c r="M2" t="str">
        <f>IFERROR(INDEX(Inventory!A:A,MATCH(Scan!A2,Inventory!E:E,0)),"")</f>
        <v>HP EliteDisplay E243i</v>
      </c>
    </row>
    <row r="3" spans="1:16" x14ac:dyDescent="0.3">
      <c r="A3" s="4" t="s">
        <v>687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F3" t="str">
        <f t="shared" ref="F3:F66" si="1">IF(IFERROR(SEARCH("ö",A3),0)&gt;0,"X","_")</f>
        <v>_</v>
      </c>
      <c r="K3" t="str">
        <f t="shared" ref="K3:K66" ca="1" si="2">B3&amp;C3&amp;D3&amp;E3</f>
        <v>____</v>
      </c>
      <c r="L3" t="str">
        <f t="shared" ref="L3:L66" ca="1" si="3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HP EliteDisplay E243i</v>
      </c>
    </row>
    <row r="4" spans="1:16" x14ac:dyDescent="0.3">
      <c r="A4" s="4" t="s">
        <v>690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F4" t="str">
        <f t="shared" si="1"/>
        <v>_</v>
      </c>
      <c r="K4" t="str">
        <f t="shared" ca="1" si="2"/>
        <v>____</v>
      </c>
      <c r="L4" t="str">
        <f t="shared" ca="1" si="3"/>
        <v>OK</v>
      </c>
      <c r="M4" t="str">
        <f>IFERROR(INDEX(Inventory!A:A,MATCH(Scan!A4,Inventory!E:E,0)),"")</f>
        <v>Thunderbolts 3 to dual DisplayPort Adapter</v>
      </c>
    </row>
    <row r="5" spans="1:16" x14ac:dyDescent="0.3">
      <c r="A5" s="4" t="s">
        <v>678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F5" t="str">
        <f t="shared" si="1"/>
        <v>_</v>
      </c>
      <c r="K5" t="str">
        <f t="shared" ca="1" si="2"/>
        <v>____</v>
      </c>
      <c r="L5" t="str">
        <f t="shared" ca="1" si="3"/>
        <v>OK</v>
      </c>
      <c r="M5" t="str">
        <f>IFERROR(INDEX(Inventory!A:A,MATCH(Scan!A5,Inventory!E:E,0)),"")</f>
        <v>HP EliteDisplay E243i</v>
      </c>
    </row>
    <row r="6" spans="1:16" x14ac:dyDescent="0.3">
      <c r="A6" s="4" t="s">
        <v>680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F6" t="str">
        <f t="shared" si="1"/>
        <v>_</v>
      </c>
      <c r="K6" t="str">
        <f t="shared" ca="1" si="2"/>
        <v>____</v>
      </c>
      <c r="L6" t="str">
        <f t="shared" ca="1" si="3"/>
        <v>OK</v>
      </c>
      <c r="M6" t="str">
        <f>IFERROR(INDEX(Inventory!A:A,MATCH(Scan!A6,Inventory!E:E,0)),"")</f>
        <v>HP EliteDisplay E243i</v>
      </c>
    </row>
    <row r="7" spans="1:16" x14ac:dyDescent="0.3">
      <c r="A7" s="4" t="s">
        <v>691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F7" t="str">
        <f t="shared" si="1"/>
        <v>_</v>
      </c>
      <c r="K7" t="str">
        <f t="shared" ca="1" si="2"/>
        <v>____</v>
      </c>
      <c r="L7" t="str">
        <f t="shared" ca="1" si="3"/>
        <v>OK</v>
      </c>
      <c r="M7" t="str">
        <f>IFERROR(INDEX(Inventory!A:A,MATCH(Scan!A7,Inventory!E:E,0)),"")</f>
        <v>Thunderbolts 3 to dual DisplayPort Adapter</v>
      </c>
    </row>
    <row r="8" spans="1:16" x14ac:dyDescent="0.3">
      <c r="A8" s="4" t="s">
        <v>675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F8" t="str">
        <f t="shared" si="1"/>
        <v>_</v>
      </c>
      <c r="K8" t="str">
        <f t="shared" ca="1" si="2"/>
        <v>____</v>
      </c>
      <c r="L8" t="str">
        <f t="shared" ca="1" si="3"/>
        <v>OK</v>
      </c>
      <c r="M8" t="str">
        <f>IFERROR(INDEX(Inventory!A:A,MATCH(Scan!A8,Inventory!E:E,0)),"")</f>
        <v>HP ZBOOK 17 G4</v>
      </c>
    </row>
    <row r="9" spans="1:16" x14ac:dyDescent="0.3">
      <c r="A9" s="4" t="s">
        <v>677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F9" t="str">
        <f t="shared" si="1"/>
        <v>_</v>
      </c>
      <c r="K9" t="str">
        <f t="shared" ca="1" si="2"/>
        <v>____</v>
      </c>
      <c r="L9" t="str">
        <f t="shared" ca="1" si="3"/>
        <v>OK</v>
      </c>
      <c r="M9" t="str">
        <f>IFERROR(INDEX(Inventory!A:A,MATCH(Scan!A9,Inventory!E:E,0)),"")</f>
        <v>HP USB Business Slim Keyboard - Hungarian</v>
      </c>
    </row>
    <row r="10" spans="1:16" x14ac:dyDescent="0.3">
      <c r="A10" s="4" t="s">
        <v>682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F10" t="str">
        <f t="shared" si="1"/>
        <v>_</v>
      </c>
      <c r="K10" t="str">
        <f t="shared" ca="1" si="2"/>
        <v>____</v>
      </c>
      <c r="L10" t="str">
        <f t="shared" ca="1" si="3"/>
        <v>OK</v>
      </c>
      <c r="M10" t="str">
        <f>IFERROR(INDEX(Inventory!A:A,MATCH(Scan!A10,Inventory!E:E,0)),"")</f>
        <v>HP ZBOOK 17 G4</v>
      </c>
    </row>
    <row r="11" spans="1:16" x14ac:dyDescent="0.3">
      <c r="A11" s="4" t="s">
        <v>684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F11" t="str">
        <f t="shared" si="1"/>
        <v>_</v>
      </c>
      <c r="K11" t="str">
        <f t="shared" ca="1" si="2"/>
        <v>____</v>
      </c>
      <c r="L11" t="str">
        <f t="shared" ca="1" si="3"/>
        <v>OK</v>
      </c>
      <c r="M11" t="str">
        <f>IFERROR(INDEX(Inventory!A:A,MATCH(Scan!A11,Inventory!E:E,0)),"")</f>
        <v>HP USB Business Slim Keyboard - Hungarian</v>
      </c>
    </row>
    <row r="12" spans="1:16" x14ac:dyDescent="0.3">
      <c r="A12" s="4" t="s">
        <v>689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F12" t="str">
        <f t="shared" si="1"/>
        <v>_</v>
      </c>
      <c r="K12" t="str">
        <f t="shared" ca="1" si="2"/>
        <v>____</v>
      </c>
      <c r="L12" t="str">
        <f t="shared" ca="1" si="3"/>
        <v>OK</v>
      </c>
      <c r="M12" t="str">
        <f>IFERROR(INDEX(Inventory!A:A,MATCH(Scan!A12,Inventory!E:E,0)),"")</f>
        <v>USB 3.0 to Gigabit Ethernet Fiber Optic Network Adapter - 1000Base-SX SC</v>
      </c>
    </row>
    <row r="13" spans="1:16" x14ac:dyDescent="0.3">
      <c r="A13" s="4" t="s">
        <v>651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F13" t="str">
        <f t="shared" si="1"/>
        <v>_</v>
      </c>
      <c r="K13" t="str">
        <f t="shared" ca="1" si="2"/>
        <v>____</v>
      </c>
      <c r="L13" t="str">
        <f t="shared" ca="1" si="3"/>
        <v>OK</v>
      </c>
      <c r="M13" t="str">
        <f>IFERROR(INDEX(Inventory!A:A,MATCH(Scan!A13,Inventory!E:E,0)),"")</f>
        <v>HP EliteDisplay E243i</v>
      </c>
    </row>
    <row r="14" spans="1:16" x14ac:dyDescent="0.3">
      <c r="A14" s="4" t="s">
        <v>653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F14" t="str">
        <f t="shared" si="1"/>
        <v>_</v>
      </c>
      <c r="K14" t="str">
        <f t="shared" ca="1" si="2"/>
        <v>____</v>
      </c>
      <c r="L14" t="str">
        <f t="shared" ca="1" si="3"/>
        <v>OK</v>
      </c>
      <c r="M14" t="str">
        <f>IFERROR(INDEX(Inventory!A:A,MATCH(Scan!A14,Inventory!E:E,0)),"")</f>
        <v>HP EliteDisplay E243i</v>
      </c>
    </row>
    <row r="15" spans="1:16" x14ac:dyDescent="0.3">
      <c r="A15" s="4" t="s">
        <v>646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F15" t="str">
        <f t="shared" si="1"/>
        <v>_</v>
      </c>
      <c r="K15" t="str">
        <f t="shared" ca="1" si="2"/>
        <v>____</v>
      </c>
      <c r="L15" t="str">
        <f t="shared" ca="1" si="3"/>
        <v>OK</v>
      </c>
      <c r="M15" t="str">
        <f>IFERROR(INDEX(Inventory!A:A,MATCH(Scan!A15,Inventory!E:E,0)),"")</f>
        <v>HP ZBOOK 17 G4</v>
      </c>
    </row>
    <row r="16" spans="1:16" x14ac:dyDescent="0.3">
      <c r="A16" s="4" t="s">
        <v>648</v>
      </c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_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F16" t="str">
        <f t="shared" si="1"/>
        <v>_</v>
      </c>
      <c r="K16" t="str">
        <f t="shared" ca="1" si="2"/>
        <v>____</v>
      </c>
      <c r="L16" t="str">
        <f t="shared" ca="1" si="3"/>
        <v>OK</v>
      </c>
      <c r="M16" t="str">
        <f>IFERROR(INDEX(Inventory!A:A,MATCH(Scan!A16,Inventory!E:E,0)),"")</f>
        <v>HP USB Business Slim Keyboard - Hungarian</v>
      </c>
    </row>
    <row r="17" spans="1:13" x14ac:dyDescent="0.3">
      <c r="A17" s="4" t="s">
        <v>649</v>
      </c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_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F17" t="str">
        <f t="shared" si="1"/>
        <v>_</v>
      </c>
      <c r="K17" t="str">
        <f t="shared" ca="1" si="2"/>
        <v>____</v>
      </c>
      <c r="L17" t="str">
        <f t="shared" ca="1" si="3"/>
        <v>OK</v>
      </c>
      <c r="M17" t="str">
        <f>IFERROR(INDEX(Inventory!A:A,MATCH(Scan!A17,Inventory!E:E,0)),"")</f>
        <v>USB 3.0 to Gigabit Ethernet Fiber Optic Network Adapter - 1000Base-SX SC</v>
      </c>
    </row>
    <row r="18" spans="1:13" x14ac:dyDescent="0.3">
      <c r="A18" s="4" t="s">
        <v>650</v>
      </c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_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F18" t="str">
        <f t="shared" si="1"/>
        <v>_</v>
      </c>
      <c r="K18" t="str">
        <f t="shared" ca="1" si="2"/>
        <v>____</v>
      </c>
      <c r="L18" t="str">
        <f t="shared" ca="1" si="3"/>
        <v>OK</v>
      </c>
      <c r="M18" t="str">
        <f>IFERROR(INDEX(Inventory!A:A,MATCH(Scan!A18,Inventory!E:E,0)),"")</f>
        <v>Thunderbolts 3 to dual DisplayPort Adapter</v>
      </c>
    </row>
    <row r="19" spans="1:13" x14ac:dyDescent="0.3">
      <c r="A19" s="4" t="s">
        <v>660</v>
      </c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_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F19" t="str">
        <f t="shared" si="1"/>
        <v>_</v>
      </c>
      <c r="K19" t="str">
        <f t="shared" ca="1" si="2"/>
        <v>____</v>
      </c>
      <c r="L19" t="str">
        <f t="shared" ca="1" si="3"/>
        <v>OK</v>
      </c>
      <c r="M19" t="str">
        <f>IFERROR(INDEX(Inventory!A:A,MATCH(Scan!A19,Inventory!E:E,0)),"")</f>
        <v>HP EliteDisplay E243i</v>
      </c>
    </row>
    <row r="20" spans="1:13" x14ac:dyDescent="0.3">
      <c r="A20" s="4" t="s">
        <v>662</v>
      </c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_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F20" t="str">
        <f t="shared" si="1"/>
        <v>_</v>
      </c>
      <c r="K20" t="str">
        <f t="shared" ca="1" si="2"/>
        <v>____</v>
      </c>
      <c r="L20" t="str">
        <f t="shared" ca="1" si="3"/>
        <v>OK</v>
      </c>
      <c r="M20" t="str">
        <f>IFERROR(INDEX(Inventory!A:A,MATCH(Scan!A20,Inventory!E:E,0)),"")</f>
        <v>HP EliteDisplay E243i</v>
      </c>
    </row>
    <row r="21" spans="1:13" x14ac:dyDescent="0.3">
      <c r="A21" s="4" t="s">
        <v>658</v>
      </c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_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F21" t="str">
        <f t="shared" si="1"/>
        <v>_</v>
      </c>
      <c r="K21" t="str">
        <f t="shared" ca="1" si="2"/>
        <v>____</v>
      </c>
      <c r="L21" t="str">
        <f t="shared" ca="1" si="3"/>
        <v>OK</v>
      </c>
      <c r="M21" t="str">
        <f>IFERROR(INDEX(Inventory!A:A,MATCH(Scan!A21,Inventory!E:E,0)),"")</f>
        <v>USB 3.0 to Gigabit Ethernet Fiber Optic Network Adapter - 1000Base-SX SC</v>
      </c>
    </row>
    <row r="22" spans="1:13" x14ac:dyDescent="0.3">
      <c r="A22" s="4" t="s">
        <v>659</v>
      </c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_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F22" t="str">
        <f t="shared" si="1"/>
        <v>_</v>
      </c>
      <c r="K22" t="str">
        <f t="shared" ca="1" si="2"/>
        <v>____</v>
      </c>
      <c r="L22" t="str">
        <f t="shared" ca="1" si="3"/>
        <v>OK</v>
      </c>
      <c r="M22" t="str">
        <f>IFERROR(INDEX(Inventory!A:A,MATCH(Scan!A22,Inventory!E:E,0)),"")</f>
        <v>Thunderbolts 3 to dual DisplayPort Adapter</v>
      </c>
    </row>
    <row r="23" spans="1:13" x14ac:dyDescent="0.3">
      <c r="A23" s="4" t="s">
        <v>655</v>
      </c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_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F23" t="str">
        <f t="shared" si="1"/>
        <v>_</v>
      </c>
      <c r="K23" t="str">
        <f t="shared" ca="1" si="2"/>
        <v>____</v>
      </c>
      <c r="L23" t="str">
        <f t="shared" ca="1" si="3"/>
        <v>OK</v>
      </c>
      <c r="M23" t="str">
        <f>IFERROR(INDEX(Inventory!A:A,MATCH(Scan!A23,Inventory!E:E,0)),"")</f>
        <v>HP ZBOOK 17 G4</v>
      </c>
    </row>
    <row r="24" spans="1:13" x14ac:dyDescent="0.3">
      <c r="A24" s="4" t="s">
        <v>657</v>
      </c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_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F24" t="str">
        <f t="shared" si="1"/>
        <v>_</v>
      </c>
      <c r="K24" t="str">
        <f t="shared" ca="1" si="2"/>
        <v>____</v>
      </c>
      <c r="L24" t="str">
        <f t="shared" ca="1" si="3"/>
        <v>OK</v>
      </c>
      <c r="M24" t="str">
        <f>IFERROR(INDEX(Inventory!A:A,MATCH(Scan!A24,Inventory!E:E,0)),"")</f>
        <v>HP USB Business Slim Keyboard - Hungarian</v>
      </c>
    </row>
    <row r="25" spans="1:13" x14ac:dyDescent="0.3">
      <c r="A25" s="4" t="s">
        <v>628</v>
      </c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_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F25" t="str">
        <f t="shared" si="1"/>
        <v>_</v>
      </c>
      <c r="K25" t="str">
        <f t="shared" ca="1" si="2"/>
        <v>____</v>
      </c>
      <c r="L25" t="str">
        <f t="shared" ca="1" si="3"/>
        <v>OK</v>
      </c>
      <c r="M25" t="str">
        <f>IFERROR(INDEX(Inventory!A:A,MATCH(Scan!A25,Inventory!E:E,0)),"")</f>
        <v>HP EliteDisplay E243i</v>
      </c>
    </row>
    <row r="26" spans="1:13" x14ac:dyDescent="0.3">
      <c r="A26" s="4" t="s">
        <v>630</v>
      </c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_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F26" t="str">
        <f t="shared" si="1"/>
        <v>_</v>
      </c>
      <c r="K26" t="str">
        <f t="shared" ca="1" si="2"/>
        <v>____</v>
      </c>
      <c r="L26" t="str">
        <f t="shared" ca="1" si="3"/>
        <v>OK</v>
      </c>
      <c r="M26" t="str">
        <f>IFERROR(INDEX(Inventory!A:A,MATCH(Scan!A26,Inventory!E:E,0)),"")</f>
        <v>HP EliteDisplay E243i</v>
      </c>
    </row>
    <row r="27" spans="1:13" x14ac:dyDescent="0.3">
      <c r="A27" s="4" t="s">
        <v>643</v>
      </c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_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F27" t="str">
        <f t="shared" si="1"/>
        <v>_</v>
      </c>
      <c r="K27" t="str">
        <f t="shared" ca="1" si="2"/>
        <v>____</v>
      </c>
      <c r="L27" t="str">
        <f t="shared" ca="1" si="3"/>
        <v>OK</v>
      </c>
      <c r="M27" t="str">
        <f>IFERROR(INDEX(Inventory!A:A,MATCH(Scan!A27,Inventory!E:E,0)),"")</f>
        <v>HP EliteDisplay E243i</v>
      </c>
    </row>
    <row r="28" spans="1:13" x14ac:dyDescent="0.3">
      <c r="A28" s="4" t="s">
        <v>641</v>
      </c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_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F28" t="str">
        <f t="shared" si="1"/>
        <v>_</v>
      </c>
      <c r="K28" t="str">
        <f t="shared" ca="1" si="2"/>
        <v>____</v>
      </c>
      <c r="L28" t="str">
        <f t="shared" ca="1" si="3"/>
        <v>OK</v>
      </c>
      <c r="M28" t="str">
        <f>IFERROR(INDEX(Inventory!A:A,MATCH(Scan!A28,Inventory!E:E,0)),"")</f>
        <v>HP EliteDisplay E243i</v>
      </c>
    </row>
    <row r="29" spans="1:13" x14ac:dyDescent="0.3">
      <c r="A29" s="4" t="s">
        <v>620</v>
      </c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_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F29" t="str">
        <f t="shared" si="1"/>
        <v>_</v>
      </c>
      <c r="K29" t="str">
        <f t="shared" ca="1" si="2"/>
        <v>____</v>
      </c>
      <c r="L29" t="str">
        <f t="shared" ca="1" si="3"/>
        <v>OK</v>
      </c>
      <c r="M29" t="str">
        <f>IFERROR(INDEX(Inventory!A:A,MATCH(Scan!A29,Inventory!E:E,0)),"")</f>
        <v>HP ZBOOK 17 G4</v>
      </c>
    </row>
    <row r="30" spans="1:13" x14ac:dyDescent="0.3">
      <c r="A30" s="4" t="s">
        <v>638</v>
      </c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_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F30" t="str">
        <f t="shared" si="1"/>
        <v>_</v>
      </c>
      <c r="K30" t="str">
        <f t="shared" ca="1" si="2"/>
        <v>____</v>
      </c>
      <c r="L30" t="str">
        <f t="shared" ca="1" si="3"/>
        <v>OK</v>
      </c>
      <c r="M30" t="str">
        <f>IFERROR(INDEX(Inventory!A:A,MATCH(Scan!A30,Inventory!E:E,0)),"")</f>
        <v>HP USB Business Slim Keyboard - Hungarian</v>
      </c>
    </row>
    <row r="31" spans="1:13" x14ac:dyDescent="0.3">
      <c r="A31" s="4" t="s">
        <v>626</v>
      </c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_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F31" t="str">
        <f t="shared" si="1"/>
        <v>_</v>
      </c>
      <c r="K31" t="str">
        <f t="shared" ca="1" si="2"/>
        <v>____</v>
      </c>
      <c r="L31" t="str">
        <f t="shared" ca="1" si="3"/>
        <v>OK</v>
      </c>
      <c r="M31" t="str">
        <f>IFERROR(INDEX(Inventory!A:A,MATCH(Scan!A31,Inventory!E:E,0)),"")</f>
        <v>HP USB Business Slim Keyboard - Hungarian</v>
      </c>
    </row>
    <row r="32" spans="1:13" x14ac:dyDescent="0.3">
      <c r="A32" s="4" t="s">
        <v>636</v>
      </c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_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F32" t="str">
        <f t="shared" si="1"/>
        <v>_</v>
      </c>
      <c r="K32" t="str">
        <f t="shared" ca="1" si="2"/>
        <v>____</v>
      </c>
      <c r="L32" t="str">
        <f t="shared" ca="1" si="3"/>
        <v>OK</v>
      </c>
      <c r="M32" t="str">
        <f>IFERROR(INDEX(Inventory!A:A,MATCH(Scan!A32,Inventory!E:E,0)),"")</f>
        <v>HP ZBOOK 17 G4</v>
      </c>
    </row>
    <row r="33" spans="1:13" x14ac:dyDescent="0.3">
      <c r="A33" s="4" t="s">
        <v>639</v>
      </c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_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F33" t="str">
        <f t="shared" si="1"/>
        <v>_</v>
      </c>
      <c r="K33" t="str">
        <f t="shared" ca="1" si="2"/>
        <v>____</v>
      </c>
      <c r="L33" t="str">
        <f t="shared" ca="1" si="3"/>
        <v>OK</v>
      </c>
      <c r="M33" t="str">
        <f>IFERROR(INDEX(Inventory!A:A,MATCH(Scan!A33,Inventory!E:E,0)),"")</f>
        <v>USB 3.0 to Gigabit Ethernet Fiber Optic Network Adapter - 1000Base-SX SC</v>
      </c>
    </row>
    <row r="34" spans="1:13" x14ac:dyDescent="0.3">
      <c r="A34" s="4" t="s">
        <v>640</v>
      </c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_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F34" t="str">
        <f t="shared" si="1"/>
        <v>_</v>
      </c>
      <c r="K34" t="str">
        <f t="shared" ca="1" si="2"/>
        <v>____</v>
      </c>
      <c r="L34" t="str">
        <f t="shared" ca="1" si="3"/>
        <v>OK</v>
      </c>
      <c r="M34" t="str">
        <f>IFERROR(INDEX(Inventory!A:A,MATCH(Scan!A34,Inventory!E:E,0)),"")</f>
        <v>Thunderbolts 3 to dual DisplayPort Adapter</v>
      </c>
    </row>
    <row r="35" spans="1:13" x14ac:dyDescent="0.3">
      <c r="A35" s="4" t="s">
        <v>627</v>
      </c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_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F35" t="str">
        <f t="shared" si="1"/>
        <v>_</v>
      </c>
      <c r="K35" t="str">
        <f t="shared" ca="1" si="2"/>
        <v>____</v>
      </c>
      <c r="L35" t="str">
        <f t="shared" ca="1" si="3"/>
        <v>OK</v>
      </c>
      <c r="M35" t="str">
        <f>IFERROR(INDEX(Inventory!A:A,MATCH(Scan!A35,Inventory!E:E,0)),"")</f>
        <v>Thunderbolts 3 to dual DisplayPort Adapter</v>
      </c>
    </row>
    <row r="36" spans="1:13" x14ac:dyDescent="0.3">
      <c r="A36" s="4" t="s">
        <v>635</v>
      </c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_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F36" t="str">
        <f t="shared" si="1"/>
        <v>_</v>
      </c>
      <c r="K36" t="str">
        <f t="shared" ca="1" si="2"/>
        <v>____</v>
      </c>
      <c r="L36" t="str">
        <f t="shared" ca="1" si="3"/>
        <v>OK</v>
      </c>
      <c r="M36" t="str">
        <f>IFERROR(INDEX(Inventory!A:A,MATCH(Scan!A36,Inventory!E:E,0)),"")</f>
        <v>OSINT Data Collection - WD Elements Portable SE 2TB USB 3.0 2.5In</v>
      </c>
    </row>
    <row r="37" spans="1:13" x14ac:dyDescent="0.3">
      <c r="A37" s="4" t="s">
        <v>634</v>
      </c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_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F37" t="str">
        <f t="shared" si="1"/>
        <v>_</v>
      </c>
      <c r="K37" t="str">
        <f t="shared" ca="1" si="2"/>
        <v>____</v>
      </c>
      <c r="L37" t="str">
        <f t="shared" ca="1" si="3"/>
        <v>OK</v>
      </c>
      <c r="M37" t="str">
        <f>IFERROR(INDEX(Inventory!A:A,MATCH(Scan!A37,Inventory!E:E,0)),"")</f>
        <v>OSINT Data Collection - WD Elements Portable SE 2TB USB 3.0 2.5In</v>
      </c>
    </row>
    <row r="38" spans="1:13" x14ac:dyDescent="0.3">
      <c r="A38" s="4" t="s">
        <v>672</v>
      </c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_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F38" t="str">
        <f t="shared" si="1"/>
        <v>_</v>
      </c>
      <c r="K38" t="str">
        <f t="shared" ca="1" si="2"/>
        <v>____</v>
      </c>
      <c r="L38" t="str">
        <f t="shared" ca="1" si="3"/>
        <v>OK</v>
      </c>
      <c r="M38" t="str">
        <f>IFERROR(INDEX(Inventory!A:A,MATCH(Scan!A38,Inventory!E:E,0)),"")</f>
        <v>HP EliteDisplay E243i</v>
      </c>
    </row>
    <row r="39" spans="1:13" x14ac:dyDescent="0.3">
      <c r="A39" s="4" t="s">
        <v>670</v>
      </c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_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F39" t="str">
        <f t="shared" si="1"/>
        <v>_</v>
      </c>
      <c r="K39" t="str">
        <f t="shared" ca="1" si="2"/>
        <v>____</v>
      </c>
      <c r="L39" t="str">
        <f t="shared" ca="1" si="3"/>
        <v>OK</v>
      </c>
      <c r="M39" t="str">
        <f>IFERROR(INDEX(Inventory!A:A,MATCH(Scan!A39,Inventory!E:E,0)),"")</f>
        <v>HP EliteDisplay E243i</v>
      </c>
    </row>
    <row r="40" spans="1:13" x14ac:dyDescent="0.3">
      <c r="A40" s="4" t="s">
        <v>665</v>
      </c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_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F40" t="str">
        <f t="shared" si="1"/>
        <v>_</v>
      </c>
      <c r="K40" t="str">
        <f t="shared" ca="1" si="2"/>
        <v>____</v>
      </c>
      <c r="L40" t="str">
        <f t="shared" ca="1" si="3"/>
        <v>OK</v>
      </c>
      <c r="M40" t="str">
        <f>IFERROR(INDEX(Inventory!A:A,MATCH(Scan!A40,Inventory!E:E,0)),"")</f>
        <v>HP ZBOOK 17 G4</v>
      </c>
    </row>
    <row r="41" spans="1:13" x14ac:dyDescent="0.3">
      <c r="A41" s="4" t="s">
        <v>667</v>
      </c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_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F41" t="str">
        <f t="shared" si="1"/>
        <v>_</v>
      </c>
      <c r="K41" t="str">
        <f t="shared" ca="1" si="2"/>
        <v>____</v>
      </c>
      <c r="L41" t="str">
        <f t="shared" ca="1" si="3"/>
        <v>OK</v>
      </c>
      <c r="M41" t="str">
        <f>IFERROR(INDEX(Inventory!A:A,MATCH(Scan!A41,Inventory!E:E,0)),"")</f>
        <v>HP USB Business Slim Keyboard - Hungarian</v>
      </c>
    </row>
    <row r="42" spans="1:13" x14ac:dyDescent="0.3">
      <c r="A42" s="4" t="s">
        <v>669</v>
      </c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_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F42" t="str">
        <f t="shared" si="1"/>
        <v>_</v>
      </c>
      <c r="K42" t="str">
        <f t="shared" ca="1" si="2"/>
        <v>____</v>
      </c>
      <c r="L42" t="str">
        <f t="shared" ca="1" si="3"/>
        <v>OK</v>
      </c>
      <c r="M42" t="str">
        <f>IFERROR(INDEX(Inventory!A:A,MATCH(Scan!A42,Inventory!E:E,0)),"")</f>
        <v>Thunderbolts 3 to dual DisplayPort Adapter</v>
      </c>
    </row>
    <row r="43" spans="1:13" x14ac:dyDescent="0.3">
      <c r="A43" s="4" t="s">
        <v>668</v>
      </c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_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F43" t="str">
        <f t="shared" si="1"/>
        <v>_</v>
      </c>
      <c r="K43" t="str">
        <f t="shared" ca="1" si="2"/>
        <v>____</v>
      </c>
      <c r="L43" t="str">
        <f t="shared" ca="1" si="3"/>
        <v>OK</v>
      </c>
      <c r="M43" t="str">
        <f>IFERROR(INDEX(Inventory!A:A,MATCH(Scan!A43,Inventory!E:E,0)),"")</f>
        <v>USB 3.0 to Gigabit Ethernet Fiber Optic Network Adapter - 1000Base-SX SC</v>
      </c>
    </row>
    <row r="44" spans="1:13" x14ac:dyDescent="0.3">
      <c r="A44" s="4" t="s">
        <v>544</v>
      </c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_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F44" t="str">
        <f t="shared" si="1"/>
        <v>_</v>
      </c>
      <c r="K44" t="str">
        <f t="shared" ca="1" si="2"/>
        <v>____</v>
      </c>
      <c r="L44" t="str">
        <f t="shared" ca="1" si="3"/>
        <v>OK</v>
      </c>
      <c r="M44" t="str">
        <f>IFERROR(INDEX(Inventory!A:A,MATCH(Scan!A44,Inventory!E:E,0)),"")</f>
        <v>HPE DL360 Gen10 8SFF CTO Server</v>
      </c>
    </row>
    <row r="45" spans="1:13" x14ac:dyDescent="0.3">
      <c r="A45" s="4" t="s">
        <v>550</v>
      </c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_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F45" t="str">
        <f t="shared" si="1"/>
        <v>_</v>
      </c>
      <c r="K45" t="str">
        <f t="shared" ca="1" si="2"/>
        <v>____</v>
      </c>
      <c r="L45" t="str">
        <f t="shared" ca="1" si="3"/>
        <v>OK</v>
      </c>
      <c r="M45" t="str">
        <f>IFERROR(INDEX(Inventory!A:A,MATCH(Scan!A45,Inventory!E:E,0)),"")</f>
        <v>HPE DL360 Gen10 8SFF CTO Server</v>
      </c>
    </row>
    <row r="46" spans="1:13" x14ac:dyDescent="0.3">
      <c r="A46" s="4" t="s">
        <v>560</v>
      </c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_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F46" t="str">
        <f t="shared" si="1"/>
        <v>_</v>
      </c>
      <c r="K46" t="str">
        <f t="shared" ca="1" si="2"/>
        <v>____</v>
      </c>
      <c r="L46" t="str">
        <f t="shared" ca="1" si="3"/>
        <v>OK</v>
      </c>
      <c r="M46" t="str">
        <f>IFERROR(INDEX(Inventory!A:A,MATCH(Scan!A46,Inventory!E:E,0)),"")</f>
        <v>HPE DL360 Gen10 8SFF CTO Server</v>
      </c>
    </row>
    <row r="47" spans="1:13" x14ac:dyDescent="0.3">
      <c r="A47" s="4" t="s">
        <v>566</v>
      </c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_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F47" t="str">
        <f t="shared" si="1"/>
        <v>_</v>
      </c>
      <c r="K47" t="str">
        <f t="shared" ca="1" si="2"/>
        <v>____</v>
      </c>
      <c r="L47" t="str">
        <f t="shared" ca="1" si="3"/>
        <v>OK</v>
      </c>
      <c r="M47" t="str">
        <f>IFERROR(INDEX(Inventory!A:A,MATCH(Scan!A47,Inventory!E:E,0)),"")</f>
        <v>HPE DL360 Gen10 8SFF CTO Server</v>
      </c>
    </row>
    <row r="48" spans="1:13" x14ac:dyDescent="0.3">
      <c r="A48" s="4" t="s">
        <v>556</v>
      </c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_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F48" t="str">
        <f t="shared" si="1"/>
        <v>_</v>
      </c>
      <c r="K48" t="str">
        <f t="shared" ca="1" si="2"/>
        <v>____</v>
      </c>
      <c r="L48" t="str">
        <f t="shared" ca="1" si="3"/>
        <v>OK</v>
      </c>
      <c r="M48" t="str">
        <f>IFERROR(INDEX(Inventory!A:A,MATCH(Scan!A48,Inventory!E:E,0)),"")</f>
        <v>CATALYST 3850 24 PORT 10G FIBER SWITCH BASE</v>
      </c>
    </row>
    <row r="49" spans="1:13" x14ac:dyDescent="0.3">
      <c r="A49" s="4" t="s">
        <v>558</v>
      </c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_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F49" t="str">
        <f t="shared" si="1"/>
        <v>_</v>
      </c>
      <c r="K49" t="str">
        <f t="shared" ca="1" si="2"/>
        <v>____</v>
      </c>
      <c r="L49" t="str">
        <f t="shared" ca="1" si="3"/>
        <v>OK</v>
      </c>
      <c r="M49" t="str">
        <f>IFERROR(INDEX(Inventory!A:A,MATCH(Scan!A49,Inventory!E:E,0)),"")</f>
        <v>CATALYST 3850 24 PORT 10G FIBER SWITCH BASE</v>
      </c>
    </row>
    <row r="50" spans="1:13" x14ac:dyDescent="0.3">
      <c r="A50" s="4" t="s">
        <v>976</v>
      </c>
      <c r="B50" t="str">
        <f>IF(IFERROR(VLOOKUP(TRIM(A50),Inventory!E:E,1,0),0)=0,"X","_")</f>
        <v>X</v>
      </c>
      <c r="C50" t="str">
        <f>IF(IFERROR(VLOOKUP(TRIM(A50),'Full Inventory'!F:F,1,0),0)=0,"X","_")</f>
        <v>_</v>
      </c>
      <c r="D50" t="str">
        <f t="shared" si="0"/>
        <v>_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F50" t="str">
        <f t="shared" si="1"/>
        <v>_</v>
      </c>
      <c r="K50" t="str">
        <f t="shared" ca="1" si="2"/>
        <v>X___</v>
      </c>
      <c r="L50" t="str">
        <f t="shared" ca="1" si="3"/>
        <v>NOT IN INVENTORY</v>
      </c>
      <c r="M50" t="str">
        <f>IFERROR(INDEX(Inventory!A:A,MATCH(Scan!A50,Inventory!E:E,0)),"")</f>
        <v/>
      </c>
    </row>
    <row r="51" spans="1:13" x14ac:dyDescent="0.3">
      <c r="A51" s="4" t="s">
        <v>980</v>
      </c>
      <c r="B51" t="str">
        <f>IF(IFERROR(VLOOKUP(TRIM(A51),Inventory!E:E,1,0),0)=0,"X","_")</f>
        <v>X</v>
      </c>
      <c r="C51" t="str">
        <f>IF(IFERROR(VLOOKUP(TRIM(A51),'Full Inventory'!F:F,1,0),0)=0,"X","_")</f>
        <v>_</v>
      </c>
      <c r="D51" t="str">
        <f t="shared" si="0"/>
        <v>_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F51" t="str">
        <f t="shared" si="1"/>
        <v>_</v>
      </c>
      <c r="K51" t="str">
        <f t="shared" ca="1" si="2"/>
        <v>X___</v>
      </c>
      <c r="L51" t="str">
        <f t="shared" ca="1" si="3"/>
        <v>NOT IN INVENTORY</v>
      </c>
      <c r="M51" t="str">
        <f>IFERROR(INDEX(Inventory!A:A,MATCH(Scan!A51,Inventory!E:E,0)),"")</f>
        <v/>
      </c>
    </row>
    <row r="52" spans="1:13" x14ac:dyDescent="0.3">
      <c r="A52" s="4" t="s">
        <v>977</v>
      </c>
      <c r="B52" t="str">
        <f>IF(IFERROR(VLOOKUP(TRIM(A52),Inventory!E:E,1,0),0)=0,"X","_")</f>
        <v>X</v>
      </c>
      <c r="C52" t="str">
        <f>IF(IFERROR(VLOOKUP(TRIM(A52),'Full Inventory'!F:F,1,0),0)=0,"X","_")</f>
        <v>_</v>
      </c>
      <c r="D52" t="str">
        <f t="shared" si="0"/>
        <v>_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F52" t="str">
        <f t="shared" si="1"/>
        <v>_</v>
      </c>
      <c r="K52" t="str">
        <f t="shared" ca="1" si="2"/>
        <v>X___</v>
      </c>
      <c r="L52" t="str">
        <f t="shared" ca="1" si="3"/>
        <v>NOT IN INVENTORY</v>
      </c>
      <c r="M52" t="str">
        <f>IFERROR(INDEX(Inventory!A:A,MATCH(Scan!A52,Inventory!E:E,0)),"")</f>
        <v/>
      </c>
    </row>
    <row r="53" spans="1:13" x14ac:dyDescent="0.3">
      <c r="A53" s="4" t="s">
        <v>978</v>
      </c>
      <c r="B53" t="str">
        <f>IF(IFERROR(VLOOKUP(TRIM(A53),Inventory!E:E,1,0),0)=0,"X","_")</f>
        <v>X</v>
      </c>
      <c r="C53" t="str">
        <f>IF(IFERROR(VLOOKUP(TRIM(A53),'Full Inventory'!F:F,1,0),0)=0,"X","_")</f>
        <v>_</v>
      </c>
      <c r="D53" t="str">
        <f t="shared" si="0"/>
        <v>_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F53" t="str">
        <f t="shared" si="1"/>
        <v>_</v>
      </c>
      <c r="K53" t="str">
        <f t="shared" ca="1" si="2"/>
        <v>X___</v>
      </c>
      <c r="L53" t="str">
        <f t="shared" ca="1" si="3"/>
        <v>NOT IN INVENTORY</v>
      </c>
      <c r="M53" t="str">
        <f>IFERROR(INDEX(Inventory!A:A,MATCH(Scan!A53,Inventory!E:E,0)),"")</f>
        <v/>
      </c>
    </row>
    <row r="54" spans="1:13" x14ac:dyDescent="0.3">
      <c r="A54" s="4" t="s">
        <v>981</v>
      </c>
      <c r="B54" t="str">
        <f>IF(IFERROR(VLOOKUP(TRIM(A54),Inventory!E:E,1,0),0)=0,"X","_")</f>
        <v>X</v>
      </c>
      <c r="C54" t="str">
        <f>IF(IFERROR(VLOOKUP(TRIM(A54),'Full Inventory'!F:F,1,0),0)=0,"X","_")</f>
        <v>_</v>
      </c>
      <c r="D54" t="str">
        <f t="shared" si="0"/>
        <v>_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F54" t="str">
        <f t="shared" si="1"/>
        <v>_</v>
      </c>
      <c r="K54" t="str">
        <f t="shared" ca="1" si="2"/>
        <v>X___</v>
      </c>
      <c r="L54" t="str">
        <f t="shared" ca="1" si="3"/>
        <v>NOT IN INVENTORY</v>
      </c>
      <c r="M54" t="str">
        <f>IFERROR(INDEX(Inventory!A:A,MATCH(Scan!A54,Inventory!E:E,0)),"")</f>
        <v/>
      </c>
    </row>
    <row r="55" spans="1:13" x14ac:dyDescent="0.3">
      <c r="A55" s="4" t="s">
        <v>983</v>
      </c>
      <c r="B55" t="str">
        <f>IF(IFERROR(VLOOKUP(TRIM(A55),Inventory!E:E,1,0),0)=0,"X","_")</f>
        <v>X</v>
      </c>
      <c r="C55" t="str">
        <f>IF(IFERROR(VLOOKUP(TRIM(A55),'Full Inventory'!F:F,1,0),0)=0,"X","_")</f>
        <v>_</v>
      </c>
      <c r="D55" t="str">
        <f t="shared" si="0"/>
        <v>_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F55" t="str">
        <f t="shared" si="1"/>
        <v>_</v>
      </c>
      <c r="K55" t="str">
        <f t="shared" ca="1" si="2"/>
        <v>X___</v>
      </c>
      <c r="L55" t="str">
        <f t="shared" ca="1" si="3"/>
        <v>NOT IN INVENTORY</v>
      </c>
      <c r="M55" t="str">
        <f>IFERROR(INDEX(Inventory!A:A,MATCH(Scan!A55,Inventory!E:E,0)),"")</f>
        <v/>
      </c>
    </row>
    <row r="56" spans="1:13" x14ac:dyDescent="0.3">
      <c r="A56" s="4" t="s">
        <v>982</v>
      </c>
      <c r="B56" t="str">
        <f>IF(IFERROR(VLOOKUP(TRIM(A56),Inventory!E:E,1,0),0)=0,"X","_")</f>
        <v>X</v>
      </c>
      <c r="C56" t="str">
        <f>IF(IFERROR(VLOOKUP(TRIM(A56),'Full Inventory'!F:F,1,0),0)=0,"X","_")</f>
        <v>_</v>
      </c>
      <c r="D56" t="str">
        <f t="shared" si="0"/>
        <v>_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F56" t="str">
        <f t="shared" si="1"/>
        <v>_</v>
      </c>
      <c r="K56" t="str">
        <f t="shared" ca="1" si="2"/>
        <v>X___</v>
      </c>
      <c r="L56" t="str">
        <f t="shared" ca="1" si="3"/>
        <v>NOT IN INVENTORY</v>
      </c>
      <c r="M56" t="str">
        <f>IFERROR(INDEX(Inventory!A:A,MATCH(Scan!A56,Inventory!E:E,0)),"")</f>
        <v/>
      </c>
    </row>
    <row r="57" spans="1:13" x14ac:dyDescent="0.3">
      <c r="A57" s="4" t="s">
        <v>992</v>
      </c>
      <c r="B57" t="str">
        <f>IF(IFERROR(VLOOKUP(TRIM(A57),Inventory!E:E,1,0),0)=0,"X","_")</f>
        <v>X</v>
      </c>
      <c r="C57" t="str">
        <f>IF(IFERROR(VLOOKUP(TRIM(A57),'Full Inventory'!F:F,1,0),0)=0,"X","_")</f>
        <v>_</v>
      </c>
      <c r="D57" t="str">
        <f t="shared" si="0"/>
        <v>_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F57" t="str">
        <f t="shared" si="1"/>
        <v>_</v>
      </c>
      <c r="K57" t="str">
        <f t="shared" ca="1" si="2"/>
        <v>X___</v>
      </c>
      <c r="L57" t="str">
        <f t="shared" ca="1" si="3"/>
        <v>NOT IN INVENTORY</v>
      </c>
      <c r="M57" t="str">
        <f>IFERROR(INDEX(Inventory!A:A,MATCH(Scan!A57,Inventory!E:E,0)),"")</f>
        <v/>
      </c>
    </row>
    <row r="58" spans="1:13" x14ac:dyDescent="0.3">
      <c r="A58" s="4" t="s">
        <v>994</v>
      </c>
      <c r="B58" t="str">
        <f>IF(IFERROR(VLOOKUP(TRIM(A58),Inventory!E:E,1,0),0)=0,"X","_")</f>
        <v>X</v>
      </c>
      <c r="C58" t="str">
        <f>IF(IFERROR(VLOOKUP(TRIM(A58),'Full Inventory'!F:F,1,0),0)=0,"X","_")</f>
        <v>_</v>
      </c>
      <c r="D58" t="str">
        <f t="shared" si="0"/>
        <v>_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F58" t="str">
        <f t="shared" si="1"/>
        <v>_</v>
      </c>
      <c r="K58" t="str">
        <f t="shared" ca="1" si="2"/>
        <v>X___</v>
      </c>
      <c r="L58" t="str">
        <f t="shared" ca="1" si="3"/>
        <v>NOT IN INVENTORY</v>
      </c>
      <c r="M58" t="str">
        <f>IFERROR(INDEX(Inventory!A:A,MATCH(Scan!A58,Inventory!E:E,0)),"")</f>
        <v/>
      </c>
    </row>
    <row r="59" spans="1:13" x14ac:dyDescent="0.3">
      <c r="A59" s="4" t="s">
        <v>993</v>
      </c>
      <c r="B59" t="str">
        <f>IF(IFERROR(VLOOKUP(TRIM(A59),Inventory!E:E,1,0),0)=0,"X","_")</f>
        <v>X</v>
      </c>
      <c r="C59" t="str">
        <f>IF(IFERROR(VLOOKUP(TRIM(A59),'Full Inventory'!F:F,1,0),0)=0,"X","_")</f>
        <v>_</v>
      </c>
      <c r="D59" t="str">
        <f t="shared" si="0"/>
        <v>_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F59" t="str">
        <f t="shared" si="1"/>
        <v>_</v>
      </c>
      <c r="K59" t="str">
        <f t="shared" ca="1" si="2"/>
        <v>X___</v>
      </c>
      <c r="L59" t="str">
        <f t="shared" ca="1" si="3"/>
        <v>NOT IN INVENTORY</v>
      </c>
      <c r="M59" t="str">
        <f>IFERROR(INDEX(Inventory!A:A,MATCH(Scan!A59,Inventory!E:E,0)),"")</f>
        <v/>
      </c>
    </row>
    <row r="60" spans="1:13" x14ac:dyDescent="0.3">
      <c r="A60" s="4" t="s">
        <v>995</v>
      </c>
      <c r="B60" t="str">
        <f>IF(IFERROR(VLOOKUP(TRIM(A60),Inventory!E:E,1,0),0)=0,"X","_")</f>
        <v>X</v>
      </c>
      <c r="C60" t="str">
        <f>IF(IFERROR(VLOOKUP(TRIM(A60),'Full Inventory'!F:F,1,0),0)=0,"X","_")</f>
        <v>_</v>
      </c>
      <c r="D60" t="str">
        <f t="shared" si="0"/>
        <v>_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F60" t="str">
        <f t="shared" si="1"/>
        <v>_</v>
      </c>
      <c r="K60" t="str">
        <f t="shared" ca="1" si="2"/>
        <v>X___</v>
      </c>
      <c r="L60" t="str">
        <f t="shared" ca="1" si="3"/>
        <v>NOT IN INVENTORY</v>
      </c>
      <c r="M60" t="str">
        <f>IFERROR(INDEX(Inventory!A:A,MATCH(Scan!A60,Inventory!E:E,0)),"")</f>
        <v/>
      </c>
    </row>
    <row r="61" spans="1:13" x14ac:dyDescent="0.3">
      <c r="A61" s="4" t="s">
        <v>988</v>
      </c>
      <c r="B61" t="str">
        <f>IF(IFERROR(VLOOKUP(TRIM(A61),Inventory!E:E,1,0),0)=0,"X","_")</f>
        <v>X</v>
      </c>
      <c r="C61" t="str">
        <f>IF(IFERROR(VLOOKUP(TRIM(A61),'Full Inventory'!F:F,1,0),0)=0,"X","_")</f>
        <v>_</v>
      </c>
      <c r="D61" t="str">
        <f t="shared" si="0"/>
        <v>_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F61" t="str">
        <f t="shared" si="1"/>
        <v>_</v>
      </c>
      <c r="K61" t="str">
        <f t="shared" ca="1" si="2"/>
        <v>X___</v>
      </c>
      <c r="L61" t="str">
        <f t="shared" ca="1" si="3"/>
        <v>NOT IN INVENTORY</v>
      </c>
      <c r="M61" t="str">
        <f>IFERROR(INDEX(Inventory!A:A,MATCH(Scan!A61,Inventory!E:E,0)),"")</f>
        <v/>
      </c>
    </row>
    <row r="62" spans="1:13" x14ac:dyDescent="0.3">
      <c r="A62" s="4" t="s">
        <v>984</v>
      </c>
      <c r="B62" t="str">
        <f>IF(IFERROR(VLOOKUP(TRIM(A62),Inventory!E:E,1,0),0)=0,"X","_")</f>
        <v>X</v>
      </c>
      <c r="C62" t="str">
        <f>IF(IFERROR(VLOOKUP(TRIM(A62),'Full Inventory'!F:F,1,0),0)=0,"X","_")</f>
        <v>_</v>
      </c>
      <c r="D62" t="str">
        <f t="shared" si="0"/>
        <v>_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F62" t="str">
        <f t="shared" si="1"/>
        <v>_</v>
      </c>
      <c r="K62" t="str">
        <f t="shared" ca="1" si="2"/>
        <v>X___</v>
      </c>
      <c r="L62" t="str">
        <f t="shared" ca="1" si="3"/>
        <v>NOT IN INVENTORY</v>
      </c>
      <c r="M62" t="str">
        <f>IFERROR(INDEX(Inventory!A:A,MATCH(Scan!A62,Inventory!E:E,0)),"")</f>
        <v/>
      </c>
    </row>
    <row r="63" spans="1:13" x14ac:dyDescent="0.3">
      <c r="A63" s="4" t="s">
        <v>985</v>
      </c>
      <c r="B63" t="str">
        <f>IF(IFERROR(VLOOKUP(TRIM(A63),Inventory!E:E,1,0),0)=0,"X","_")</f>
        <v>X</v>
      </c>
      <c r="C63" t="str">
        <f>IF(IFERROR(VLOOKUP(TRIM(A63),'Full Inventory'!F:F,1,0),0)=0,"X","_")</f>
        <v>_</v>
      </c>
      <c r="D63" t="str">
        <f t="shared" si="0"/>
        <v>_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F63" t="str">
        <f t="shared" si="1"/>
        <v>_</v>
      </c>
      <c r="K63" t="str">
        <f t="shared" ca="1" si="2"/>
        <v>X___</v>
      </c>
      <c r="L63" t="str">
        <f t="shared" ca="1" si="3"/>
        <v>NOT IN INVENTORY</v>
      </c>
      <c r="M63" t="str">
        <f>IFERROR(INDEX(Inventory!A:A,MATCH(Scan!A63,Inventory!E:E,0)),"")</f>
        <v/>
      </c>
    </row>
    <row r="64" spans="1:13" x14ac:dyDescent="0.3">
      <c r="A64" s="4" t="s">
        <v>987</v>
      </c>
      <c r="B64" t="str">
        <f>IF(IFERROR(VLOOKUP(TRIM(A64),Inventory!E:E,1,0),0)=0,"X","_")</f>
        <v>X</v>
      </c>
      <c r="C64" t="str">
        <f>IF(IFERROR(VLOOKUP(TRIM(A64),'Full Inventory'!F:F,1,0),0)=0,"X","_")</f>
        <v>_</v>
      </c>
      <c r="D64" t="str">
        <f t="shared" si="0"/>
        <v>_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F64" t="str">
        <f t="shared" si="1"/>
        <v>_</v>
      </c>
      <c r="K64" t="str">
        <f t="shared" ca="1" si="2"/>
        <v>X___</v>
      </c>
      <c r="L64" t="str">
        <f t="shared" ca="1" si="3"/>
        <v>NOT IN INVENTORY</v>
      </c>
      <c r="M64" t="str">
        <f>IFERROR(INDEX(Inventory!A:A,MATCH(Scan!A64,Inventory!E:E,0)),"")</f>
        <v/>
      </c>
    </row>
    <row r="65" spans="1:13" x14ac:dyDescent="0.3">
      <c r="A65" s="4" t="s">
        <v>986</v>
      </c>
      <c r="B65" t="str">
        <f>IF(IFERROR(VLOOKUP(TRIM(A65),Inventory!E:E,1,0),0)=0,"X","_")</f>
        <v>X</v>
      </c>
      <c r="C65" t="str">
        <f>IF(IFERROR(VLOOKUP(TRIM(A65),'Full Inventory'!F:F,1,0),0)=0,"X","_")</f>
        <v>_</v>
      </c>
      <c r="D65" t="str">
        <f t="shared" si="0"/>
        <v>_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F65" t="str">
        <f t="shared" si="1"/>
        <v>_</v>
      </c>
      <c r="K65" t="str">
        <f t="shared" ca="1" si="2"/>
        <v>X___</v>
      </c>
      <c r="L65" t="str">
        <f t="shared" ca="1" si="3"/>
        <v>NOT IN INVENTORY</v>
      </c>
      <c r="M65" t="str">
        <f>IFERROR(INDEX(Inventory!A:A,MATCH(Scan!A65,Inventory!E:E,0)),"")</f>
        <v/>
      </c>
    </row>
    <row r="66" spans="1:13" x14ac:dyDescent="0.3">
      <c r="A66" s="4" t="s">
        <v>990</v>
      </c>
      <c r="B66" t="str">
        <f>IF(IFERROR(VLOOKUP(TRIM(A66),Inventory!E:E,1,0),0)=0,"X","_")</f>
        <v>X</v>
      </c>
      <c r="C66" t="str">
        <f>IF(IFERROR(VLOOKUP(TRIM(A66),'Full Inventory'!F:F,1,0),0)=0,"X","_")</f>
        <v>_</v>
      </c>
      <c r="D66" t="str">
        <f t="shared" ref="D66:D129" si="4">IF(TRIM(A66)&lt;&gt;"","_","X")</f>
        <v>_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F66" t="str">
        <f t="shared" si="1"/>
        <v>_</v>
      </c>
      <c r="K66" t="str">
        <f t="shared" ca="1" si="2"/>
        <v>X___</v>
      </c>
      <c r="L66" t="str">
        <f t="shared" ca="1" si="3"/>
        <v>NOT IN INVENTORY</v>
      </c>
      <c r="M66" t="str">
        <f>IFERROR(INDEX(Inventory!A:A,MATCH(Scan!A66,Inventory!E:E,0)),"")</f>
        <v/>
      </c>
    </row>
    <row r="67" spans="1:13" x14ac:dyDescent="0.3">
      <c r="A67" s="4" t="s">
        <v>989</v>
      </c>
      <c r="B67" t="str">
        <f>IF(IFERROR(VLOOKUP(TRIM(A67),Inventory!E:E,1,0),0)=0,"X","_")</f>
        <v>X</v>
      </c>
      <c r="C67" t="str">
        <f>IF(IFERROR(VLOOKUP(TRIM(A67),'Full Inventory'!F:F,1,0),0)=0,"X","_")</f>
        <v>_</v>
      </c>
      <c r="D67" t="str">
        <f t="shared" si="4"/>
        <v>_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F67" t="str">
        <f t="shared" ref="F67:F130" si="5">IF(IFERROR(SEARCH("ö",A67),0)&gt;0,"X","_")</f>
        <v>_</v>
      </c>
      <c r="K67" t="str">
        <f t="shared" ref="K67:K130" ca="1" si="6">B67&amp;C67&amp;D67&amp;E67</f>
        <v>X___</v>
      </c>
      <c r="L67" t="str">
        <f t="shared" ref="L67:L130" ca="1" si="7">IF(K67="____","OK",IF(K67="_X__","NOT IN FULL INVENTORY",IF(K67="XX__","NOT IN FULL INVENTORY AND INVENTORY",IF(K67="X___","NOT IN INVENTORY",IF(K67="___X","DIFFERENT NAMES IN FULL INVENTORY AND INVENTORY","")))))</f>
        <v>NOT IN INVENTORY</v>
      </c>
      <c r="M67" t="str">
        <f>IFERROR(INDEX(Inventory!A:A,MATCH(Scan!A67,Inventory!E:E,0)),"")</f>
        <v/>
      </c>
    </row>
    <row r="68" spans="1:13" x14ac:dyDescent="0.3">
      <c r="A68" s="4" t="s">
        <v>991</v>
      </c>
      <c r="B68" t="str">
        <f>IF(IFERROR(VLOOKUP(TRIM(A68),Inventory!E:E,1,0),0)=0,"X","_")</f>
        <v>X</v>
      </c>
      <c r="C68" t="str">
        <f>IF(IFERROR(VLOOKUP(TRIM(A68),'Full Inventory'!F:F,1,0),0)=0,"X","_")</f>
        <v>_</v>
      </c>
      <c r="D68" t="str">
        <f t="shared" si="4"/>
        <v>_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F68" t="str">
        <f t="shared" si="5"/>
        <v>_</v>
      </c>
      <c r="K68" t="str">
        <f t="shared" ca="1" si="6"/>
        <v>X___</v>
      </c>
      <c r="L68" t="str">
        <f t="shared" ca="1" si="7"/>
        <v>NOT IN INVENTORY</v>
      </c>
      <c r="M68" t="str">
        <f>IFERROR(INDEX(Inventory!A:A,MATCH(Scan!A68,Inventory!E:E,0)),"")</f>
        <v/>
      </c>
    </row>
    <row r="69" spans="1:13" x14ac:dyDescent="0.3">
      <c r="A69" s="4" t="s">
        <v>999</v>
      </c>
      <c r="B69" t="str">
        <f>IF(IFERROR(VLOOKUP(TRIM(A69),Inventory!E:E,1,0),0)=0,"X","_")</f>
        <v>X</v>
      </c>
      <c r="C69" t="str">
        <f>IF(IFERROR(VLOOKUP(TRIM(A69),'Full Inventory'!F:F,1,0),0)=0,"X","_")</f>
        <v>_</v>
      </c>
      <c r="D69" t="str">
        <f t="shared" si="4"/>
        <v>_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F69" t="str">
        <f t="shared" si="5"/>
        <v>_</v>
      </c>
      <c r="K69" t="str">
        <f t="shared" ca="1" si="6"/>
        <v>X___</v>
      </c>
      <c r="L69" t="str">
        <f t="shared" ca="1" si="7"/>
        <v>NOT IN INVENTORY</v>
      </c>
      <c r="M69" t="str">
        <f>IFERROR(INDEX(Inventory!A:A,MATCH(Scan!A69,Inventory!E:E,0)),"")</f>
        <v/>
      </c>
    </row>
    <row r="70" spans="1:13" x14ac:dyDescent="0.3">
      <c r="A70" s="4" t="s">
        <v>998</v>
      </c>
      <c r="B70" t="str">
        <f>IF(IFERROR(VLOOKUP(TRIM(A70),Inventory!E:E,1,0),0)=0,"X","_")</f>
        <v>X</v>
      </c>
      <c r="C70" t="str">
        <f>IF(IFERROR(VLOOKUP(TRIM(A70),'Full Inventory'!F:F,1,0),0)=0,"X","_")</f>
        <v>_</v>
      </c>
      <c r="D70" t="str">
        <f t="shared" si="4"/>
        <v>_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F70" t="str">
        <f t="shared" si="5"/>
        <v>_</v>
      </c>
      <c r="K70" t="str">
        <f t="shared" ca="1" si="6"/>
        <v>X___</v>
      </c>
      <c r="L70" t="str">
        <f t="shared" ca="1" si="7"/>
        <v>NOT IN INVENTORY</v>
      </c>
      <c r="M70" t="str">
        <f>IFERROR(INDEX(Inventory!A:A,MATCH(Scan!A70,Inventory!E:E,0)),"")</f>
        <v/>
      </c>
    </row>
    <row r="71" spans="1:13" x14ac:dyDescent="0.3">
      <c r="A71" s="4" t="s">
        <v>996</v>
      </c>
      <c r="B71" t="str">
        <f>IF(IFERROR(VLOOKUP(TRIM(A71),Inventory!E:E,1,0),0)=0,"X","_")</f>
        <v>X</v>
      </c>
      <c r="C71" t="str">
        <f>IF(IFERROR(VLOOKUP(TRIM(A71),'Full Inventory'!F:F,1,0),0)=0,"X","_")</f>
        <v>_</v>
      </c>
      <c r="D71" t="str">
        <f t="shared" si="4"/>
        <v>_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F71" t="str">
        <f t="shared" si="5"/>
        <v>_</v>
      </c>
      <c r="K71" t="str">
        <f t="shared" ca="1" si="6"/>
        <v>X___</v>
      </c>
      <c r="L71" t="str">
        <f t="shared" ca="1" si="7"/>
        <v>NOT IN INVENTORY</v>
      </c>
      <c r="M71" t="str">
        <f>IFERROR(INDEX(Inventory!A:A,MATCH(Scan!A71,Inventory!E:E,0)),"")</f>
        <v/>
      </c>
    </row>
    <row r="72" spans="1:13" x14ac:dyDescent="0.3">
      <c r="A72" s="4" t="s">
        <v>997</v>
      </c>
      <c r="B72" t="str">
        <f>IF(IFERROR(VLOOKUP(TRIM(A72),Inventory!E:E,1,0),0)=0,"X","_")</f>
        <v>X</v>
      </c>
      <c r="C72" t="str">
        <f>IF(IFERROR(VLOOKUP(TRIM(A72),'Full Inventory'!F:F,1,0),0)=0,"X","_")</f>
        <v>_</v>
      </c>
      <c r="D72" t="str">
        <f t="shared" si="4"/>
        <v>_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F72" t="str">
        <f t="shared" si="5"/>
        <v>_</v>
      </c>
      <c r="K72" t="str">
        <f t="shared" ca="1" si="6"/>
        <v>X___</v>
      </c>
      <c r="L72" t="str">
        <f t="shared" ca="1" si="7"/>
        <v>NOT IN INVENTORY</v>
      </c>
      <c r="M72" t="str">
        <f>IFERROR(INDEX(Inventory!A:A,MATCH(Scan!A72,Inventory!E:E,0)),"")</f>
        <v/>
      </c>
    </row>
    <row r="73" spans="1:13" x14ac:dyDescent="0.3">
      <c r="A73" s="4" t="s">
        <v>547</v>
      </c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4"/>
        <v>_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F73" t="str">
        <f t="shared" si="5"/>
        <v>_</v>
      </c>
      <c r="K73" t="str">
        <f t="shared" ca="1" si="6"/>
        <v>____</v>
      </c>
      <c r="L73" t="str">
        <f t="shared" ca="1" si="7"/>
        <v>OK</v>
      </c>
      <c r="M73" t="str">
        <f>IFERROR(INDEX(Inventory!A:A,MATCH(Scan!A73,Inventory!E:E,0)),"")</f>
        <v>HPE BLc 10G SFP+ SR Transceiver</v>
      </c>
    </row>
    <row r="74" spans="1:13" x14ac:dyDescent="0.3">
      <c r="A74" s="4" t="s">
        <v>546</v>
      </c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4"/>
        <v>_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F74" t="str">
        <f t="shared" si="5"/>
        <v>_</v>
      </c>
      <c r="K74" t="str">
        <f t="shared" ca="1" si="6"/>
        <v>____</v>
      </c>
      <c r="L74" t="str">
        <f t="shared" ca="1" si="7"/>
        <v>OK</v>
      </c>
      <c r="M74" t="str">
        <f>IFERROR(INDEX(Inventory!A:A,MATCH(Scan!A74,Inventory!E:E,0)),"")</f>
        <v>HPE BLc 10G SFP+ SR Transceiver</v>
      </c>
    </row>
    <row r="75" spans="1:13" x14ac:dyDescent="0.3">
      <c r="A75" s="4" t="s">
        <v>549</v>
      </c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4"/>
        <v>_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F75" t="str">
        <f t="shared" si="5"/>
        <v>_</v>
      </c>
      <c r="K75" t="str">
        <f t="shared" ca="1" si="6"/>
        <v>____</v>
      </c>
      <c r="L75" t="str">
        <f t="shared" ca="1" si="7"/>
        <v>OK</v>
      </c>
      <c r="M75" t="str">
        <f>IFERROR(INDEX(Inventory!A:A,MATCH(Scan!A75,Inventory!E:E,0)),"")</f>
        <v>HPE 16G SFP+ SW XCVR-C</v>
      </c>
    </row>
    <row r="76" spans="1:13" x14ac:dyDescent="0.3">
      <c r="A76" s="4" t="s">
        <v>548</v>
      </c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4"/>
        <v>_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F76" t="str">
        <f t="shared" si="5"/>
        <v>_</v>
      </c>
      <c r="K76" t="str">
        <f t="shared" ca="1" si="6"/>
        <v>____</v>
      </c>
      <c r="L76" t="str">
        <f t="shared" ca="1" si="7"/>
        <v>OK</v>
      </c>
      <c r="M76" t="str">
        <f>IFERROR(INDEX(Inventory!A:A,MATCH(Scan!A76,Inventory!E:E,0)),"")</f>
        <v>HPE 16G SFP+ SW XCVR-C</v>
      </c>
    </row>
    <row r="77" spans="1:13" x14ac:dyDescent="0.3">
      <c r="A77" s="4" t="s">
        <v>552</v>
      </c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4"/>
        <v>_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F77" t="str">
        <f t="shared" si="5"/>
        <v>_</v>
      </c>
      <c r="K77" t="str">
        <f t="shared" ca="1" si="6"/>
        <v>____</v>
      </c>
      <c r="L77" t="str">
        <f t="shared" ca="1" si="7"/>
        <v>OK</v>
      </c>
      <c r="M77" t="str">
        <f>IFERROR(INDEX(Inventory!A:A,MATCH(Scan!A77,Inventory!E:E,0)),"")</f>
        <v>HPE BLc 10G SFP+ SR Transceiver</v>
      </c>
    </row>
    <row r="78" spans="1:13" x14ac:dyDescent="0.3">
      <c r="A78" s="4" t="s">
        <v>553</v>
      </c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4"/>
        <v>_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F78" t="str">
        <f t="shared" si="5"/>
        <v>_</v>
      </c>
      <c r="K78" t="str">
        <f t="shared" ca="1" si="6"/>
        <v>____</v>
      </c>
      <c r="L78" t="str">
        <f t="shared" ca="1" si="7"/>
        <v>OK</v>
      </c>
      <c r="M78" t="str">
        <f>IFERROR(INDEX(Inventory!A:A,MATCH(Scan!A78,Inventory!E:E,0)),"")</f>
        <v>HPE BLc 10G SFP+ SR Transceiver</v>
      </c>
    </row>
    <row r="79" spans="1:13" x14ac:dyDescent="0.3">
      <c r="A79" s="4" t="s">
        <v>554</v>
      </c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4"/>
        <v>_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F79" t="str">
        <f t="shared" si="5"/>
        <v>_</v>
      </c>
      <c r="K79" t="str">
        <f t="shared" ca="1" si="6"/>
        <v>____</v>
      </c>
      <c r="L79" t="str">
        <f t="shared" ca="1" si="7"/>
        <v>OK</v>
      </c>
      <c r="M79" t="str">
        <f>IFERROR(INDEX(Inventory!A:A,MATCH(Scan!A79,Inventory!E:E,0)),"")</f>
        <v>HPE 16G SFP+ SW XCVR-C</v>
      </c>
    </row>
    <row r="80" spans="1:13" x14ac:dyDescent="0.3">
      <c r="A80" s="4" t="s">
        <v>555</v>
      </c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4"/>
        <v>_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F80" t="str">
        <f t="shared" si="5"/>
        <v>_</v>
      </c>
      <c r="K80" t="str">
        <f t="shared" ca="1" si="6"/>
        <v>____</v>
      </c>
      <c r="L80" t="str">
        <f t="shared" ca="1" si="7"/>
        <v>OK</v>
      </c>
      <c r="M80" t="str">
        <f>IFERROR(INDEX(Inventory!A:A,MATCH(Scan!A80,Inventory!E:E,0)),"")</f>
        <v>HPE 16G SFP+ SW XCVR-C</v>
      </c>
    </row>
    <row r="81" spans="1:13" x14ac:dyDescent="0.3">
      <c r="A81" s="4" t="s">
        <v>563</v>
      </c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4"/>
        <v>_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F81" t="str">
        <f t="shared" si="5"/>
        <v>_</v>
      </c>
      <c r="K81" t="str">
        <f t="shared" ca="1" si="6"/>
        <v>____</v>
      </c>
      <c r="L81" t="str">
        <f t="shared" ca="1" si="7"/>
        <v>OK</v>
      </c>
      <c r="M81" t="str">
        <f>IFERROR(INDEX(Inventory!A:A,MATCH(Scan!A81,Inventory!E:E,0)),"")</f>
        <v>HPE BLc 10G SFP+ SR Transceiver</v>
      </c>
    </row>
    <row r="82" spans="1:13" x14ac:dyDescent="0.3">
      <c r="A82" s="4" t="s">
        <v>562</v>
      </c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4"/>
        <v>_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F82" t="str">
        <f t="shared" si="5"/>
        <v>_</v>
      </c>
      <c r="K82" t="str">
        <f t="shared" ca="1" si="6"/>
        <v>____</v>
      </c>
      <c r="L82" t="str">
        <f t="shared" ca="1" si="7"/>
        <v>OK</v>
      </c>
      <c r="M82" t="str">
        <f>IFERROR(INDEX(Inventory!A:A,MATCH(Scan!A82,Inventory!E:E,0)),"")</f>
        <v>HPE BLc 10G SFP+ SR Transceiver</v>
      </c>
    </row>
    <row r="83" spans="1:13" x14ac:dyDescent="0.3">
      <c r="A83" s="4" t="s">
        <v>568</v>
      </c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4"/>
        <v>_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F83" t="str">
        <f t="shared" si="5"/>
        <v>_</v>
      </c>
      <c r="K83" t="str">
        <f t="shared" ca="1" si="6"/>
        <v>____</v>
      </c>
      <c r="L83" t="str">
        <f t="shared" ca="1" si="7"/>
        <v>OK</v>
      </c>
      <c r="M83" t="str">
        <f>IFERROR(INDEX(Inventory!A:A,MATCH(Scan!A83,Inventory!E:E,0)),"")</f>
        <v>HPE BLc 10G SFP+ SR Transceiver</v>
      </c>
    </row>
    <row r="84" spans="1:13" x14ac:dyDescent="0.3">
      <c r="A84" s="4" t="s">
        <v>569</v>
      </c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4"/>
        <v>_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F84" t="str">
        <f t="shared" si="5"/>
        <v>_</v>
      </c>
      <c r="K84" t="str">
        <f t="shared" ca="1" si="6"/>
        <v>____</v>
      </c>
      <c r="L84" t="str">
        <f t="shared" ca="1" si="7"/>
        <v>OK</v>
      </c>
      <c r="M84" t="str">
        <f>IFERROR(INDEX(Inventory!A:A,MATCH(Scan!A84,Inventory!E:E,0)),"")</f>
        <v>HPE BLc 10G SFP+ SR Transceiver</v>
      </c>
    </row>
    <row r="85" spans="1:13" x14ac:dyDescent="0.3">
      <c r="A85" s="4" t="s">
        <v>565</v>
      </c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4"/>
        <v>_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F85" t="str">
        <f t="shared" si="5"/>
        <v>_</v>
      </c>
      <c r="K85" t="str">
        <f t="shared" ca="1" si="6"/>
        <v>____</v>
      </c>
      <c r="L85" t="str">
        <f t="shared" ca="1" si="7"/>
        <v>OK</v>
      </c>
      <c r="M85" t="str">
        <f>IFERROR(INDEX(Inventory!A:A,MATCH(Scan!A85,Inventory!E:E,0)),"")</f>
        <v>HPE 16G SFP+ SW XCVR-C</v>
      </c>
    </row>
    <row r="86" spans="1:13" x14ac:dyDescent="0.3">
      <c r="A86" s="4" t="s">
        <v>564</v>
      </c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4"/>
        <v>_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F86" t="str">
        <f t="shared" si="5"/>
        <v>_</v>
      </c>
      <c r="K86" t="str">
        <f t="shared" ca="1" si="6"/>
        <v>____</v>
      </c>
      <c r="L86" t="str">
        <f t="shared" ca="1" si="7"/>
        <v>OK</v>
      </c>
      <c r="M86" t="str">
        <f>IFERROR(INDEX(Inventory!A:A,MATCH(Scan!A86,Inventory!E:E,0)),"")</f>
        <v>HPE 16G SFP+ SW XCVR-C</v>
      </c>
    </row>
    <row r="87" spans="1:13" x14ac:dyDescent="0.3">
      <c r="A87" s="4" t="s">
        <v>571</v>
      </c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4"/>
        <v>_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F87" t="str">
        <f t="shared" si="5"/>
        <v>_</v>
      </c>
      <c r="K87" t="str">
        <f t="shared" ca="1" si="6"/>
        <v>____</v>
      </c>
      <c r="L87" t="str">
        <f t="shared" ca="1" si="7"/>
        <v>OK</v>
      </c>
      <c r="M87" t="str">
        <f>IFERROR(INDEX(Inventory!A:A,MATCH(Scan!A87,Inventory!E:E,0)),"")</f>
        <v>HPE 16G SFP+ SW XCVR-C</v>
      </c>
    </row>
    <row r="88" spans="1:13" x14ac:dyDescent="0.3">
      <c r="A88" s="4" t="s">
        <v>570</v>
      </c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4"/>
        <v>_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F88" t="str">
        <f t="shared" si="5"/>
        <v>_</v>
      </c>
      <c r="K88" t="str">
        <f t="shared" ca="1" si="6"/>
        <v>____</v>
      </c>
      <c r="L88" t="str">
        <f t="shared" ca="1" si="7"/>
        <v>OK</v>
      </c>
      <c r="M88" t="str">
        <f>IFERROR(INDEX(Inventory!A:A,MATCH(Scan!A88,Inventory!E:E,0)),"")</f>
        <v>HPE 16G SFP+ SW XCVR-C</v>
      </c>
    </row>
    <row r="89" spans="1:13" x14ac:dyDescent="0.3">
      <c r="A89" s="4" t="s">
        <v>579</v>
      </c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4"/>
        <v>_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F89" t="str">
        <f t="shared" si="5"/>
        <v>_</v>
      </c>
      <c r="K89" t="str">
        <f t="shared" ca="1" si="6"/>
        <v>____</v>
      </c>
      <c r="L89" t="str">
        <f t="shared" ca="1" si="7"/>
        <v>OK</v>
      </c>
      <c r="M89" t="str">
        <f>IFERROR(INDEX(Inventory!A:A,MATCH(Scan!A89,Inventory!E:E,0)),"")</f>
        <v>MSA 2050 SAN dual controller</v>
      </c>
    </row>
    <row r="90" spans="1:13" x14ac:dyDescent="0.3">
      <c r="A90" s="4" t="s">
        <v>580</v>
      </c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4"/>
        <v>_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F90" t="str">
        <f t="shared" si="5"/>
        <v>_</v>
      </c>
      <c r="K90" t="str">
        <f t="shared" ca="1" si="6"/>
        <v>____</v>
      </c>
      <c r="L90" t="str">
        <f t="shared" ca="1" si="7"/>
        <v>OK</v>
      </c>
      <c r="M90" t="str">
        <f>IFERROR(INDEX(Inventory!A:A,MATCH(Scan!A90,Inventory!E:E,0)),"")</f>
        <v>MSA 2050 SAN dual controller</v>
      </c>
    </row>
    <row r="91" spans="1:13" x14ac:dyDescent="0.3">
      <c r="A91" s="4" t="s">
        <v>577</v>
      </c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4"/>
        <v>_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F91" t="str">
        <f t="shared" si="5"/>
        <v>_</v>
      </c>
      <c r="K91" t="str">
        <f t="shared" ca="1" si="6"/>
        <v>____</v>
      </c>
      <c r="L91" t="str">
        <f t="shared" ca="1" si="7"/>
        <v>OK</v>
      </c>
      <c r="M91" t="str">
        <f>IFERROR(INDEX(Inventory!A:A,MATCH(Scan!A91,Inventory!E:E,0)),"")</f>
        <v>HPE MSA 2050 SAN DC LFF Storage</v>
      </c>
    </row>
    <row r="92" spans="1:13" x14ac:dyDescent="0.3">
      <c r="A92" s="4" t="s">
        <v>605</v>
      </c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4"/>
        <v>_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F92" t="str">
        <f t="shared" si="5"/>
        <v>_</v>
      </c>
      <c r="K92" t="str">
        <f t="shared" ca="1" si="6"/>
        <v>____</v>
      </c>
      <c r="L92" t="str">
        <f t="shared" ca="1" si="7"/>
        <v>OK</v>
      </c>
      <c r="M92" t="str">
        <f>IFERROR(INDEX(Inventory!A:A,MATCH(Scan!A92,Inventory!E:E,0)),"")</f>
        <v>HPE MSA 16GB SW FC SFP</v>
      </c>
    </row>
    <row r="93" spans="1:13" x14ac:dyDescent="0.3">
      <c r="A93" s="4" t="s">
        <v>606</v>
      </c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4"/>
        <v>_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F93" t="str">
        <f t="shared" si="5"/>
        <v>_</v>
      </c>
      <c r="K93" t="str">
        <f t="shared" ca="1" si="6"/>
        <v>____</v>
      </c>
      <c r="L93" t="str">
        <f t="shared" ca="1" si="7"/>
        <v>OK</v>
      </c>
      <c r="M93" t="str">
        <f>IFERROR(INDEX(Inventory!A:A,MATCH(Scan!A93,Inventory!E:E,0)),"")</f>
        <v>HPE MSA 16GB SW FC SFP</v>
      </c>
    </row>
    <row r="94" spans="1:13" x14ac:dyDescent="0.3">
      <c r="A94" s="4" t="s">
        <v>607</v>
      </c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4"/>
        <v>_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F94" t="str">
        <f t="shared" si="5"/>
        <v>_</v>
      </c>
      <c r="K94" t="str">
        <f t="shared" ca="1" si="6"/>
        <v>____</v>
      </c>
      <c r="L94" t="str">
        <f t="shared" ca="1" si="7"/>
        <v>OK</v>
      </c>
      <c r="M94" t="str">
        <f>IFERROR(INDEX(Inventory!A:A,MATCH(Scan!A94,Inventory!E:E,0)),"")</f>
        <v>HPE MSA 16GB SW FC SFP</v>
      </c>
    </row>
    <row r="95" spans="1:13" x14ac:dyDescent="0.3">
      <c r="A95" s="4" t="s">
        <v>608</v>
      </c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4"/>
        <v>_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F95" t="str">
        <f t="shared" si="5"/>
        <v>_</v>
      </c>
      <c r="K95" t="str">
        <f t="shared" ca="1" si="6"/>
        <v>____</v>
      </c>
      <c r="L95" t="str">
        <f t="shared" ca="1" si="7"/>
        <v>OK</v>
      </c>
      <c r="M95" t="str">
        <f>IFERROR(INDEX(Inventory!A:A,MATCH(Scan!A95,Inventory!E:E,0)),"")</f>
        <v>HPE MSA 16GB SW FC SFP</v>
      </c>
    </row>
    <row r="96" spans="1:13" x14ac:dyDescent="0.3">
      <c r="A96" s="4" t="s">
        <v>609</v>
      </c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4"/>
        <v>_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F96" t="str">
        <f t="shared" si="5"/>
        <v>_</v>
      </c>
      <c r="K96" t="str">
        <f t="shared" ca="1" si="6"/>
        <v>____</v>
      </c>
      <c r="L96" t="str">
        <f t="shared" ca="1" si="7"/>
        <v>OK</v>
      </c>
      <c r="M96" t="str">
        <f>IFERROR(INDEX(Inventory!A:A,MATCH(Scan!A96,Inventory!E:E,0)),"")</f>
        <v>HPE MSA 16GB SW FC SFP</v>
      </c>
    </row>
    <row r="97" spans="1:13" x14ac:dyDescent="0.3">
      <c r="A97" s="4" t="s">
        <v>610</v>
      </c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4"/>
        <v>_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F97" t="str">
        <f t="shared" si="5"/>
        <v>_</v>
      </c>
      <c r="K97" t="str">
        <f t="shared" ca="1" si="6"/>
        <v>____</v>
      </c>
      <c r="L97" t="str">
        <f t="shared" ca="1" si="7"/>
        <v>OK</v>
      </c>
      <c r="M97" t="str">
        <f>IFERROR(INDEX(Inventory!A:A,MATCH(Scan!A97,Inventory!E:E,0)),"")</f>
        <v>HPE MSA 16GB SW FC SFP</v>
      </c>
    </row>
    <row r="98" spans="1:13" x14ac:dyDescent="0.3">
      <c r="A98" s="4" t="s">
        <v>611</v>
      </c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4"/>
        <v>_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F98" t="str">
        <f t="shared" si="5"/>
        <v>_</v>
      </c>
      <c r="K98" t="str">
        <f t="shared" ca="1" si="6"/>
        <v>____</v>
      </c>
      <c r="L98" t="str">
        <f t="shared" ca="1" si="7"/>
        <v>OK</v>
      </c>
      <c r="M98" t="str">
        <f>IFERROR(INDEX(Inventory!A:A,MATCH(Scan!A98,Inventory!E:E,0)),"")</f>
        <v>HPE MSA 16GB SW FC SFP</v>
      </c>
    </row>
    <row r="99" spans="1:13" x14ac:dyDescent="0.3">
      <c r="A99" s="4" t="s">
        <v>612</v>
      </c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4"/>
        <v>_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F99" t="str">
        <f t="shared" si="5"/>
        <v>_</v>
      </c>
      <c r="K99" t="str">
        <f t="shared" ca="1" si="6"/>
        <v>____</v>
      </c>
      <c r="L99" t="str">
        <f t="shared" ca="1" si="7"/>
        <v>OK</v>
      </c>
      <c r="M99" t="str">
        <f>IFERROR(INDEX(Inventory!A:A,MATCH(Scan!A99,Inventory!E:E,0)),"")</f>
        <v>HPE MSA 16GB SW FC SFP</v>
      </c>
    </row>
    <row r="100" spans="1:13" x14ac:dyDescent="0.3">
      <c r="A100" s="4" t="s">
        <v>615</v>
      </c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4"/>
        <v>_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F100" t="str">
        <f t="shared" si="5"/>
        <v>_</v>
      </c>
      <c r="K100" t="str">
        <f t="shared" ca="1" si="6"/>
        <v>____</v>
      </c>
      <c r="L100" t="str">
        <f t="shared" ca="1" si="7"/>
        <v>OK</v>
      </c>
      <c r="M100" t="str">
        <f>IFERROR(INDEX(Inventory!A:A,MATCH(Scan!A100,Inventory!E:E,0)),"")</f>
        <v>HPE R5000 3U IECSO9-32A HV INTL UPS</v>
      </c>
    </row>
    <row r="101" spans="1:13" x14ac:dyDescent="0.3">
      <c r="A101" s="4" t="s">
        <v>613</v>
      </c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4"/>
        <v>_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F101" t="str">
        <f t="shared" si="5"/>
        <v>_</v>
      </c>
      <c r="K101" t="str">
        <f t="shared" ca="1" si="6"/>
        <v>____</v>
      </c>
      <c r="L101" t="str">
        <f t="shared" ca="1" si="7"/>
        <v>OK</v>
      </c>
      <c r="M101" t="str">
        <f>IFERROR(INDEX(Inventory!A:A,MATCH(Scan!A101,Inventory!E:E,0)),"")</f>
        <v>NTP TIME SERVER WITH OCXO</v>
      </c>
    </row>
    <row r="102" spans="1:13" x14ac:dyDescent="0.3">
      <c r="A102" s="4" t="s">
        <v>1064</v>
      </c>
      <c r="B102" t="str">
        <f>IF(IFERROR(VLOOKUP(TRIM(A102),Inventory!E:E,1,0),0)=0,"X","_")</f>
        <v>X</v>
      </c>
      <c r="C102" t="str">
        <f>IF(IFERROR(VLOOKUP(TRIM(A102),'Full Inventory'!F:F,1,0),0)=0,"X","_")</f>
        <v>_</v>
      </c>
      <c r="D102" t="str">
        <f t="shared" si="4"/>
        <v>_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F102" t="str">
        <f t="shared" si="5"/>
        <v>_</v>
      </c>
      <c r="K102" t="str">
        <f t="shared" ca="1" si="6"/>
        <v>X___</v>
      </c>
      <c r="L102" t="str">
        <f t="shared" ca="1" si="7"/>
        <v>NOT IN INVENTORY</v>
      </c>
      <c r="M102" t="str">
        <f>IFERROR(INDEX(Inventory!A:A,MATCH(Scan!A102,Inventory!E:E,0)),"")</f>
        <v/>
      </c>
    </row>
    <row r="103" spans="1:13" x14ac:dyDescent="0.3">
      <c r="A103" s="4" t="s">
        <v>1065</v>
      </c>
      <c r="B103" t="str">
        <f>IF(IFERROR(VLOOKUP(TRIM(A103),Inventory!E:E,1,0),0)=0,"X","_")</f>
        <v>X</v>
      </c>
      <c r="C103" t="str">
        <f>IF(IFERROR(VLOOKUP(TRIM(A103),'Full Inventory'!F:F,1,0),0)=0,"X","_")</f>
        <v>_</v>
      </c>
      <c r="D103" t="str">
        <f t="shared" si="4"/>
        <v>_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F103" t="str">
        <f t="shared" si="5"/>
        <v>_</v>
      </c>
      <c r="K103" t="str">
        <f t="shared" ca="1" si="6"/>
        <v>X___</v>
      </c>
      <c r="L103" t="str">
        <f t="shared" ca="1" si="7"/>
        <v>NOT IN INVENTORY</v>
      </c>
      <c r="M103" t="str">
        <f>IFERROR(INDEX(Inventory!A:A,MATCH(Scan!A103,Inventory!E:E,0)),"")</f>
        <v/>
      </c>
    </row>
    <row r="104" spans="1:13" x14ac:dyDescent="0.3">
      <c r="A104" s="4" t="s">
        <v>1066</v>
      </c>
      <c r="B104" t="str">
        <f>IF(IFERROR(VLOOKUP(TRIM(A104),Inventory!E:E,1,0),0)=0,"X","_")</f>
        <v>X</v>
      </c>
      <c r="C104" t="str">
        <f>IF(IFERROR(VLOOKUP(TRIM(A104),'Full Inventory'!F:F,1,0),0)=0,"X","_")</f>
        <v>_</v>
      </c>
      <c r="D104" t="str">
        <f t="shared" si="4"/>
        <v>_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F104" t="str">
        <f t="shared" si="5"/>
        <v>_</v>
      </c>
      <c r="K104" t="str">
        <f t="shared" ca="1" si="6"/>
        <v>X___</v>
      </c>
      <c r="L104" t="str">
        <f t="shared" ca="1" si="7"/>
        <v>NOT IN INVENTORY</v>
      </c>
      <c r="M104" t="str">
        <f>IFERROR(INDEX(Inventory!A:A,MATCH(Scan!A104,Inventory!E:E,0)),"")</f>
        <v/>
      </c>
    </row>
    <row r="105" spans="1:13" x14ac:dyDescent="0.3">
      <c r="A105" s="4" t="s">
        <v>1067</v>
      </c>
      <c r="B105" t="str">
        <f>IF(IFERROR(VLOOKUP(TRIM(A105),Inventory!E:E,1,0),0)=0,"X","_")</f>
        <v>X</v>
      </c>
      <c r="C105" t="str">
        <f>IF(IFERROR(VLOOKUP(TRIM(A105),'Full Inventory'!F:F,1,0),0)=0,"X","_")</f>
        <v>_</v>
      </c>
      <c r="D105" t="str">
        <f t="shared" si="4"/>
        <v>_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F105" t="str">
        <f t="shared" si="5"/>
        <v>_</v>
      </c>
      <c r="K105" t="str">
        <f t="shared" ca="1" si="6"/>
        <v>X___</v>
      </c>
      <c r="L105" t="str">
        <f t="shared" ca="1" si="7"/>
        <v>NOT IN INVENTORY</v>
      </c>
      <c r="M105" t="str">
        <f>IFERROR(INDEX(Inventory!A:A,MATCH(Scan!A105,Inventory!E:E,0)),"")</f>
        <v/>
      </c>
    </row>
    <row r="106" spans="1:13" x14ac:dyDescent="0.3">
      <c r="A106" s="4" t="s">
        <v>1068</v>
      </c>
      <c r="B106" t="str">
        <f>IF(IFERROR(VLOOKUP(TRIM(A106),Inventory!E:E,1,0),0)=0,"X","_")</f>
        <v>X</v>
      </c>
      <c r="C106" t="str">
        <f>IF(IFERROR(VLOOKUP(TRIM(A106),'Full Inventory'!F:F,1,0),0)=0,"X","_")</f>
        <v>_</v>
      </c>
      <c r="D106" t="str">
        <f t="shared" si="4"/>
        <v>_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F106" t="str">
        <f t="shared" si="5"/>
        <v>_</v>
      </c>
      <c r="K106" t="str">
        <f t="shared" ca="1" si="6"/>
        <v>X___</v>
      </c>
      <c r="L106" t="str">
        <f t="shared" ca="1" si="7"/>
        <v>NOT IN INVENTORY</v>
      </c>
      <c r="M106" t="str">
        <f>IFERROR(INDEX(Inventory!A:A,MATCH(Scan!A106,Inventory!E:E,0)),"")</f>
        <v/>
      </c>
    </row>
    <row r="107" spans="1:13" x14ac:dyDescent="0.3">
      <c r="A107" s="4" t="s">
        <v>1084</v>
      </c>
      <c r="B107" t="str">
        <f>IF(IFERROR(VLOOKUP(TRIM(A107),Inventory!E:E,1,0),0)=0,"X","_")</f>
        <v>X</v>
      </c>
      <c r="C107" t="str">
        <f>IF(IFERROR(VLOOKUP(TRIM(A107),'Full Inventory'!F:F,1,0),0)=0,"X","_")</f>
        <v>X</v>
      </c>
      <c r="D107" t="str">
        <f t="shared" si="4"/>
        <v>_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F107" t="str">
        <f t="shared" si="5"/>
        <v>_</v>
      </c>
      <c r="K107" t="str">
        <f t="shared" ca="1" si="6"/>
        <v>XX__</v>
      </c>
      <c r="L107" t="str">
        <f t="shared" ca="1" si="7"/>
        <v>NOT IN FULL INVENTORY AND INVENTORY</v>
      </c>
      <c r="M107" t="str">
        <f>IFERROR(INDEX(Inventory!A:A,MATCH(Scan!A107,Inventory!E:E,0)),"")</f>
        <v/>
      </c>
    </row>
    <row r="108" spans="1:13" x14ac:dyDescent="0.3">
      <c r="A108" s="4" t="s">
        <v>1085</v>
      </c>
      <c r="B108" t="str">
        <f>IF(IFERROR(VLOOKUP(TRIM(A108),Inventory!E:E,1,0),0)=0,"X","_")</f>
        <v>X</v>
      </c>
      <c r="C108" t="str">
        <f>IF(IFERROR(VLOOKUP(TRIM(A108),'Full Inventory'!F:F,1,0),0)=0,"X","_")</f>
        <v>X</v>
      </c>
      <c r="D108" t="str">
        <f t="shared" si="4"/>
        <v>_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F108" t="str">
        <f t="shared" si="5"/>
        <v>_</v>
      </c>
      <c r="K108" t="str">
        <f t="shared" ca="1" si="6"/>
        <v>XX__</v>
      </c>
      <c r="L108" t="str">
        <f t="shared" ca="1" si="7"/>
        <v>NOT IN FULL INVENTORY AND INVENTORY</v>
      </c>
      <c r="M108" t="str">
        <f>IFERROR(INDEX(Inventory!A:A,MATCH(Scan!A108,Inventory!E:E,0)),"")</f>
        <v/>
      </c>
    </row>
    <row r="109" spans="1:13" x14ac:dyDescent="0.3">
      <c r="A109" s="27" t="s">
        <v>700</v>
      </c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4"/>
        <v>_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F109" t="str">
        <f t="shared" si="5"/>
        <v>_</v>
      </c>
      <c r="K109" t="str">
        <f t="shared" ca="1" si="6"/>
        <v>____</v>
      </c>
      <c r="L109" t="str">
        <f t="shared" ca="1" si="7"/>
        <v>OK</v>
      </c>
      <c r="M109" t="str">
        <f>IFERROR(INDEX(Inventory!A:A,MATCH(Scan!A109,Inventory!E:E,0)),"")</f>
        <v>HPE 400GB SAS 12G MU SFF SC DS 550</v>
      </c>
    </row>
    <row r="110" spans="1:13" x14ac:dyDescent="0.3">
      <c r="B110" t="str">
        <f>IF(IFERROR(VLOOKUP(TRIM(A110),Inventory!E:E,1,0),0)=0,"X","_")</f>
        <v>_</v>
      </c>
      <c r="C110" t="str">
        <f>IF(IFERROR(VLOOKUP(TRIM(A110),'Full Inventory'!F:F,1,0),0)=0,"X","_")</f>
        <v>X</v>
      </c>
      <c r="D110" t="str">
        <f t="shared" si="4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F110" t="str">
        <f t="shared" si="5"/>
        <v>_</v>
      </c>
      <c r="K110" t="str">
        <f t="shared" ca="1" si="6"/>
        <v>_XX_</v>
      </c>
      <c r="L110" t="str">
        <f t="shared" ca="1" si="7"/>
        <v/>
      </c>
      <c r="M110" t="str">
        <f>IFERROR(INDEX(Inventory!A:A,MATCH(Scan!A110,Inventory!E:E,0)),"")</f>
        <v/>
      </c>
    </row>
    <row r="111" spans="1:13" x14ac:dyDescent="0.3">
      <c r="B111" t="str">
        <f>IF(IFERROR(VLOOKUP(TRIM(A111),Inventory!E:E,1,0),0)=0,"X","_")</f>
        <v>_</v>
      </c>
      <c r="C111" t="str">
        <f>IF(IFERROR(VLOOKUP(TRIM(A111),'Full Inventory'!F:F,1,0),0)=0,"X","_")</f>
        <v>X</v>
      </c>
      <c r="D111" t="str">
        <f t="shared" si="4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F111" t="str">
        <f t="shared" si="5"/>
        <v>_</v>
      </c>
      <c r="K111" t="str">
        <f t="shared" ca="1" si="6"/>
        <v>_XX_</v>
      </c>
      <c r="L111" t="str">
        <f t="shared" ca="1" si="7"/>
        <v/>
      </c>
      <c r="M111" t="str">
        <f>IFERROR(INDEX(Inventory!A:A,MATCH(Scan!A111,Inventory!E:E,0)),"")</f>
        <v/>
      </c>
    </row>
    <row r="112" spans="1:13" x14ac:dyDescent="0.3">
      <c r="B112" t="str">
        <f>IF(IFERROR(VLOOKUP(TRIM(A112),Inventory!E:E,1,0),0)=0,"X","_")</f>
        <v>_</v>
      </c>
      <c r="C112" t="str">
        <f>IF(IFERROR(VLOOKUP(TRIM(A112),'Full Inventory'!F:F,1,0),0)=0,"X","_")</f>
        <v>X</v>
      </c>
      <c r="D112" t="str">
        <f t="shared" si="4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F112" t="str">
        <f t="shared" si="5"/>
        <v>_</v>
      </c>
      <c r="K112" t="str">
        <f t="shared" ca="1" si="6"/>
        <v>_XX_</v>
      </c>
      <c r="L112" t="str">
        <f t="shared" ca="1" si="7"/>
        <v/>
      </c>
      <c r="M112" t="str">
        <f>IFERROR(INDEX(Inventory!A:A,MATCH(Scan!A112,Inventory!E:E,0)),"")</f>
        <v/>
      </c>
    </row>
    <row r="113" spans="2:13" x14ac:dyDescent="0.3">
      <c r="B113" t="str">
        <f>IF(IFERROR(VLOOKUP(TRIM(A113),Inventory!E:E,1,0),0)=0,"X","_")</f>
        <v>_</v>
      </c>
      <c r="C113" t="str">
        <f>IF(IFERROR(VLOOKUP(TRIM(A113),'Full Inventory'!F:F,1,0),0)=0,"X","_")</f>
        <v>X</v>
      </c>
      <c r="D113" t="str">
        <f t="shared" si="4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F113" t="str">
        <f t="shared" si="5"/>
        <v>_</v>
      </c>
      <c r="K113" t="str">
        <f t="shared" ca="1" si="6"/>
        <v>_XX_</v>
      </c>
      <c r="L113" t="str">
        <f t="shared" ca="1" si="7"/>
        <v/>
      </c>
      <c r="M113" t="str">
        <f>IFERROR(INDEX(Inventory!A:A,MATCH(Scan!A113,Inventory!E:E,0)),"")</f>
        <v/>
      </c>
    </row>
    <row r="114" spans="2:13" x14ac:dyDescent="0.3">
      <c r="B114" t="str">
        <f>IF(IFERROR(VLOOKUP(TRIM(A114),Inventory!E:E,1,0),0)=0,"X","_")</f>
        <v>_</v>
      </c>
      <c r="C114" t="str">
        <f>IF(IFERROR(VLOOKUP(TRIM(A114),'Full Inventory'!F:F,1,0),0)=0,"X","_")</f>
        <v>X</v>
      </c>
      <c r="D114" t="str">
        <f t="shared" si="4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F114" t="str">
        <f t="shared" si="5"/>
        <v>_</v>
      </c>
      <c r="K114" t="str">
        <f t="shared" ca="1" si="6"/>
        <v>_XX_</v>
      </c>
      <c r="L114" t="str">
        <f t="shared" ca="1" si="7"/>
        <v/>
      </c>
      <c r="M114" t="str">
        <f>IFERROR(INDEX(Inventory!A:A,MATCH(Scan!A114,Inventory!E:E,0)),"")</f>
        <v/>
      </c>
    </row>
    <row r="115" spans="2:13" x14ac:dyDescent="0.3">
      <c r="B115" t="str">
        <f>IF(IFERROR(VLOOKUP(TRIM(A115),Inventory!E:E,1,0),0)=0,"X","_")</f>
        <v>_</v>
      </c>
      <c r="C115" t="str">
        <f>IF(IFERROR(VLOOKUP(TRIM(A115),'Full Inventory'!F:F,1,0),0)=0,"X","_")</f>
        <v>X</v>
      </c>
      <c r="D115" t="str">
        <f t="shared" si="4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F115" t="str">
        <f t="shared" si="5"/>
        <v>_</v>
      </c>
      <c r="K115" t="str">
        <f t="shared" ca="1" si="6"/>
        <v>_XX_</v>
      </c>
      <c r="L115" t="str">
        <f t="shared" ca="1" si="7"/>
        <v/>
      </c>
      <c r="M115" t="str">
        <f>IFERROR(INDEX(Inventory!A:A,MATCH(Scan!A115,Inventory!E:E,0)),"")</f>
        <v/>
      </c>
    </row>
    <row r="116" spans="2:13" x14ac:dyDescent="0.3">
      <c r="B116" t="str">
        <f>IF(IFERROR(VLOOKUP(TRIM(A116),Inventory!E:E,1,0),0)=0,"X","_")</f>
        <v>_</v>
      </c>
      <c r="C116" t="str">
        <f>IF(IFERROR(VLOOKUP(TRIM(A116),'Full Inventory'!F:F,1,0),0)=0,"X","_")</f>
        <v>X</v>
      </c>
      <c r="D116" t="str">
        <f t="shared" si="4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F116" t="str">
        <f t="shared" si="5"/>
        <v>_</v>
      </c>
      <c r="K116" t="str">
        <f t="shared" ca="1" si="6"/>
        <v>_XX_</v>
      </c>
      <c r="L116" t="str">
        <f t="shared" ca="1" si="7"/>
        <v/>
      </c>
      <c r="M116" t="str">
        <f>IFERROR(INDEX(Inventory!A:A,MATCH(Scan!A116,Inventory!E:E,0)),"")</f>
        <v/>
      </c>
    </row>
    <row r="117" spans="2:13" x14ac:dyDescent="0.3">
      <c r="B117" t="str">
        <f>IF(IFERROR(VLOOKUP(TRIM(A117),Inventory!E:E,1,0),0)=0,"X","_")</f>
        <v>_</v>
      </c>
      <c r="C117" t="str">
        <f>IF(IFERROR(VLOOKUP(TRIM(A117),'Full Inventory'!F:F,1,0),0)=0,"X","_")</f>
        <v>X</v>
      </c>
      <c r="D117" t="str">
        <f t="shared" si="4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F117" t="str">
        <f t="shared" si="5"/>
        <v>_</v>
      </c>
      <c r="K117" t="str">
        <f t="shared" ca="1" si="6"/>
        <v>_XX_</v>
      </c>
      <c r="L117" t="str">
        <f t="shared" ca="1" si="7"/>
        <v/>
      </c>
      <c r="M117" t="str">
        <f>IFERROR(INDEX(Inventory!A:A,MATCH(Scan!A117,Inventory!E:E,0)),"")</f>
        <v/>
      </c>
    </row>
    <row r="118" spans="2:13" x14ac:dyDescent="0.3">
      <c r="B118" t="str">
        <f>IF(IFERROR(VLOOKUP(TRIM(A118),Inventory!E:E,1,0),0)=0,"X","_")</f>
        <v>_</v>
      </c>
      <c r="C118" t="str">
        <f>IF(IFERROR(VLOOKUP(TRIM(A118),'Full Inventory'!F:F,1,0),0)=0,"X","_")</f>
        <v>X</v>
      </c>
      <c r="D118" t="str">
        <f t="shared" si="4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F118" t="str">
        <f t="shared" si="5"/>
        <v>_</v>
      </c>
      <c r="K118" t="str">
        <f t="shared" ca="1" si="6"/>
        <v>_XX_</v>
      </c>
      <c r="L118" t="str">
        <f t="shared" ca="1" si="7"/>
        <v/>
      </c>
      <c r="M118" t="str">
        <f>IFERROR(INDEX(Inventory!A:A,MATCH(Scan!A118,Inventory!E:E,0)),"")</f>
        <v/>
      </c>
    </row>
    <row r="119" spans="2:13" x14ac:dyDescent="0.3">
      <c r="B119" t="str">
        <f>IF(IFERROR(VLOOKUP(TRIM(A119),Inventory!E:E,1,0),0)=0,"X","_")</f>
        <v>_</v>
      </c>
      <c r="C119" t="str">
        <f>IF(IFERROR(VLOOKUP(TRIM(A119),'Full Inventory'!F:F,1,0),0)=0,"X","_")</f>
        <v>X</v>
      </c>
      <c r="D119" t="str">
        <f t="shared" si="4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F119" t="str">
        <f t="shared" si="5"/>
        <v>_</v>
      </c>
      <c r="K119" t="str">
        <f t="shared" ca="1" si="6"/>
        <v>_XX_</v>
      </c>
      <c r="L119" t="str">
        <f t="shared" ca="1" si="7"/>
        <v/>
      </c>
      <c r="M119" t="str">
        <f>IFERROR(INDEX(Inventory!A:A,MATCH(Scan!A119,Inventory!E:E,0)),"")</f>
        <v/>
      </c>
    </row>
    <row r="120" spans="2:13" x14ac:dyDescent="0.3">
      <c r="B120" t="str">
        <f>IF(IFERROR(VLOOKUP(TRIM(A120),Inventory!E:E,1,0),0)=0,"X","_")</f>
        <v>_</v>
      </c>
      <c r="C120" t="str">
        <f>IF(IFERROR(VLOOKUP(TRIM(A120),'Full Inventory'!F:F,1,0),0)=0,"X","_")</f>
        <v>X</v>
      </c>
      <c r="D120" t="str">
        <f t="shared" si="4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F120" t="str">
        <f t="shared" si="5"/>
        <v>_</v>
      </c>
      <c r="K120" t="str">
        <f t="shared" ca="1" si="6"/>
        <v>_XX_</v>
      </c>
      <c r="L120" t="str">
        <f t="shared" ca="1" si="7"/>
        <v/>
      </c>
      <c r="M120" t="str">
        <f>IFERROR(INDEX(Inventory!A:A,MATCH(Scan!A120,Inventory!E:E,0)),"")</f>
        <v/>
      </c>
    </row>
    <row r="121" spans="2:13" x14ac:dyDescent="0.3">
      <c r="B121" t="str">
        <f>IF(IFERROR(VLOOKUP(TRIM(A121),Inventory!E:E,1,0),0)=0,"X","_")</f>
        <v>_</v>
      </c>
      <c r="C121" t="str">
        <f>IF(IFERROR(VLOOKUP(TRIM(A121),'Full Inventory'!F:F,1,0),0)=0,"X","_")</f>
        <v>X</v>
      </c>
      <c r="D121" t="str">
        <f t="shared" si="4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F121" t="str">
        <f t="shared" si="5"/>
        <v>_</v>
      </c>
      <c r="K121" t="str">
        <f t="shared" ca="1" si="6"/>
        <v>_XX_</v>
      </c>
      <c r="L121" t="str">
        <f t="shared" ca="1" si="7"/>
        <v/>
      </c>
      <c r="M121" t="str">
        <f>IFERROR(INDEX(Inventory!A:A,MATCH(Scan!A121,Inventory!E:E,0)),"")</f>
        <v/>
      </c>
    </row>
    <row r="122" spans="2:13" x14ac:dyDescent="0.3">
      <c r="B122" t="str">
        <f>IF(IFERROR(VLOOKUP(TRIM(A122),Inventory!E:E,1,0),0)=0,"X","_")</f>
        <v>_</v>
      </c>
      <c r="C122" t="str">
        <f>IF(IFERROR(VLOOKUP(TRIM(A122),'Full Inventory'!F:F,1,0),0)=0,"X","_")</f>
        <v>X</v>
      </c>
      <c r="D122" t="str">
        <f t="shared" si="4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F122" t="str">
        <f t="shared" si="5"/>
        <v>_</v>
      </c>
      <c r="K122" t="str">
        <f t="shared" ca="1" si="6"/>
        <v>_XX_</v>
      </c>
      <c r="L122" t="str">
        <f t="shared" ca="1" si="7"/>
        <v/>
      </c>
      <c r="M122" t="str">
        <f>IFERROR(INDEX(Inventory!A:A,MATCH(Scan!A122,Inventory!E:E,0)),"")</f>
        <v/>
      </c>
    </row>
    <row r="123" spans="2:13" x14ac:dyDescent="0.3">
      <c r="B123" t="str">
        <f>IF(IFERROR(VLOOKUP(TRIM(A123),Inventory!E:E,1,0),0)=0,"X","_")</f>
        <v>_</v>
      </c>
      <c r="C123" t="str">
        <f>IF(IFERROR(VLOOKUP(TRIM(A123),'Full Inventory'!F:F,1,0),0)=0,"X","_")</f>
        <v>X</v>
      </c>
      <c r="D123" t="str">
        <f t="shared" si="4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F123" t="str">
        <f t="shared" si="5"/>
        <v>_</v>
      </c>
      <c r="K123" t="str">
        <f t="shared" ca="1" si="6"/>
        <v>_XX_</v>
      </c>
      <c r="L123" t="str">
        <f t="shared" ca="1" si="7"/>
        <v/>
      </c>
      <c r="M123" t="str">
        <f>IFERROR(INDEX(Inventory!A:A,MATCH(Scan!A123,Inventory!E:E,0)),"")</f>
        <v/>
      </c>
    </row>
    <row r="124" spans="2:13" x14ac:dyDescent="0.3">
      <c r="B124" t="str">
        <f>IF(IFERROR(VLOOKUP(TRIM(A124),Inventory!E:E,1,0),0)=0,"X","_")</f>
        <v>_</v>
      </c>
      <c r="C124" t="str">
        <f>IF(IFERROR(VLOOKUP(TRIM(A124),'Full Inventory'!F:F,1,0),0)=0,"X","_")</f>
        <v>X</v>
      </c>
      <c r="D124" t="str">
        <f t="shared" si="4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F124" t="str">
        <f t="shared" si="5"/>
        <v>_</v>
      </c>
      <c r="K124" t="str">
        <f t="shared" ca="1" si="6"/>
        <v>_XX_</v>
      </c>
      <c r="L124" t="str">
        <f t="shared" ca="1" si="7"/>
        <v/>
      </c>
      <c r="M124" t="str">
        <f>IFERROR(INDEX(Inventory!A:A,MATCH(Scan!A124,Inventory!E:E,0)),"")</f>
        <v/>
      </c>
    </row>
    <row r="125" spans="2:13" x14ac:dyDescent="0.3">
      <c r="B125" t="str">
        <f>IF(IFERROR(VLOOKUP(TRIM(A125),Inventory!E:E,1,0),0)=0,"X","_")</f>
        <v>_</v>
      </c>
      <c r="C125" t="str">
        <f>IF(IFERROR(VLOOKUP(TRIM(A125),'Full Inventory'!F:F,1,0),0)=0,"X","_")</f>
        <v>X</v>
      </c>
      <c r="D125" t="str">
        <f t="shared" si="4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F125" t="str">
        <f t="shared" si="5"/>
        <v>_</v>
      </c>
      <c r="K125" t="str">
        <f t="shared" ca="1" si="6"/>
        <v>_XX_</v>
      </c>
      <c r="L125" t="str">
        <f t="shared" ca="1" si="7"/>
        <v/>
      </c>
      <c r="M125" t="str">
        <f>IFERROR(INDEX(Inventory!A:A,MATCH(Scan!A125,Inventory!E:E,0)),"")</f>
        <v/>
      </c>
    </row>
    <row r="126" spans="2:13" x14ac:dyDescent="0.3">
      <c r="B126" t="str">
        <f>IF(IFERROR(VLOOKUP(TRIM(A126),Inventory!E:E,1,0),0)=0,"X","_")</f>
        <v>_</v>
      </c>
      <c r="C126" t="str">
        <f>IF(IFERROR(VLOOKUP(TRIM(A126),'Full Inventory'!F:F,1,0),0)=0,"X","_")</f>
        <v>X</v>
      </c>
      <c r="D126" t="str">
        <f t="shared" si="4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F126" t="str">
        <f t="shared" si="5"/>
        <v>_</v>
      </c>
      <c r="K126" t="str">
        <f t="shared" ca="1" si="6"/>
        <v>_XX_</v>
      </c>
      <c r="L126" t="str">
        <f t="shared" ca="1" si="7"/>
        <v/>
      </c>
      <c r="M126" t="str">
        <f>IFERROR(INDEX(Inventory!A:A,MATCH(Scan!A126,Inventory!E:E,0)),"")</f>
        <v/>
      </c>
    </row>
    <row r="127" spans="2:13" x14ac:dyDescent="0.3">
      <c r="B127" t="str">
        <f>IF(IFERROR(VLOOKUP(TRIM(A127),Inventory!E:E,1,0),0)=0,"X","_")</f>
        <v>_</v>
      </c>
      <c r="C127" t="str">
        <f>IF(IFERROR(VLOOKUP(TRIM(A127),'Full Inventory'!F:F,1,0),0)=0,"X","_")</f>
        <v>X</v>
      </c>
      <c r="D127" t="str">
        <f t="shared" si="4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F127" t="str">
        <f t="shared" si="5"/>
        <v>_</v>
      </c>
      <c r="K127" t="str">
        <f t="shared" ca="1" si="6"/>
        <v>_XX_</v>
      </c>
      <c r="L127" t="str">
        <f t="shared" ca="1" si="7"/>
        <v/>
      </c>
      <c r="M127" t="str">
        <f>IFERROR(INDEX(Inventory!A:A,MATCH(Scan!A127,Inventory!E:E,0)),"")</f>
        <v/>
      </c>
    </row>
    <row r="128" spans="2:13" x14ac:dyDescent="0.3">
      <c r="B128" t="str">
        <f>IF(IFERROR(VLOOKUP(TRIM(A128),Inventory!E:E,1,0),0)=0,"X","_")</f>
        <v>_</v>
      </c>
      <c r="C128" t="str">
        <f>IF(IFERROR(VLOOKUP(TRIM(A128),'Full Inventory'!F:F,1,0),0)=0,"X","_")</f>
        <v>X</v>
      </c>
      <c r="D128" t="str">
        <f t="shared" si="4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F128" t="str">
        <f t="shared" si="5"/>
        <v>_</v>
      </c>
      <c r="K128" t="str">
        <f t="shared" ca="1" si="6"/>
        <v>_XX_</v>
      </c>
      <c r="L128" t="str">
        <f t="shared" ca="1" si="7"/>
        <v/>
      </c>
      <c r="M128" t="str">
        <f>IFERROR(INDEX(Inventory!A:A,MATCH(Scan!A128,Inventory!E:E,0)),"")</f>
        <v/>
      </c>
    </row>
    <row r="129" spans="2:13" x14ac:dyDescent="0.3">
      <c r="B129" t="str">
        <f>IF(IFERROR(VLOOKUP(TRIM(A129),Inventory!E:E,1,0),0)=0,"X","_")</f>
        <v>_</v>
      </c>
      <c r="C129" t="str">
        <f>IF(IFERROR(VLOOKUP(TRIM(A129),'Full Inventory'!F:F,1,0),0)=0,"X","_")</f>
        <v>X</v>
      </c>
      <c r="D129" t="str">
        <f t="shared" si="4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F129" t="str">
        <f t="shared" si="5"/>
        <v>_</v>
      </c>
      <c r="K129" t="str">
        <f t="shared" ca="1" si="6"/>
        <v>_XX_</v>
      </c>
      <c r="L129" t="str">
        <f t="shared" ca="1" si="7"/>
        <v/>
      </c>
      <c r="M129" t="str">
        <f>IFERROR(INDEX(Inventory!A:A,MATCH(Scan!A129,Inventory!E:E,0)),"")</f>
        <v/>
      </c>
    </row>
    <row r="130" spans="2:13" x14ac:dyDescent="0.3">
      <c r="B130" t="str">
        <f>IF(IFERROR(VLOOKUP(TRIM(A130),Inventory!E:E,1,0),0)=0,"X","_")</f>
        <v>_</v>
      </c>
      <c r="C130" t="str">
        <f>IF(IFERROR(VLOOKUP(TRIM(A130),'Full Inventory'!F:F,1,0),0)=0,"X","_")</f>
        <v>X</v>
      </c>
      <c r="D130" t="str">
        <f t="shared" ref="D130:D193" si="8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F130" t="str">
        <f t="shared" si="5"/>
        <v>_</v>
      </c>
      <c r="K130" t="str">
        <f t="shared" ca="1" si="6"/>
        <v>_XX_</v>
      </c>
      <c r="L130" t="str">
        <f t="shared" ca="1" si="7"/>
        <v/>
      </c>
      <c r="M130" t="str">
        <f>IFERROR(INDEX(Inventory!A:A,MATCH(Scan!A130,Inventory!E:E,0)),"")</f>
        <v/>
      </c>
    </row>
    <row r="131" spans="2:13" x14ac:dyDescent="0.3">
      <c r="B131" t="str">
        <f>IF(IFERROR(VLOOKUP(TRIM(A131),Inventory!E:E,1,0),0)=0,"X","_")</f>
        <v>_</v>
      </c>
      <c r="C131" t="str">
        <f>IF(IFERROR(VLOOKUP(TRIM(A131),'Full Inventory'!F:F,1,0),0)=0,"X","_")</f>
        <v>X</v>
      </c>
      <c r="D131" t="str">
        <f t="shared" si="8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F131" t="str">
        <f t="shared" ref="F131:F194" si="9">IF(IFERROR(SEARCH("ö",A131),0)&gt;0,"X","_")</f>
        <v>_</v>
      </c>
      <c r="K131" t="str">
        <f t="shared" ref="K131:K194" ca="1" si="10">B131&amp;C131&amp;D131&amp;E131</f>
        <v>_XX_</v>
      </c>
      <c r="L131" t="str">
        <f t="shared" ref="L131:L194" ca="1" si="11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3">
      <c r="B132" t="str">
        <f>IF(IFERROR(VLOOKUP(TRIM(A132),Inventory!E:E,1,0),0)=0,"X","_")</f>
        <v>_</v>
      </c>
      <c r="C132" t="str">
        <f>IF(IFERROR(VLOOKUP(TRIM(A132),'Full Inventory'!F:F,1,0),0)=0,"X","_")</f>
        <v>X</v>
      </c>
      <c r="D132" t="str">
        <f t="shared" si="8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F132" t="str">
        <f t="shared" si="9"/>
        <v>_</v>
      </c>
      <c r="K132" t="str">
        <f t="shared" ca="1" si="10"/>
        <v>_XX_</v>
      </c>
      <c r="L132" t="str">
        <f t="shared" ca="1" si="11"/>
        <v/>
      </c>
      <c r="M132" t="str">
        <f>IFERROR(INDEX(Inventory!A:A,MATCH(Scan!A132,Inventory!E:E,0)),"")</f>
        <v/>
      </c>
    </row>
    <row r="133" spans="2:13" x14ac:dyDescent="0.3">
      <c r="B133" t="str">
        <f>IF(IFERROR(VLOOKUP(TRIM(A133),Inventory!E:E,1,0),0)=0,"X","_")</f>
        <v>_</v>
      </c>
      <c r="C133" t="str">
        <f>IF(IFERROR(VLOOKUP(TRIM(A133),'Full Inventory'!F:F,1,0),0)=0,"X","_")</f>
        <v>X</v>
      </c>
      <c r="D133" t="str">
        <f t="shared" si="8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F133" t="str">
        <f t="shared" si="9"/>
        <v>_</v>
      </c>
      <c r="K133" t="str">
        <f t="shared" ca="1" si="10"/>
        <v>_XX_</v>
      </c>
      <c r="L133" t="str">
        <f t="shared" ca="1" si="11"/>
        <v/>
      </c>
      <c r="M133" t="str">
        <f>IFERROR(INDEX(Inventory!A:A,MATCH(Scan!A133,Inventory!E:E,0)),"")</f>
        <v/>
      </c>
    </row>
    <row r="134" spans="2:13" x14ac:dyDescent="0.3">
      <c r="B134" t="str">
        <f>IF(IFERROR(VLOOKUP(TRIM(A134),Inventory!E:E,1,0),0)=0,"X","_")</f>
        <v>_</v>
      </c>
      <c r="C134" t="str">
        <f>IF(IFERROR(VLOOKUP(TRIM(A134),'Full Inventory'!F:F,1,0),0)=0,"X","_")</f>
        <v>X</v>
      </c>
      <c r="D134" t="str">
        <f t="shared" si="8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F134" t="str">
        <f t="shared" si="9"/>
        <v>_</v>
      </c>
      <c r="K134" t="str">
        <f t="shared" ca="1" si="10"/>
        <v>_XX_</v>
      </c>
      <c r="L134" t="str">
        <f t="shared" ca="1" si="11"/>
        <v/>
      </c>
      <c r="M134" t="str">
        <f>IFERROR(INDEX(Inventory!A:A,MATCH(Scan!A134,Inventory!E:E,0)),"")</f>
        <v/>
      </c>
    </row>
    <row r="135" spans="2:13" x14ac:dyDescent="0.3">
      <c r="B135" t="str">
        <f>IF(IFERROR(VLOOKUP(TRIM(A135),Inventory!E:E,1,0),0)=0,"X","_")</f>
        <v>_</v>
      </c>
      <c r="C135" t="str">
        <f>IF(IFERROR(VLOOKUP(TRIM(A135),'Full Inventory'!F:F,1,0),0)=0,"X","_")</f>
        <v>X</v>
      </c>
      <c r="D135" t="str">
        <f t="shared" si="8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F135" t="str">
        <f t="shared" si="9"/>
        <v>_</v>
      </c>
      <c r="K135" t="str">
        <f t="shared" ca="1" si="10"/>
        <v>_XX_</v>
      </c>
      <c r="L135" t="str">
        <f t="shared" ca="1" si="11"/>
        <v/>
      </c>
      <c r="M135" t="str">
        <f>IFERROR(INDEX(Inventory!A:A,MATCH(Scan!A135,Inventory!E:E,0)),"")</f>
        <v/>
      </c>
    </row>
    <row r="136" spans="2:13" x14ac:dyDescent="0.3">
      <c r="B136" t="str">
        <f>IF(IFERROR(VLOOKUP(TRIM(A136),Inventory!E:E,1,0),0)=0,"X","_")</f>
        <v>_</v>
      </c>
      <c r="C136" t="str">
        <f>IF(IFERROR(VLOOKUP(TRIM(A136),'Full Inventory'!F:F,1,0),0)=0,"X","_")</f>
        <v>X</v>
      </c>
      <c r="D136" t="str">
        <f t="shared" si="8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F136" t="str">
        <f t="shared" si="9"/>
        <v>_</v>
      </c>
      <c r="K136" t="str">
        <f t="shared" ca="1" si="10"/>
        <v>_XX_</v>
      </c>
      <c r="L136" t="str">
        <f t="shared" ca="1" si="11"/>
        <v/>
      </c>
      <c r="M136" t="str">
        <f>IFERROR(INDEX(Inventory!A:A,MATCH(Scan!A136,Inventory!E:E,0)),"")</f>
        <v/>
      </c>
    </row>
    <row r="137" spans="2:13" x14ac:dyDescent="0.3">
      <c r="B137" t="str">
        <f>IF(IFERROR(VLOOKUP(TRIM(A137),Inventory!E:E,1,0),0)=0,"X","_")</f>
        <v>_</v>
      </c>
      <c r="C137" t="str">
        <f>IF(IFERROR(VLOOKUP(TRIM(A137),'Full Inventory'!F:F,1,0),0)=0,"X","_")</f>
        <v>X</v>
      </c>
      <c r="D137" t="str">
        <f t="shared" si="8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F137" t="str">
        <f t="shared" si="9"/>
        <v>_</v>
      </c>
      <c r="K137" t="str">
        <f t="shared" ca="1" si="10"/>
        <v>_XX_</v>
      </c>
      <c r="L137" t="str">
        <f t="shared" ca="1" si="11"/>
        <v/>
      </c>
      <c r="M137" t="str">
        <f>IFERROR(INDEX(Inventory!A:A,MATCH(Scan!A137,Inventory!E:E,0)),"")</f>
        <v/>
      </c>
    </row>
    <row r="138" spans="2:13" x14ac:dyDescent="0.3">
      <c r="B138" t="str">
        <f>IF(IFERROR(VLOOKUP(TRIM(A138),Inventory!E:E,1,0),0)=0,"X","_")</f>
        <v>_</v>
      </c>
      <c r="C138" t="str">
        <f>IF(IFERROR(VLOOKUP(TRIM(A138),'Full Inventory'!F:F,1,0),0)=0,"X","_")</f>
        <v>X</v>
      </c>
      <c r="D138" t="str">
        <f t="shared" si="8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F138" t="str">
        <f t="shared" si="9"/>
        <v>_</v>
      </c>
      <c r="K138" t="str">
        <f t="shared" ca="1" si="10"/>
        <v>_XX_</v>
      </c>
      <c r="L138" t="str">
        <f t="shared" ca="1" si="11"/>
        <v/>
      </c>
      <c r="M138" t="str">
        <f>IFERROR(INDEX(Inventory!A:A,MATCH(Scan!A138,Inventory!E:E,0)),"")</f>
        <v/>
      </c>
    </row>
    <row r="139" spans="2:13" x14ac:dyDescent="0.3">
      <c r="B139" t="str">
        <f>IF(IFERROR(VLOOKUP(TRIM(A139),Inventory!E:E,1,0),0)=0,"X","_")</f>
        <v>_</v>
      </c>
      <c r="C139" t="str">
        <f>IF(IFERROR(VLOOKUP(TRIM(A139),'Full Inventory'!F:F,1,0),0)=0,"X","_")</f>
        <v>X</v>
      </c>
      <c r="D139" t="str">
        <f t="shared" si="8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F139" t="str">
        <f t="shared" si="9"/>
        <v>_</v>
      </c>
      <c r="K139" t="str">
        <f t="shared" ca="1" si="10"/>
        <v>_XX_</v>
      </c>
      <c r="L139" t="str">
        <f t="shared" ca="1" si="11"/>
        <v/>
      </c>
      <c r="M139" t="str">
        <f>IFERROR(INDEX(Inventory!A:A,MATCH(Scan!A139,Inventory!E:E,0)),"")</f>
        <v/>
      </c>
    </row>
    <row r="140" spans="2:13" x14ac:dyDescent="0.3">
      <c r="B140" t="str">
        <f>IF(IFERROR(VLOOKUP(TRIM(A140),Inventory!E:E,1,0),0)=0,"X","_")</f>
        <v>_</v>
      </c>
      <c r="C140" t="str">
        <f>IF(IFERROR(VLOOKUP(TRIM(A140),'Full Inventory'!F:F,1,0),0)=0,"X","_")</f>
        <v>X</v>
      </c>
      <c r="D140" t="str">
        <f t="shared" si="8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F140" t="str">
        <f t="shared" si="9"/>
        <v>_</v>
      </c>
      <c r="K140" t="str">
        <f t="shared" ca="1" si="10"/>
        <v>_XX_</v>
      </c>
      <c r="L140" t="str">
        <f t="shared" ca="1" si="11"/>
        <v/>
      </c>
      <c r="M140" t="str">
        <f>IFERROR(INDEX(Inventory!A:A,MATCH(Scan!A140,Inventory!E:E,0)),"")</f>
        <v/>
      </c>
    </row>
    <row r="141" spans="2:13" x14ac:dyDescent="0.3">
      <c r="B141" t="str">
        <f>IF(IFERROR(VLOOKUP(TRIM(A141),Inventory!E:E,1,0),0)=0,"X","_")</f>
        <v>_</v>
      </c>
      <c r="C141" t="str">
        <f>IF(IFERROR(VLOOKUP(TRIM(A141),'Full Inventory'!F:F,1,0),0)=0,"X","_")</f>
        <v>X</v>
      </c>
      <c r="D141" t="str">
        <f t="shared" si="8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F141" t="str">
        <f t="shared" si="9"/>
        <v>_</v>
      </c>
      <c r="K141" t="str">
        <f t="shared" ca="1" si="10"/>
        <v>_XX_</v>
      </c>
      <c r="L141" t="str">
        <f t="shared" ca="1" si="11"/>
        <v/>
      </c>
      <c r="M141" t="str">
        <f>IFERROR(INDEX(Inventory!A:A,MATCH(Scan!A141,Inventory!E:E,0)),"")</f>
        <v/>
      </c>
    </row>
    <row r="142" spans="2:13" x14ac:dyDescent="0.3">
      <c r="B142" t="str">
        <f>IF(IFERROR(VLOOKUP(TRIM(A142),Inventory!E:E,1,0),0)=0,"X","_")</f>
        <v>_</v>
      </c>
      <c r="C142" t="str">
        <f>IF(IFERROR(VLOOKUP(TRIM(A142),'Full Inventory'!F:F,1,0),0)=0,"X","_")</f>
        <v>X</v>
      </c>
      <c r="D142" t="str">
        <f t="shared" si="8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F142" t="str">
        <f t="shared" si="9"/>
        <v>_</v>
      </c>
      <c r="K142" t="str">
        <f t="shared" ca="1" si="10"/>
        <v>_XX_</v>
      </c>
      <c r="L142" t="str">
        <f t="shared" ca="1" si="11"/>
        <v/>
      </c>
      <c r="M142" t="str">
        <f>IFERROR(INDEX(Inventory!A:A,MATCH(Scan!A142,Inventory!E:E,0)),"")</f>
        <v/>
      </c>
    </row>
    <row r="143" spans="2:13" x14ac:dyDescent="0.3">
      <c r="B143" t="str">
        <f>IF(IFERROR(VLOOKUP(TRIM(A143),Inventory!E:E,1,0),0)=0,"X","_")</f>
        <v>_</v>
      </c>
      <c r="C143" t="str">
        <f>IF(IFERROR(VLOOKUP(TRIM(A143),'Full Inventory'!F:F,1,0),0)=0,"X","_")</f>
        <v>X</v>
      </c>
      <c r="D143" t="str">
        <f t="shared" si="8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F143" t="str">
        <f t="shared" si="9"/>
        <v>_</v>
      </c>
      <c r="K143" t="str">
        <f t="shared" ca="1" si="10"/>
        <v>_XX_</v>
      </c>
      <c r="L143" t="str">
        <f t="shared" ca="1" si="11"/>
        <v/>
      </c>
      <c r="M143" t="str">
        <f>IFERROR(INDEX(Inventory!A:A,MATCH(Scan!A143,Inventory!E:E,0)),"")</f>
        <v/>
      </c>
    </row>
    <row r="144" spans="2:13" x14ac:dyDescent="0.3">
      <c r="B144" t="str">
        <f>IF(IFERROR(VLOOKUP(TRIM(A144),Inventory!E:E,1,0),0)=0,"X","_")</f>
        <v>_</v>
      </c>
      <c r="C144" t="str">
        <f>IF(IFERROR(VLOOKUP(TRIM(A144),'Full Inventory'!F:F,1,0),0)=0,"X","_")</f>
        <v>X</v>
      </c>
      <c r="D144" t="str">
        <f t="shared" si="8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F144" t="str">
        <f t="shared" si="9"/>
        <v>_</v>
      </c>
      <c r="K144" t="str">
        <f t="shared" ca="1" si="10"/>
        <v>_XX_</v>
      </c>
      <c r="L144" t="str">
        <f t="shared" ca="1" si="11"/>
        <v/>
      </c>
      <c r="M144" t="str">
        <f>IFERROR(INDEX(Inventory!A:A,MATCH(Scan!A144,Inventory!E:E,0)),"")</f>
        <v/>
      </c>
    </row>
    <row r="145" spans="2:13" x14ac:dyDescent="0.3">
      <c r="B145" t="str">
        <f>IF(IFERROR(VLOOKUP(TRIM(A145),Inventory!E:E,1,0),0)=0,"X","_")</f>
        <v>_</v>
      </c>
      <c r="C145" t="str">
        <f>IF(IFERROR(VLOOKUP(TRIM(A145),'Full Inventory'!F:F,1,0),0)=0,"X","_")</f>
        <v>X</v>
      </c>
      <c r="D145" t="str">
        <f t="shared" si="8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F145" t="str">
        <f t="shared" si="9"/>
        <v>_</v>
      </c>
      <c r="K145" t="str">
        <f t="shared" ca="1" si="10"/>
        <v>_XX_</v>
      </c>
      <c r="L145" t="str">
        <f t="shared" ca="1" si="11"/>
        <v/>
      </c>
      <c r="M145" t="str">
        <f>IFERROR(INDEX(Inventory!A:A,MATCH(Scan!A145,Inventory!E:E,0)),"")</f>
        <v/>
      </c>
    </row>
    <row r="146" spans="2:13" x14ac:dyDescent="0.3">
      <c r="B146" t="str">
        <f>IF(IFERROR(VLOOKUP(TRIM(A146),Inventory!E:E,1,0),0)=0,"X","_")</f>
        <v>_</v>
      </c>
      <c r="C146" t="str">
        <f>IF(IFERROR(VLOOKUP(TRIM(A146),'Full Inventory'!F:F,1,0),0)=0,"X","_")</f>
        <v>X</v>
      </c>
      <c r="D146" t="str">
        <f t="shared" si="8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F146" t="str">
        <f t="shared" si="9"/>
        <v>_</v>
      </c>
      <c r="K146" t="str">
        <f t="shared" ca="1" si="10"/>
        <v>_XX_</v>
      </c>
      <c r="L146" t="str">
        <f t="shared" ca="1" si="11"/>
        <v/>
      </c>
      <c r="M146" t="str">
        <f>IFERROR(INDEX(Inventory!A:A,MATCH(Scan!A146,Inventory!E:E,0)),"")</f>
        <v/>
      </c>
    </row>
    <row r="147" spans="2:13" x14ac:dyDescent="0.3">
      <c r="B147" t="str">
        <f>IF(IFERROR(VLOOKUP(TRIM(A147),Inventory!E:E,1,0),0)=0,"X","_")</f>
        <v>_</v>
      </c>
      <c r="C147" t="str">
        <f>IF(IFERROR(VLOOKUP(TRIM(A147),'Full Inventory'!F:F,1,0),0)=0,"X","_")</f>
        <v>X</v>
      </c>
      <c r="D147" t="str">
        <f t="shared" si="8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F147" t="str">
        <f t="shared" si="9"/>
        <v>_</v>
      </c>
      <c r="K147" t="str">
        <f t="shared" ca="1" si="10"/>
        <v>_XX_</v>
      </c>
      <c r="L147" t="str">
        <f t="shared" ca="1" si="11"/>
        <v/>
      </c>
      <c r="M147" t="str">
        <f>IFERROR(INDEX(Inventory!A:A,MATCH(Scan!A147,Inventory!E:E,0)),"")</f>
        <v/>
      </c>
    </row>
    <row r="148" spans="2:13" x14ac:dyDescent="0.3">
      <c r="B148" t="str">
        <f>IF(IFERROR(VLOOKUP(TRIM(A148),Inventory!E:E,1,0),0)=0,"X","_")</f>
        <v>_</v>
      </c>
      <c r="C148" t="str">
        <f>IF(IFERROR(VLOOKUP(TRIM(A148),'Full Inventory'!F:F,1,0),0)=0,"X","_")</f>
        <v>X</v>
      </c>
      <c r="D148" t="str">
        <f t="shared" si="8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F148" t="str">
        <f t="shared" si="9"/>
        <v>_</v>
      </c>
      <c r="K148" t="str">
        <f t="shared" ca="1" si="10"/>
        <v>_XX_</v>
      </c>
      <c r="L148" t="str">
        <f t="shared" ca="1" si="11"/>
        <v/>
      </c>
      <c r="M148" t="str">
        <f>IFERROR(INDEX(Inventory!A:A,MATCH(Scan!A148,Inventory!E:E,0)),"")</f>
        <v/>
      </c>
    </row>
    <row r="149" spans="2:13" x14ac:dyDescent="0.3">
      <c r="B149" t="str">
        <f>IF(IFERROR(VLOOKUP(TRIM(A149),Inventory!E:E,1,0),0)=0,"X","_")</f>
        <v>_</v>
      </c>
      <c r="C149" t="str">
        <f>IF(IFERROR(VLOOKUP(TRIM(A149),'Full Inventory'!F:F,1,0),0)=0,"X","_")</f>
        <v>X</v>
      </c>
      <c r="D149" t="str">
        <f t="shared" si="8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F149" t="str">
        <f t="shared" si="9"/>
        <v>_</v>
      </c>
      <c r="K149" t="str">
        <f t="shared" ca="1" si="10"/>
        <v>_XX_</v>
      </c>
      <c r="L149" t="str">
        <f t="shared" ca="1" si="11"/>
        <v/>
      </c>
      <c r="M149" t="str">
        <f>IFERROR(INDEX(Inventory!A:A,MATCH(Scan!A149,Inventory!E:E,0)),"")</f>
        <v/>
      </c>
    </row>
    <row r="150" spans="2:13" x14ac:dyDescent="0.3">
      <c r="B150" t="str">
        <f>IF(IFERROR(VLOOKUP(TRIM(A150),Inventory!E:E,1,0),0)=0,"X","_")</f>
        <v>_</v>
      </c>
      <c r="C150" t="str">
        <f>IF(IFERROR(VLOOKUP(TRIM(A150),'Full Inventory'!F:F,1,0),0)=0,"X","_")</f>
        <v>X</v>
      </c>
      <c r="D150" t="str">
        <f t="shared" si="8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F150" t="str">
        <f t="shared" si="9"/>
        <v>_</v>
      </c>
      <c r="K150" t="str">
        <f t="shared" ca="1" si="10"/>
        <v>_XX_</v>
      </c>
      <c r="L150" t="str">
        <f t="shared" ca="1" si="11"/>
        <v/>
      </c>
      <c r="M150" t="str">
        <f>IFERROR(INDEX(Inventory!A:A,MATCH(Scan!A150,Inventory!E:E,0)),"")</f>
        <v/>
      </c>
    </row>
    <row r="151" spans="2:13" x14ac:dyDescent="0.3">
      <c r="B151" t="str">
        <f>IF(IFERROR(VLOOKUP(TRIM(A151),Inventory!E:E,1,0),0)=0,"X","_")</f>
        <v>_</v>
      </c>
      <c r="C151" t="str">
        <f>IF(IFERROR(VLOOKUP(TRIM(A151),'Full Inventory'!F:F,1,0),0)=0,"X","_")</f>
        <v>X</v>
      </c>
      <c r="D151" t="str">
        <f t="shared" si="8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F151" t="str">
        <f t="shared" si="9"/>
        <v>_</v>
      </c>
      <c r="K151" t="str">
        <f t="shared" ca="1" si="10"/>
        <v>_XX_</v>
      </c>
      <c r="L151" t="str">
        <f t="shared" ca="1" si="11"/>
        <v/>
      </c>
      <c r="M151" t="str">
        <f>IFERROR(INDEX(Inventory!A:A,MATCH(Scan!A151,Inventory!E:E,0)),"")</f>
        <v/>
      </c>
    </row>
    <row r="152" spans="2:13" x14ac:dyDescent="0.3">
      <c r="B152" t="str">
        <f>IF(IFERROR(VLOOKUP(TRIM(A152),Inventory!E:E,1,0),0)=0,"X","_")</f>
        <v>_</v>
      </c>
      <c r="C152" t="str">
        <f>IF(IFERROR(VLOOKUP(TRIM(A152),'Full Inventory'!F:F,1,0),0)=0,"X","_")</f>
        <v>X</v>
      </c>
      <c r="D152" t="str">
        <f t="shared" si="8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F152" t="str">
        <f t="shared" si="9"/>
        <v>_</v>
      </c>
      <c r="K152" t="str">
        <f t="shared" ca="1" si="10"/>
        <v>_XX_</v>
      </c>
      <c r="L152" t="str">
        <f t="shared" ca="1" si="11"/>
        <v/>
      </c>
      <c r="M152" t="str">
        <f>IFERROR(INDEX(Inventory!A:A,MATCH(Scan!A152,Inventory!E:E,0)),"")</f>
        <v/>
      </c>
    </row>
    <row r="153" spans="2:13" x14ac:dyDescent="0.3">
      <c r="B153" t="str">
        <f>IF(IFERROR(VLOOKUP(TRIM(A153),Inventory!E:E,1,0),0)=0,"X","_")</f>
        <v>_</v>
      </c>
      <c r="C153" t="str">
        <f>IF(IFERROR(VLOOKUP(TRIM(A153),'Full Inventory'!F:F,1,0),0)=0,"X","_")</f>
        <v>X</v>
      </c>
      <c r="D153" t="str">
        <f t="shared" si="8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F153" t="str">
        <f t="shared" si="9"/>
        <v>_</v>
      </c>
      <c r="K153" t="str">
        <f t="shared" ca="1" si="10"/>
        <v>_XX_</v>
      </c>
      <c r="L153" t="str">
        <f t="shared" ca="1" si="11"/>
        <v/>
      </c>
      <c r="M153" t="str">
        <f>IFERROR(INDEX(Inventory!A:A,MATCH(Scan!A153,Inventory!E:E,0)),"")</f>
        <v/>
      </c>
    </row>
    <row r="154" spans="2:13" x14ac:dyDescent="0.3">
      <c r="B154" t="str">
        <f>IF(IFERROR(VLOOKUP(TRIM(A154),Inventory!E:E,1,0),0)=0,"X","_")</f>
        <v>_</v>
      </c>
      <c r="C154" t="str">
        <f>IF(IFERROR(VLOOKUP(TRIM(A154),'Full Inventory'!F:F,1,0),0)=0,"X","_")</f>
        <v>X</v>
      </c>
      <c r="D154" t="str">
        <f t="shared" si="8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F154" t="str">
        <f t="shared" si="9"/>
        <v>_</v>
      </c>
      <c r="K154" t="str">
        <f t="shared" ca="1" si="10"/>
        <v>_XX_</v>
      </c>
      <c r="L154" t="str">
        <f t="shared" ca="1" si="11"/>
        <v/>
      </c>
      <c r="M154" t="str">
        <f>IFERROR(INDEX(Inventory!A:A,MATCH(Scan!A154,Inventory!E:E,0)),"")</f>
        <v/>
      </c>
    </row>
    <row r="155" spans="2:13" x14ac:dyDescent="0.3">
      <c r="B155" t="str">
        <f>IF(IFERROR(VLOOKUP(TRIM(A155),Inventory!E:E,1,0),0)=0,"X","_")</f>
        <v>_</v>
      </c>
      <c r="C155" t="str">
        <f>IF(IFERROR(VLOOKUP(TRIM(A155),'Full Inventory'!F:F,1,0),0)=0,"X","_")</f>
        <v>X</v>
      </c>
      <c r="D155" t="str">
        <f t="shared" si="8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F155" t="str">
        <f t="shared" si="9"/>
        <v>_</v>
      </c>
      <c r="K155" t="str">
        <f t="shared" ca="1" si="10"/>
        <v>_XX_</v>
      </c>
      <c r="L155" t="str">
        <f t="shared" ca="1" si="11"/>
        <v/>
      </c>
      <c r="M155" t="str">
        <f>IFERROR(INDEX(Inventory!A:A,MATCH(Scan!A155,Inventory!E:E,0)),"")</f>
        <v/>
      </c>
    </row>
    <row r="156" spans="2:13" x14ac:dyDescent="0.3">
      <c r="B156" t="str">
        <f>IF(IFERROR(VLOOKUP(TRIM(A156),Inventory!E:E,1,0),0)=0,"X","_")</f>
        <v>_</v>
      </c>
      <c r="C156" t="str">
        <f>IF(IFERROR(VLOOKUP(TRIM(A156),'Full Inventory'!F:F,1,0),0)=0,"X","_")</f>
        <v>X</v>
      </c>
      <c r="D156" t="str">
        <f t="shared" si="8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F156" t="str">
        <f t="shared" si="9"/>
        <v>_</v>
      </c>
      <c r="K156" t="str">
        <f t="shared" ca="1" si="10"/>
        <v>_XX_</v>
      </c>
      <c r="L156" t="str">
        <f t="shared" ca="1" si="11"/>
        <v/>
      </c>
      <c r="M156" t="str">
        <f>IFERROR(INDEX(Inventory!A:A,MATCH(Scan!A156,Inventory!E:E,0)),"")</f>
        <v/>
      </c>
    </row>
    <row r="157" spans="2:13" x14ac:dyDescent="0.3">
      <c r="B157" t="str">
        <f>IF(IFERROR(VLOOKUP(TRIM(A157),Inventory!E:E,1,0),0)=0,"X","_")</f>
        <v>_</v>
      </c>
      <c r="C157" t="str">
        <f>IF(IFERROR(VLOOKUP(TRIM(A157),'Full Inventory'!F:F,1,0),0)=0,"X","_")</f>
        <v>X</v>
      </c>
      <c r="D157" t="str">
        <f t="shared" si="8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F157" t="str">
        <f t="shared" si="9"/>
        <v>_</v>
      </c>
      <c r="K157" t="str">
        <f t="shared" ca="1" si="10"/>
        <v>_XX_</v>
      </c>
      <c r="L157" t="str">
        <f t="shared" ca="1" si="11"/>
        <v/>
      </c>
      <c r="M157" t="str">
        <f>IFERROR(INDEX(Inventory!A:A,MATCH(Scan!A157,Inventory!E:E,0)),"")</f>
        <v/>
      </c>
    </row>
    <row r="158" spans="2:13" x14ac:dyDescent="0.3">
      <c r="B158" t="str">
        <f>IF(IFERROR(VLOOKUP(TRIM(A158),Inventory!E:E,1,0),0)=0,"X","_")</f>
        <v>_</v>
      </c>
      <c r="C158" t="str">
        <f>IF(IFERROR(VLOOKUP(TRIM(A158),'Full Inventory'!F:F,1,0),0)=0,"X","_")</f>
        <v>X</v>
      </c>
      <c r="D158" t="str">
        <f t="shared" si="8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F158" t="str">
        <f t="shared" si="9"/>
        <v>_</v>
      </c>
      <c r="K158" t="str">
        <f t="shared" ca="1" si="10"/>
        <v>_XX_</v>
      </c>
      <c r="L158" t="str">
        <f t="shared" ca="1" si="11"/>
        <v/>
      </c>
      <c r="M158" t="str">
        <f>IFERROR(INDEX(Inventory!A:A,MATCH(Scan!A158,Inventory!E:E,0)),"")</f>
        <v/>
      </c>
    </row>
    <row r="159" spans="2:13" x14ac:dyDescent="0.3">
      <c r="B159" t="str">
        <f>IF(IFERROR(VLOOKUP(TRIM(A159),Inventory!E:E,1,0),0)=0,"X","_")</f>
        <v>_</v>
      </c>
      <c r="C159" t="str">
        <f>IF(IFERROR(VLOOKUP(TRIM(A159),'Full Inventory'!F:F,1,0),0)=0,"X","_")</f>
        <v>X</v>
      </c>
      <c r="D159" t="str">
        <f t="shared" si="8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F159" t="str">
        <f t="shared" si="9"/>
        <v>_</v>
      </c>
      <c r="K159" t="str">
        <f t="shared" ca="1" si="10"/>
        <v>_XX_</v>
      </c>
      <c r="L159" t="str">
        <f t="shared" ca="1" si="11"/>
        <v/>
      </c>
      <c r="M159" t="str">
        <f>IFERROR(INDEX(Inventory!A:A,MATCH(Scan!A159,Inventory!E:E,0)),"")</f>
        <v/>
      </c>
    </row>
    <row r="160" spans="2:13" x14ac:dyDescent="0.3">
      <c r="B160" t="str">
        <f>IF(IFERROR(VLOOKUP(TRIM(A160),Inventory!E:E,1,0),0)=0,"X","_")</f>
        <v>_</v>
      </c>
      <c r="C160" t="str">
        <f>IF(IFERROR(VLOOKUP(TRIM(A160),'Full Inventory'!F:F,1,0),0)=0,"X","_")</f>
        <v>X</v>
      </c>
      <c r="D160" t="str">
        <f t="shared" si="8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F160" t="str">
        <f t="shared" si="9"/>
        <v>_</v>
      </c>
      <c r="K160" t="str">
        <f t="shared" ca="1" si="10"/>
        <v>_XX_</v>
      </c>
      <c r="L160" t="str">
        <f t="shared" ca="1" si="11"/>
        <v/>
      </c>
      <c r="M160" t="str">
        <f>IFERROR(INDEX(Inventory!A:A,MATCH(Scan!A160,Inventory!E:E,0)),"")</f>
        <v/>
      </c>
    </row>
    <row r="161" spans="2:13" x14ac:dyDescent="0.3">
      <c r="B161" t="str">
        <f>IF(IFERROR(VLOOKUP(TRIM(A161),Inventory!E:E,1,0),0)=0,"X","_")</f>
        <v>_</v>
      </c>
      <c r="C161" t="str">
        <f>IF(IFERROR(VLOOKUP(TRIM(A161),'Full Inventory'!F:F,1,0),0)=0,"X","_")</f>
        <v>X</v>
      </c>
      <c r="D161" t="str">
        <f t="shared" si="8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F161" t="str">
        <f t="shared" si="9"/>
        <v>_</v>
      </c>
      <c r="K161" t="str">
        <f t="shared" ca="1" si="10"/>
        <v>_XX_</v>
      </c>
      <c r="L161" t="str">
        <f t="shared" ca="1" si="11"/>
        <v/>
      </c>
      <c r="M161" t="str">
        <f>IFERROR(INDEX(Inventory!A:A,MATCH(Scan!A161,Inventory!E:E,0)),"")</f>
        <v/>
      </c>
    </row>
    <row r="162" spans="2:13" x14ac:dyDescent="0.3">
      <c r="B162" t="str">
        <f>IF(IFERROR(VLOOKUP(TRIM(A162),Inventory!E:E,1,0),0)=0,"X","_")</f>
        <v>_</v>
      </c>
      <c r="C162" t="str">
        <f>IF(IFERROR(VLOOKUP(TRIM(A162),'Full Inventory'!F:F,1,0),0)=0,"X","_")</f>
        <v>X</v>
      </c>
      <c r="D162" t="str">
        <f t="shared" si="8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F162" t="str">
        <f t="shared" si="9"/>
        <v>_</v>
      </c>
      <c r="K162" t="str">
        <f t="shared" ca="1" si="10"/>
        <v>_XX_</v>
      </c>
      <c r="L162" t="str">
        <f t="shared" ca="1" si="11"/>
        <v/>
      </c>
      <c r="M162" t="str">
        <f>IFERROR(INDEX(Inventory!A:A,MATCH(Scan!A162,Inventory!E:E,0)),"")</f>
        <v/>
      </c>
    </row>
    <row r="163" spans="2:13" x14ac:dyDescent="0.3">
      <c r="B163" t="str">
        <f>IF(IFERROR(VLOOKUP(TRIM(A163),Inventory!E:E,1,0),0)=0,"X","_")</f>
        <v>_</v>
      </c>
      <c r="C163" t="str">
        <f>IF(IFERROR(VLOOKUP(TRIM(A163),'Full Inventory'!F:F,1,0),0)=0,"X","_")</f>
        <v>X</v>
      </c>
      <c r="D163" t="str">
        <f t="shared" si="8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F163" t="str">
        <f t="shared" si="9"/>
        <v>_</v>
      </c>
      <c r="K163" t="str">
        <f t="shared" ca="1" si="10"/>
        <v>_XX_</v>
      </c>
      <c r="L163" t="str">
        <f t="shared" ca="1" si="11"/>
        <v/>
      </c>
      <c r="M163" t="str">
        <f>IFERROR(INDEX(Inventory!A:A,MATCH(Scan!A163,Inventory!E:E,0)),"")</f>
        <v/>
      </c>
    </row>
    <row r="164" spans="2:13" x14ac:dyDescent="0.3">
      <c r="B164" t="str">
        <f>IF(IFERROR(VLOOKUP(TRIM(A164),Inventory!E:E,1,0),0)=0,"X","_")</f>
        <v>_</v>
      </c>
      <c r="C164" t="str">
        <f>IF(IFERROR(VLOOKUP(TRIM(A164),'Full Inventory'!F:F,1,0),0)=0,"X","_")</f>
        <v>X</v>
      </c>
      <c r="D164" t="str">
        <f t="shared" si="8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F164" t="str">
        <f t="shared" si="9"/>
        <v>_</v>
      </c>
      <c r="K164" t="str">
        <f t="shared" ca="1" si="10"/>
        <v>_XX_</v>
      </c>
      <c r="L164" t="str">
        <f t="shared" ca="1" si="11"/>
        <v/>
      </c>
      <c r="M164" t="str">
        <f>IFERROR(INDEX(Inventory!A:A,MATCH(Scan!A164,Inventory!E:E,0)),"")</f>
        <v/>
      </c>
    </row>
    <row r="165" spans="2:13" x14ac:dyDescent="0.3">
      <c r="B165" t="str">
        <f>IF(IFERROR(VLOOKUP(TRIM(A165),Inventory!E:E,1,0),0)=0,"X","_")</f>
        <v>_</v>
      </c>
      <c r="C165" t="str">
        <f>IF(IFERROR(VLOOKUP(TRIM(A165),'Full Inventory'!F:F,1,0),0)=0,"X","_")</f>
        <v>X</v>
      </c>
      <c r="D165" t="str">
        <f t="shared" si="8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F165" t="str">
        <f t="shared" si="9"/>
        <v>_</v>
      </c>
      <c r="K165" t="str">
        <f t="shared" ca="1" si="10"/>
        <v>_XX_</v>
      </c>
      <c r="L165" t="str">
        <f t="shared" ca="1" si="11"/>
        <v/>
      </c>
      <c r="M165" t="str">
        <f>IFERROR(INDEX(Inventory!A:A,MATCH(Scan!A165,Inventory!E:E,0)),"")</f>
        <v/>
      </c>
    </row>
    <row r="166" spans="2:13" x14ac:dyDescent="0.3">
      <c r="B166" t="str">
        <f>IF(IFERROR(VLOOKUP(TRIM(A166),Inventory!E:E,1,0),0)=0,"X","_")</f>
        <v>_</v>
      </c>
      <c r="C166" t="str">
        <f>IF(IFERROR(VLOOKUP(TRIM(A166),'Full Inventory'!F:F,1,0),0)=0,"X","_")</f>
        <v>X</v>
      </c>
      <c r="D166" t="str">
        <f t="shared" si="8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F166" t="str">
        <f t="shared" si="9"/>
        <v>_</v>
      </c>
      <c r="K166" t="str">
        <f t="shared" ca="1" si="10"/>
        <v>_XX_</v>
      </c>
      <c r="L166" t="str">
        <f t="shared" ca="1" si="11"/>
        <v/>
      </c>
      <c r="M166" t="str">
        <f>IFERROR(INDEX(Inventory!A:A,MATCH(Scan!A166,Inventory!E:E,0)),"")</f>
        <v/>
      </c>
    </row>
    <row r="167" spans="2:13" x14ac:dyDescent="0.3">
      <c r="B167" t="str">
        <f>IF(IFERROR(VLOOKUP(TRIM(A167),Inventory!E:E,1,0),0)=0,"X","_")</f>
        <v>_</v>
      </c>
      <c r="C167" t="str">
        <f>IF(IFERROR(VLOOKUP(TRIM(A167),'Full Inventory'!F:F,1,0),0)=0,"X","_")</f>
        <v>X</v>
      </c>
      <c r="D167" t="str">
        <f t="shared" si="8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F167" t="str">
        <f t="shared" si="9"/>
        <v>_</v>
      </c>
      <c r="K167" t="str">
        <f t="shared" ca="1" si="10"/>
        <v>_XX_</v>
      </c>
      <c r="L167" t="str">
        <f t="shared" ca="1" si="11"/>
        <v/>
      </c>
      <c r="M167" t="str">
        <f>IFERROR(INDEX(Inventory!A:A,MATCH(Scan!A167,Inventory!E:E,0)),"")</f>
        <v/>
      </c>
    </row>
    <row r="168" spans="2:13" x14ac:dyDescent="0.3">
      <c r="B168" t="str">
        <f>IF(IFERROR(VLOOKUP(TRIM(A168),Inventory!E:E,1,0),0)=0,"X","_")</f>
        <v>_</v>
      </c>
      <c r="C168" t="str">
        <f>IF(IFERROR(VLOOKUP(TRIM(A168),'Full Inventory'!F:F,1,0),0)=0,"X","_")</f>
        <v>X</v>
      </c>
      <c r="D168" t="str">
        <f t="shared" si="8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F168" t="str">
        <f t="shared" si="9"/>
        <v>_</v>
      </c>
      <c r="K168" t="str">
        <f t="shared" ca="1" si="10"/>
        <v>_XX_</v>
      </c>
      <c r="L168" t="str">
        <f t="shared" ca="1" si="11"/>
        <v/>
      </c>
      <c r="M168" t="str">
        <f>IFERROR(INDEX(Inventory!A:A,MATCH(Scan!A168,Inventory!E:E,0)),"")</f>
        <v/>
      </c>
    </row>
    <row r="169" spans="2:13" x14ac:dyDescent="0.3">
      <c r="B169" t="str">
        <f>IF(IFERROR(VLOOKUP(TRIM(A169),Inventory!E:E,1,0),0)=0,"X","_")</f>
        <v>_</v>
      </c>
      <c r="C169" t="str">
        <f>IF(IFERROR(VLOOKUP(TRIM(A169),'Full Inventory'!F:F,1,0),0)=0,"X","_")</f>
        <v>X</v>
      </c>
      <c r="D169" t="str">
        <f t="shared" si="8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F169" t="str">
        <f t="shared" si="9"/>
        <v>_</v>
      </c>
      <c r="K169" t="str">
        <f t="shared" ca="1" si="10"/>
        <v>_XX_</v>
      </c>
      <c r="L169" t="str">
        <f t="shared" ca="1" si="11"/>
        <v/>
      </c>
      <c r="M169" t="str">
        <f>IFERROR(INDEX(Inventory!A:A,MATCH(Scan!A169,Inventory!E:E,0)),"")</f>
        <v/>
      </c>
    </row>
    <row r="170" spans="2:13" x14ac:dyDescent="0.3">
      <c r="B170" t="str">
        <f>IF(IFERROR(VLOOKUP(TRIM(A170),Inventory!E:E,1,0),0)=0,"X","_")</f>
        <v>_</v>
      </c>
      <c r="C170" t="str">
        <f>IF(IFERROR(VLOOKUP(TRIM(A170),'Full Inventory'!F:F,1,0),0)=0,"X","_")</f>
        <v>X</v>
      </c>
      <c r="D170" t="str">
        <f t="shared" si="8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F170" t="str">
        <f t="shared" si="9"/>
        <v>_</v>
      </c>
      <c r="K170" t="str">
        <f t="shared" ca="1" si="10"/>
        <v>_XX_</v>
      </c>
      <c r="L170" t="str">
        <f t="shared" ca="1" si="11"/>
        <v/>
      </c>
      <c r="M170" t="str">
        <f>IFERROR(INDEX(Inventory!A:A,MATCH(Scan!A170,Inventory!E:E,0)),"")</f>
        <v/>
      </c>
    </row>
    <row r="171" spans="2:13" x14ac:dyDescent="0.3">
      <c r="B171" t="str">
        <f>IF(IFERROR(VLOOKUP(TRIM(A171),Inventory!E:E,1,0),0)=0,"X","_")</f>
        <v>_</v>
      </c>
      <c r="C171" t="str">
        <f>IF(IFERROR(VLOOKUP(TRIM(A171),'Full Inventory'!F:F,1,0),0)=0,"X","_")</f>
        <v>X</v>
      </c>
      <c r="D171" t="str">
        <f t="shared" si="8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F171" t="str">
        <f t="shared" si="9"/>
        <v>_</v>
      </c>
      <c r="K171" t="str">
        <f t="shared" ca="1" si="10"/>
        <v>_XX_</v>
      </c>
      <c r="L171" t="str">
        <f t="shared" ca="1" si="11"/>
        <v/>
      </c>
      <c r="M171" t="str">
        <f>IFERROR(INDEX(Inventory!A:A,MATCH(Scan!A171,Inventory!E:E,0)),"")</f>
        <v/>
      </c>
    </row>
    <row r="172" spans="2:13" x14ac:dyDescent="0.3">
      <c r="B172" t="str">
        <f>IF(IFERROR(VLOOKUP(TRIM(A172),Inventory!E:E,1,0),0)=0,"X","_")</f>
        <v>_</v>
      </c>
      <c r="C172" t="str">
        <f>IF(IFERROR(VLOOKUP(TRIM(A172),'Full Inventory'!F:F,1,0),0)=0,"X","_")</f>
        <v>X</v>
      </c>
      <c r="D172" t="str">
        <f t="shared" si="8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F172" t="str">
        <f t="shared" si="9"/>
        <v>_</v>
      </c>
      <c r="K172" t="str">
        <f t="shared" ca="1" si="10"/>
        <v>_XX_</v>
      </c>
      <c r="L172" t="str">
        <f t="shared" ca="1" si="11"/>
        <v/>
      </c>
      <c r="M172" t="str">
        <f>IFERROR(INDEX(Inventory!A:A,MATCH(Scan!A172,Inventory!E:E,0)),"")</f>
        <v/>
      </c>
    </row>
    <row r="173" spans="2:13" x14ac:dyDescent="0.3">
      <c r="B173" t="str">
        <f>IF(IFERROR(VLOOKUP(TRIM(A173),Inventory!E:E,1,0),0)=0,"X","_")</f>
        <v>_</v>
      </c>
      <c r="C173" t="str">
        <f>IF(IFERROR(VLOOKUP(TRIM(A173),'Full Inventory'!F:F,1,0),0)=0,"X","_")</f>
        <v>X</v>
      </c>
      <c r="D173" t="str">
        <f t="shared" si="8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F173" t="str">
        <f t="shared" si="9"/>
        <v>_</v>
      </c>
      <c r="K173" t="str">
        <f t="shared" ca="1" si="10"/>
        <v>_XX_</v>
      </c>
      <c r="L173" t="str">
        <f t="shared" ca="1" si="11"/>
        <v/>
      </c>
      <c r="M173" t="str">
        <f>IFERROR(INDEX(Inventory!A:A,MATCH(Scan!A173,Inventory!E:E,0)),"")</f>
        <v/>
      </c>
    </row>
    <row r="174" spans="2:13" x14ac:dyDescent="0.3">
      <c r="B174" t="str">
        <f>IF(IFERROR(VLOOKUP(TRIM(A174),Inventory!E:E,1,0),0)=0,"X","_")</f>
        <v>_</v>
      </c>
      <c r="C174" t="str">
        <f>IF(IFERROR(VLOOKUP(TRIM(A174),'Full Inventory'!F:F,1,0),0)=0,"X","_")</f>
        <v>X</v>
      </c>
      <c r="D174" t="str">
        <f t="shared" si="8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F174" t="str">
        <f t="shared" si="9"/>
        <v>_</v>
      </c>
      <c r="K174" t="str">
        <f t="shared" ca="1" si="10"/>
        <v>_XX_</v>
      </c>
      <c r="L174" t="str">
        <f t="shared" ca="1" si="11"/>
        <v/>
      </c>
      <c r="M174" t="str">
        <f>IFERROR(INDEX(Inventory!A:A,MATCH(Scan!A174,Inventory!E:E,0)),"")</f>
        <v/>
      </c>
    </row>
    <row r="175" spans="2:13" x14ac:dyDescent="0.3">
      <c r="B175" t="str">
        <f>IF(IFERROR(VLOOKUP(TRIM(A175),Inventory!E:E,1,0),0)=0,"X","_")</f>
        <v>_</v>
      </c>
      <c r="C175" t="str">
        <f>IF(IFERROR(VLOOKUP(TRIM(A175),'Full Inventory'!F:F,1,0),0)=0,"X","_")</f>
        <v>X</v>
      </c>
      <c r="D175" t="str">
        <f t="shared" si="8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F175" t="str">
        <f t="shared" si="9"/>
        <v>_</v>
      </c>
      <c r="K175" t="str">
        <f t="shared" ca="1" si="10"/>
        <v>_XX_</v>
      </c>
      <c r="L175" t="str">
        <f t="shared" ca="1" si="11"/>
        <v/>
      </c>
      <c r="M175" t="str">
        <f>IFERROR(INDEX(Inventory!A:A,MATCH(Scan!A175,Inventory!E:E,0)),"")</f>
        <v/>
      </c>
    </row>
    <row r="176" spans="2:13" x14ac:dyDescent="0.3">
      <c r="B176" t="str">
        <f>IF(IFERROR(VLOOKUP(TRIM(A176),Inventory!E:E,1,0),0)=0,"X","_")</f>
        <v>_</v>
      </c>
      <c r="C176" t="str">
        <f>IF(IFERROR(VLOOKUP(TRIM(A176),'Full Inventory'!F:F,1,0),0)=0,"X","_")</f>
        <v>X</v>
      </c>
      <c r="D176" t="str">
        <f t="shared" si="8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F176" t="str">
        <f t="shared" si="9"/>
        <v>_</v>
      </c>
      <c r="K176" t="str">
        <f t="shared" ca="1" si="10"/>
        <v>_XX_</v>
      </c>
      <c r="L176" t="str">
        <f t="shared" ca="1" si="11"/>
        <v/>
      </c>
      <c r="M176" t="str">
        <f>IFERROR(INDEX(Inventory!A:A,MATCH(Scan!A176,Inventory!E:E,0)),"")</f>
        <v/>
      </c>
    </row>
    <row r="177" spans="2:13" x14ac:dyDescent="0.3">
      <c r="B177" t="str">
        <f>IF(IFERROR(VLOOKUP(TRIM(A177),Inventory!E:E,1,0),0)=0,"X","_")</f>
        <v>_</v>
      </c>
      <c r="C177" t="str">
        <f>IF(IFERROR(VLOOKUP(TRIM(A177),'Full Inventory'!F:F,1,0),0)=0,"X","_")</f>
        <v>X</v>
      </c>
      <c r="D177" t="str">
        <f t="shared" si="8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F177" t="str">
        <f t="shared" si="9"/>
        <v>_</v>
      </c>
      <c r="K177" t="str">
        <f t="shared" ca="1" si="10"/>
        <v>_XX_</v>
      </c>
      <c r="L177" t="str">
        <f t="shared" ca="1" si="11"/>
        <v/>
      </c>
      <c r="M177" t="str">
        <f>IFERROR(INDEX(Inventory!A:A,MATCH(Scan!A177,Inventory!E:E,0)),"")</f>
        <v/>
      </c>
    </row>
    <row r="178" spans="2:13" x14ac:dyDescent="0.3">
      <c r="B178" t="str">
        <f>IF(IFERROR(VLOOKUP(TRIM(A178),Inventory!E:E,1,0),0)=0,"X","_")</f>
        <v>_</v>
      </c>
      <c r="C178" t="str">
        <f>IF(IFERROR(VLOOKUP(TRIM(A178),'Full Inventory'!F:F,1,0),0)=0,"X","_")</f>
        <v>X</v>
      </c>
      <c r="D178" t="str">
        <f t="shared" si="8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F178" t="str">
        <f t="shared" si="9"/>
        <v>_</v>
      </c>
      <c r="K178" t="str">
        <f t="shared" ca="1" si="10"/>
        <v>_XX_</v>
      </c>
      <c r="L178" t="str">
        <f t="shared" ca="1" si="11"/>
        <v/>
      </c>
      <c r="M178" t="str">
        <f>IFERROR(INDEX(Inventory!A:A,MATCH(Scan!A178,Inventory!E:E,0)),"")</f>
        <v/>
      </c>
    </row>
    <row r="179" spans="2:13" x14ac:dyDescent="0.3">
      <c r="B179" t="str">
        <f>IF(IFERROR(VLOOKUP(TRIM(A179),Inventory!E:E,1,0),0)=0,"X","_")</f>
        <v>_</v>
      </c>
      <c r="C179" t="str">
        <f>IF(IFERROR(VLOOKUP(TRIM(A179),'Full Inventory'!F:F,1,0),0)=0,"X","_")</f>
        <v>X</v>
      </c>
      <c r="D179" t="str">
        <f t="shared" si="8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F179" t="str">
        <f t="shared" si="9"/>
        <v>_</v>
      </c>
      <c r="K179" t="str">
        <f t="shared" ca="1" si="10"/>
        <v>_XX_</v>
      </c>
      <c r="L179" t="str">
        <f t="shared" ca="1" si="11"/>
        <v/>
      </c>
      <c r="M179" t="str">
        <f>IFERROR(INDEX(Inventory!A:A,MATCH(Scan!A179,Inventory!E:E,0)),"")</f>
        <v/>
      </c>
    </row>
    <row r="180" spans="2:13" x14ac:dyDescent="0.3">
      <c r="B180" t="str">
        <f>IF(IFERROR(VLOOKUP(TRIM(A180),Inventory!E:E,1,0),0)=0,"X","_")</f>
        <v>_</v>
      </c>
      <c r="C180" t="str">
        <f>IF(IFERROR(VLOOKUP(TRIM(A180),'Full Inventory'!F:F,1,0),0)=0,"X","_")</f>
        <v>X</v>
      </c>
      <c r="D180" t="str">
        <f t="shared" si="8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F180" t="str">
        <f t="shared" si="9"/>
        <v>_</v>
      </c>
      <c r="K180" t="str">
        <f t="shared" ca="1" si="10"/>
        <v>_XX_</v>
      </c>
      <c r="L180" t="str">
        <f t="shared" ca="1" si="11"/>
        <v/>
      </c>
      <c r="M180" t="str">
        <f>IFERROR(INDEX(Inventory!A:A,MATCH(Scan!A180,Inventory!E:E,0)),"")</f>
        <v/>
      </c>
    </row>
    <row r="181" spans="2:13" x14ac:dyDescent="0.3">
      <c r="B181" t="str">
        <f>IF(IFERROR(VLOOKUP(TRIM(A181),Inventory!E:E,1,0),0)=0,"X","_")</f>
        <v>_</v>
      </c>
      <c r="C181" t="str">
        <f>IF(IFERROR(VLOOKUP(TRIM(A181),'Full Inventory'!F:F,1,0),0)=0,"X","_")</f>
        <v>X</v>
      </c>
      <c r="D181" t="str">
        <f t="shared" si="8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F181" t="str">
        <f t="shared" si="9"/>
        <v>_</v>
      </c>
      <c r="K181" t="str">
        <f t="shared" ca="1" si="10"/>
        <v>_XX_</v>
      </c>
      <c r="L181" t="str">
        <f t="shared" ca="1" si="11"/>
        <v/>
      </c>
      <c r="M181" t="str">
        <f>IFERROR(INDEX(Inventory!A:A,MATCH(Scan!A181,Inventory!E:E,0)),"")</f>
        <v/>
      </c>
    </row>
    <row r="182" spans="2:13" x14ac:dyDescent="0.3">
      <c r="B182" t="str">
        <f>IF(IFERROR(VLOOKUP(TRIM(A182),Inventory!E:E,1,0),0)=0,"X","_")</f>
        <v>_</v>
      </c>
      <c r="C182" t="str">
        <f>IF(IFERROR(VLOOKUP(TRIM(A182),'Full Inventory'!F:F,1,0),0)=0,"X","_")</f>
        <v>X</v>
      </c>
      <c r="D182" t="str">
        <f t="shared" si="8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F182" t="str">
        <f t="shared" si="9"/>
        <v>_</v>
      </c>
      <c r="K182" t="str">
        <f t="shared" ca="1" si="10"/>
        <v>_XX_</v>
      </c>
      <c r="L182" t="str">
        <f t="shared" ca="1" si="11"/>
        <v/>
      </c>
      <c r="M182" t="str">
        <f>IFERROR(INDEX(Inventory!A:A,MATCH(Scan!A182,Inventory!E:E,0)),"")</f>
        <v/>
      </c>
    </row>
    <row r="183" spans="2:13" x14ac:dyDescent="0.3">
      <c r="B183" t="str">
        <f>IF(IFERROR(VLOOKUP(TRIM(A183),Inventory!E:E,1,0),0)=0,"X","_")</f>
        <v>_</v>
      </c>
      <c r="C183" t="str">
        <f>IF(IFERROR(VLOOKUP(TRIM(A183),'Full Inventory'!F:F,1,0),0)=0,"X","_")</f>
        <v>X</v>
      </c>
      <c r="D183" t="str">
        <f t="shared" si="8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F183" t="str">
        <f t="shared" si="9"/>
        <v>_</v>
      </c>
      <c r="K183" t="str">
        <f t="shared" ca="1" si="10"/>
        <v>_XX_</v>
      </c>
      <c r="L183" t="str">
        <f t="shared" ca="1" si="11"/>
        <v/>
      </c>
      <c r="M183" t="str">
        <f>IFERROR(INDEX(Inventory!A:A,MATCH(Scan!A183,Inventory!E:E,0)),"")</f>
        <v/>
      </c>
    </row>
    <row r="184" spans="2:13" x14ac:dyDescent="0.3">
      <c r="B184" t="str">
        <f>IF(IFERROR(VLOOKUP(TRIM(A184),Inventory!E:E,1,0),0)=0,"X","_")</f>
        <v>_</v>
      </c>
      <c r="C184" t="str">
        <f>IF(IFERROR(VLOOKUP(TRIM(A184),'Full Inventory'!F:F,1,0),0)=0,"X","_")</f>
        <v>X</v>
      </c>
      <c r="D184" t="str">
        <f t="shared" si="8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F184" t="str">
        <f t="shared" si="9"/>
        <v>_</v>
      </c>
      <c r="K184" t="str">
        <f t="shared" ca="1" si="10"/>
        <v>_XX_</v>
      </c>
      <c r="L184" t="str">
        <f t="shared" ca="1" si="11"/>
        <v/>
      </c>
      <c r="M184" t="str">
        <f>IFERROR(INDEX(Inventory!A:A,MATCH(Scan!A184,Inventory!E:E,0)),"")</f>
        <v/>
      </c>
    </row>
    <row r="185" spans="2:13" x14ac:dyDescent="0.3">
      <c r="B185" t="str">
        <f>IF(IFERROR(VLOOKUP(TRIM(A185),Inventory!E:E,1,0),0)=0,"X","_")</f>
        <v>_</v>
      </c>
      <c r="C185" t="str">
        <f>IF(IFERROR(VLOOKUP(TRIM(A185),'Full Inventory'!F:F,1,0),0)=0,"X","_")</f>
        <v>X</v>
      </c>
      <c r="D185" t="str">
        <f t="shared" si="8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F185" t="str">
        <f t="shared" si="9"/>
        <v>_</v>
      </c>
      <c r="K185" t="str">
        <f t="shared" ca="1" si="10"/>
        <v>_XX_</v>
      </c>
      <c r="L185" t="str">
        <f t="shared" ca="1" si="11"/>
        <v/>
      </c>
      <c r="M185" t="str">
        <f>IFERROR(INDEX(Inventory!A:A,MATCH(Scan!A185,Inventory!E:E,0)),"")</f>
        <v/>
      </c>
    </row>
    <row r="186" spans="2:13" x14ac:dyDescent="0.3">
      <c r="B186" t="str">
        <f>IF(IFERROR(VLOOKUP(TRIM(A186),Inventory!E:E,1,0),0)=0,"X","_")</f>
        <v>_</v>
      </c>
      <c r="C186" t="str">
        <f>IF(IFERROR(VLOOKUP(TRIM(A186),'Full Inventory'!F:F,1,0),0)=0,"X","_")</f>
        <v>X</v>
      </c>
      <c r="D186" t="str">
        <f t="shared" si="8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F186" t="str">
        <f t="shared" si="9"/>
        <v>_</v>
      </c>
      <c r="K186" t="str">
        <f t="shared" ca="1" si="10"/>
        <v>_XX_</v>
      </c>
      <c r="L186" t="str">
        <f t="shared" ca="1" si="11"/>
        <v/>
      </c>
      <c r="M186" t="str">
        <f>IFERROR(INDEX(Inventory!A:A,MATCH(Scan!A186,Inventory!E:E,0)),"")</f>
        <v/>
      </c>
    </row>
    <row r="187" spans="2:13" x14ac:dyDescent="0.3">
      <c r="B187" t="str">
        <f>IF(IFERROR(VLOOKUP(TRIM(A187),Inventory!E:E,1,0),0)=0,"X","_")</f>
        <v>_</v>
      </c>
      <c r="C187" t="str">
        <f>IF(IFERROR(VLOOKUP(TRIM(A187),'Full Inventory'!F:F,1,0),0)=0,"X","_")</f>
        <v>X</v>
      </c>
      <c r="D187" t="str">
        <f t="shared" si="8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F187" t="str">
        <f t="shared" si="9"/>
        <v>_</v>
      </c>
      <c r="K187" t="str">
        <f t="shared" ca="1" si="10"/>
        <v>_XX_</v>
      </c>
      <c r="L187" t="str">
        <f t="shared" ca="1" si="11"/>
        <v/>
      </c>
      <c r="M187" t="str">
        <f>IFERROR(INDEX(Inventory!A:A,MATCH(Scan!A187,Inventory!E:E,0)),"")</f>
        <v/>
      </c>
    </row>
    <row r="188" spans="2:13" x14ac:dyDescent="0.3">
      <c r="B188" t="str">
        <f>IF(IFERROR(VLOOKUP(TRIM(A188),Inventory!E:E,1,0),0)=0,"X","_")</f>
        <v>_</v>
      </c>
      <c r="C188" t="str">
        <f>IF(IFERROR(VLOOKUP(TRIM(A188),'Full Inventory'!F:F,1,0),0)=0,"X","_")</f>
        <v>X</v>
      </c>
      <c r="D188" t="str">
        <f t="shared" si="8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F188" t="str">
        <f t="shared" si="9"/>
        <v>_</v>
      </c>
      <c r="K188" t="str">
        <f t="shared" ca="1" si="10"/>
        <v>_XX_</v>
      </c>
      <c r="L188" t="str">
        <f t="shared" ca="1" si="11"/>
        <v/>
      </c>
      <c r="M188" t="str">
        <f>IFERROR(INDEX(Inventory!A:A,MATCH(Scan!A188,Inventory!E:E,0)),"")</f>
        <v/>
      </c>
    </row>
    <row r="189" spans="2:13" x14ac:dyDescent="0.3">
      <c r="B189" t="str">
        <f>IF(IFERROR(VLOOKUP(TRIM(A189),Inventory!E:E,1,0),0)=0,"X","_")</f>
        <v>_</v>
      </c>
      <c r="C189" t="str">
        <f>IF(IFERROR(VLOOKUP(TRIM(A189),'Full Inventory'!F:F,1,0),0)=0,"X","_")</f>
        <v>X</v>
      </c>
      <c r="D189" t="str">
        <f t="shared" si="8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F189" t="str">
        <f t="shared" si="9"/>
        <v>_</v>
      </c>
      <c r="K189" t="str">
        <f t="shared" ca="1" si="10"/>
        <v>_XX_</v>
      </c>
      <c r="L189" t="str">
        <f t="shared" ca="1" si="11"/>
        <v/>
      </c>
      <c r="M189" t="str">
        <f>IFERROR(INDEX(Inventory!A:A,MATCH(Scan!A189,Inventory!E:E,0)),"")</f>
        <v/>
      </c>
    </row>
    <row r="190" spans="2:13" x14ac:dyDescent="0.3">
      <c r="B190" t="str">
        <f>IF(IFERROR(VLOOKUP(TRIM(A190),Inventory!E:E,1,0),0)=0,"X","_")</f>
        <v>_</v>
      </c>
      <c r="C190" t="str">
        <f>IF(IFERROR(VLOOKUP(TRIM(A190),'Full Inventory'!F:F,1,0),0)=0,"X","_")</f>
        <v>X</v>
      </c>
      <c r="D190" t="str">
        <f t="shared" si="8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F190" t="str">
        <f t="shared" si="9"/>
        <v>_</v>
      </c>
      <c r="K190" t="str">
        <f t="shared" ca="1" si="10"/>
        <v>_XX_</v>
      </c>
      <c r="L190" t="str">
        <f t="shared" ca="1" si="11"/>
        <v/>
      </c>
      <c r="M190" t="str">
        <f>IFERROR(INDEX(Inventory!A:A,MATCH(Scan!A190,Inventory!E:E,0)),"")</f>
        <v/>
      </c>
    </row>
    <row r="191" spans="2:13" x14ac:dyDescent="0.3">
      <c r="B191" t="str">
        <f>IF(IFERROR(VLOOKUP(TRIM(A191),Inventory!E:E,1,0),0)=0,"X","_")</f>
        <v>_</v>
      </c>
      <c r="C191" t="str">
        <f>IF(IFERROR(VLOOKUP(TRIM(A191),'Full Inventory'!F:F,1,0),0)=0,"X","_")</f>
        <v>X</v>
      </c>
      <c r="D191" t="str">
        <f t="shared" si="8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F191" t="str">
        <f t="shared" si="9"/>
        <v>_</v>
      </c>
      <c r="K191" t="str">
        <f t="shared" ca="1" si="10"/>
        <v>_XX_</v>
      </c>
      <c r="L191" t="str">
        <f t="shared" ca="1" si="11"/>
        <v/>
      </c>
      <c r="M191" t="str">
        <f>IFERROR(INDEX(Inventory!A:A,MATCH(Scan!A191,Inventory!E:E,0)),"")</f>
        <v/>
      </c>
    </row>
    <row r="192" spans="2:13" x14ac:dyDescent="0.3">
      <c r="B192" t="str">
        <f>IF(IFERROR(VLOOKUP(TRIM(A192),Inventory!E:E,1,0),0)=0,"X","_")</f>
        <v>_</v>
      </c>
      <c r="C192" t="str">
        <f>IF(IFERROR(VLOOKUP(TRIM(A192),'Full Inventory'!F:F,1,0),0)=0,"X","_")</f>
        <v>X</v>
      </c>
      <c r="D192" t="str">
        <f t="shared" si="8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F192" t="str">
        <f t="shared" si="9"/>
        <v>_</v>
      </c>
      <c r="K192" t="str">
        <f t="shared" ca="1" si="10"/>
        <v>_XX_</v>
      </c>
      <c r="L192" t="str">
        <f t="shared" ca="1" si="11"/>
        <v/>
      </c>
      <c r="M192" t="str">
        <f>IFERROR(INDEX(Inventory!A:A,MATCH(Scan!A192,Inventory!E:E,0)),"")</f>
        <v/>
      </c>
    </row>
    <row r="193" spans="2:13" x14ac:dyDescent="0.3">
      <c r="B193" t="str">
        <f>IF(IFERROR(VLOOKUP(TRIM(A193),Inventory!E:E,1,0),0)=0,"X","_")</f>
        <v>_</v>
      </c>
      <c r="C193" t="str">
        <f>IF(IFERROR(VLOOKUP(TRIM(A193),'Full Inventory'!F:F,1,0),0)=0,"X","_")</f>
        <v>X</v>
      </c>
      <c r="D193" t="str">
        <f t="shared" si="8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F193" t="str">
        <f t="shared" si="9"/>
        <v>_</v>
      </c>
      <c r="K193" t="str">
        <f t="shared" ca="1" si="10"/>
        <v>_XX_</v>
      </c>
      <c r="L193" t="str">
        <f t="shared" ca="1" si="11"/>
        <v/>
      </c>
      <c r="M193" t="str">
        <f>IFERROR(INDEX(Inventory!A:A,MATCH(Scan!A193,Inventory!E:E,0)),"")</f>
        <v/>
      </c>
    </row>
    <row r="194" spans="2:13" x14ac:dyDescent="0.3">
      <c r="B194" t="str">
        <f>IF(IFERROR(VLOOKUP(TRIM(A194),Inventory!E:E,1,0),0)=0,"X","_")</f>
        <v>_</v>
      </c>
      <c r="C194" t="str">
        <f>IF(IFERROR(VLOOKUP(TRIM(A194),'Full Inventory'!F:F,1,0),0)=0,"X","_")</f>
        <v>X</v>
      </c>
      <c r="D194" t="str">
        <f t="shared" ref="D194:D257" si="12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F194" t="str">
        <f t="shared" si="9"/>
        <v>_</v>
      </c>
      <c r="K194" t="str">
        <f t="shared" ca="1" si="10"/>
        <v>_XX_</v>
      </c>
      <c r="L194" t="str">
        <f t="shared" ca="1" si="11"/>
        <v/>
      </c>
      <c r="M194" t="str">
        <f>IFERROR(INDEX(Inventory!A:A,MATCH(Scan!A194,Inventory!E:E,0)),"")</f>
        <v/>
      </c>
    </row>
    <row r="195" spans="2:13" x14ac:dyDescent="0.3">
      <c r="B195" t="str">
        <f>IF(IFERROR(VLOOKUP(TRIM(A195),Inventory!E:E,1,0),0)=0,"X","_")</f>
        <v>_</v>
      </c>
      <c r="C195" t="str">
        <f>IF(IFERROR(VLOOKUP(TRIM(A195),'Full Inventory'!F:F,1,0),0)=0,"X","_")</f>
        <v>X</v>
      </c>
      <c r="D195" t="str">
        <f t="shared" si="12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F195" t="str">
        <f t="shared" ref="F195:F258" si="13">IF(IFERROR(SEARCH("ö",A195),0)&gt;0,"X","_")</f>
        <v>_</v>
      </c>
      <c r="K195" t="str">
        <f t="shared" ref="K195:K258" ca="1" si="14">B195&amp;C195&amp;D195&amp;E195</f>
        <v>_XX_</v>
      </c>
      <c r="L195" t="str">
        <f t="shared" ref="L195:L258" ca="1" si="15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3">
      <c r="B196" t="str">
        <f>IF(IFERROR(VLOOKUP(TRIM(A196),Inventory!E:E,1,0),0)=0,"X","_")</f>
        <v>_</v>
      </c>
      <c r="C196" t="str">
        <f>IF(IFERROR(VLOOKUP(TRIM(A196),'Full Inventory'!F:F,1,0),0)=0,"X","_")</f>
        <v>X</v>
      </c>
      <c r="D196" t="str">
        <f t="shared" si="12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F196" t="str">
        <f t="shared" si="13"/>
        <v>_</v>
      </c>
      <c r="K196" t="str">
        <f t="shared" ca="1" si="14"/>
        <v>_XX_</v>
      </c>
      <c r="L196" t="str">
        <f t="shared" ca="1" si="15"/>
        <v/>
      </c>
      <c r="M196" t="str">
        <f>IFERROR(INDEX(Inventory!A:A,MATCH(Scan!A196,Inventory!E:E,0)),"")</f>
        <v/>
      </c>
    </row>
    <row r="197" spans="2:13" x14ac:dyDescent="0.3">
      <c r="B197" t="str">
        <f>IF(IFERROR(VLOOKUP(TRIM(A197),Inventory!E:E,1,0),0)=0,"X","_")</f>
        <v>_</v>
      </c>
      <c r="C197" t="str">
        <f>IF(IFERROR(VLOOKUP(TRIM(A197),'Full Inventory'!F:F,1,0),0)=0,"X","_")</f>
        <v>X</v>
      </c>
      <c r="D197" t="str">
        <f t="shared" si="12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F197" t="str">
        <f t="shared" si="13"/>
        <v>_</v>
      </c>
      <c r="K197" t="str">
        <f t="shared" ca="1" si="14"/>
        <v>_XX_</v>
      </c>
      <c r="L197" t="str">
        <f t="shared" ca="1" si="15"/>
        <v/>
      </c>
      <c r="M197" t="str">
        <f>IFERROR(INDEX(Inventory!A:A,MATCH(Scan!A197,Inventory!E:E,0)),"")</f>
        <v/>
      </c>
    </row>
    <row r="198" spans="2:13" x14ac:dyDescent="0.3">
      <c r="B198" t="str">
        <f>IF(IFERROR(VLOOKUP(TRIM(A198),Inventory!E:E,1,0),0)=0,"X","_")</f>
        <v>_</v>
      </c>
      <c r="C198" t="str">
        <f>IF(IFERROR(VLOOKUP(TRIM(A198),'Full Inventory'!F:F,1,0),0)=0,"X","_")</f>
        <v>X</v>
      </c>
      <c r="D198" t="str">
        <f t="shared" si="12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F198" t="str">
        <f t="shared" si="13"/>
        <v>_</v>
      </c>
      <c r="K198" t="str">
        <f t="shared" ca="1" si="14"/>
        <v>_XX_</v>
      </c>
      <c r="L198" t="str">
        <f t="shared" ca="1" si="15"/>
        <v/>
      </c>
      <c r="M198" t="str">
        <f>IFERROR(INDEX(Inventory!A:A,MATCH(Scan!A198,Inventory!E:E,0)),"")</f>
        <v/>
      </c>
    </row>
    <row r="199" spans="2:13" x14ac:dyDescent="0.3">
      <c r="B199" t="str">
        <f>IF(IFERROR(VLOOKUP(TRIM(A199),Inventory!E:E,1,0),0)=0,"X","_")</f>
        <v>_</v>
      </c>
      <c r="C199" t="str">
        <f>IF(IFERROR(VLOOKUP(TRIM(A199),'Full Inventory'!F:F,1,0),0)=0,"X","_")</f>
        <v>X</v>
      </c>
      <c r="D199" t="str">
        <f t="shared" si="12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F199" t="str">
        <f t="shared" si="13"/>
        <v>_</v>
      </c>
      <c r="K199" t="str">
        <f t="shared" ca="1" si="14"/>
        <v>_XX_</v>
      </c>
      <c r="L199" t="str">
        <f t="shared" ca="1" si="15"/>
        <v/>
      </c>
      <c r="M199" t="str">
        <f>IFERROR(INDEX(Inventory!A:A,MATCH(Scan!A199,Inventory!E:E,0)),"")</f>
        <v/>
      </c>
    </row>
    <row r="200" spans="2:13" x14ac:dyDescent="0.3">
      <c r="B200" t="str">
        <f>IF(IFERROR(VLOOKUP(TRIM(A200),Inventory!E:E,1,0),0)=0,"X","_")</f>
        <v>_</v>
      </c>
      <c r="C200" t="str">
        <f>IF(IFERROR(VLOOKUP(TRIM(A200),'Full Inventory'!F:F,1,0),0)=0,"X","_")</f>
        <v>X</v>
      </c>
      <c r="D200" t="str">
        <f t="shared" si="12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F200" t="str">
        <f t="shared" si="13"/>
        <v>_</v>
      </c>
      <c r="K200" t="str">
        <f t="shared" ca="1" si="14"/>
        <v>_XX_</v>
      </c>
      <c r="L200" t="str">
        <f t="shared" ca="1" si="15"/>
        <v/>
      </c>
      <c r="M200" t="str">
        <f>IFERROR(INDEX(Inventory!A:A,MATCH(Scan!A200,Inventory!E:E,0)),"")</f>
        <v/>
      </c>
    </row>
    <row r="201" spans="2:13" x14ac:dyDescent="0.3">
      <c r="B201" t="str">
        <f>IF(IFERROR(VLOOKUP(TRIM(A201),Inventory!E:E,1,0),0)=0,"X","_")</f>
        <v>_</v>
      </c>
      <c r="C201" t="str">
        <f>IF(IFERROR(VLOOKUP(TRIM(A201),'Full Inventory'!F:F,1,0),0)=0,"X","_")</f>
        <v>X</v>
      </c>
      <c r="D201" t="str">
        <f t="shared" si="12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F201" t="str">
        <f t="shared" si="13"/>
        <v>_</v>
      </c>
      <c r="K201" t="str">
        <f t="shared" ca="1" si="14"/>
        <v>_XX_</v>
      </c>
      <c r="L201" t="str">
        <f t="shared" ca="1" si="15"/>
        <v/>
      </c>
      <c r="M201" t="str">
        <f>IFERROR(INDEX(Inventory!A:A,MATCH(Scan!A201,Inventory!E:E,0)),"")</f>
        <v/>
      </c>
    </row>
    <row r="202" spans="2:13" x14ac:dyDescent="0.3">
      <c r="B202" t="str">
        <f>IF(IFERROR(VLOOKUP(TRIM(A202),Inventory!E:E,1,0),0)=0,"X","_")</f>
        <v>_</v>
      </c>
      <c r="C202" t="str">
        <f>IF(IFERROR(VLOOKUP(TRIM(A202),'Full Inventory'!F:F,1,0),0)=0,"X","_")</f>
        <v>X</v>
      </c>
      <c r="D202" t="str">
        <f t="shared" si="12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F202" t="str">
        <f t="shared" si="13"/>
        <v>_</v>
      </c>
      <c r="K202" t="str">
        <f t="shared" ca="1" si="14"/>
        <v>_XX_</v>
      </c>
      <c r="L202" t="str">
        <f t="shared" ca="1" si="15"/>
        <v/>
      </c>
      <c r="M202" t="str">
        <f>IFERROR(INDEX(Inventory!A:A,MATCH(Scan!A202,Inventory!E:E,0)),"")</f>
        <v/>
      </c>
    </row>
    <row r="203" spans="2:13" x14ac:dyDescent="0.3">
      <c r="B203" t="str">
        <f>IF(IFERROR(VLOOKUP(TRIM(A203),Inventory!E:E,1,0),0)=0,"X","_")</f>
        <v>_</v>
      </c>
      <c r="C203" t="str">
        <f>IF(IFERROR(VLOOKUP(TRIM(A203),'Full Inventory'!F:F,1,0),0)=0,"X","_")</f>
        <v>X</v>
      </c>
      <c r="D203" t="str">
        <f t="shared" si="12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F203" t="str">
        <f t="shared" si="13"/>
        <v>_</v>
      </c>
      <c r="K203" t="str">
        <f t="shared" ca="1" si="14"/>
        <v>_XX_</v>
      </c>
      <c r="L203" t="str">
        <f t="shared" ca="1" si="15"/>
        <v/>
      </c>
      <c r="M203" t="str">
        <f>IFERROR(INDEX(Inventory!A:A,MATCH(Scan!A203,Inventory!E:E,0)),"")</f>
        <v/>
      </c>
    </row>
    <row r="204" spans="2:13" x14ac:dyDescent="0.3">
      <c r="B204" t="str">
        <f>IF(IFERROR(VLOOKUP(TRIM(A204),Inventory!E:E,1,0),0)=0,"X","_")</f>
        <v>_</v>
      </c>
      <c r="C204" t="str">
        <f>IF(IFERROR(VLOOKUP(TRIM(A204),'Full Inventory'!F:F,1,0),0)=0,"X","_")</f>
        <v>X</v>
      </c>
      <c r="D204" t="str">
        <f t="shared" si="12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F204" t="str">
        <f t="shared" si="13"/>
        <v>_</v>
      </c>
      <c r="K204" t="str">
        <f t="shared" ca="1" si="14"/>
        <v>_XX_</v>
      </c>
      <c r="L204" t="str">
        <f t="shared" ca="1" si="15"/>
        <v/>
      </c>
      <c r="M204" t="str">
        <f>IFERROR(INDEX(Inventory!A:A,MATCH(Scan!A204,Inventory!E:E,0)),"")</f>
        <v/>
      </c>
    </row>
    <row r="205" spans="2:13" x14ac:dyDescent="0.3">
      <c r="B205" t="str">
        <f>IF(IFERROR(VLOOKUP(TRIM(A205),Inventory!E:E,1,0),0)=0,"X","_")</f>
        <v>_</v>
      </c>
      <c r="C205" t="str">
        <f>IF(IFERROR(VLOOKUP(TRIM(A205),'Full Inventory'!F:F,1,0),0)=0,"X","_")</f>
        <v>X</v>
      </c>
      <c r="D205" t="str">
        <f t="shared" si="12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F205" t="str">
        <f t="shared" si="13"/>
        <v>_</v>
      </c>
      <c r="K205" t="str">
        <f t="shared" ca="1" si="14"/>
        <v>_XX_</v>
      </c>
      <c r="L205" t="str">
        <f t="shared" ca="1" si="15"/>
        <v/>
      </c>
      <c r="M205" t="str">
        <f>IFERROR(INDEX(Inventory!A:A,MATCH(Scan!A205,Inventory!E:E,0)),"")</f>
        <v/>
      </c>
    </row>
    <row r="206" spans="2:13" x14ac:dyDescent="0.3">
      <c r="B206" t="str">
        <f>IF(IFERROR(VLOOKUP(TRIM(A206),Inventory!E:E,1,0),0)=0,"X","_")</f>
        <v>_</v>
      </c>
      <c r="C206" t="str">
        <f>IF(IFERROR(VLOOKUP(TRIM(A206),'Full Inventory'!F:F,1,0),0)=0,"X","_")</f>
        <v>X</v>
      </c>
      <c r="D206" t="str">
        <f t="shared" si="12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F206" t="str">
        <f t="shared" si="13"/>
        <v>_</v>
      </c>
      <c r="K206" t="str">
        <f t="shared" ca="1" si="14"/>
        <v>_XX_</v>
      </c>
      <c r="L206" t="str">
        <f t="shared" ca="1" si="15"/>
        <v/>
      </c>
      <c r="M206" t="str">
        <f>IFERROR(INDEX(Inventory!A:A,MATCH(Scan!A206,Inventory!E:E,0)),"")</f>
        <v/>
      </c>
    </row>
    <row r="207" spans="2:13" x14ac:dyDescent="0.3">
      <c r="B207" t="str">
        <f>IF(IFERROR(VLOOKUP(TRIM(A207),Inventory!E:E,1,0),0)=0,"X","_")</f>
        <v>_</v>
      </c>
      <c r="C207" t="str">
        <f>IF(IFERROR(VLOOKUP(TRIM(A207),'Full Inventory'!F:F,1,0),0)=0,"X","_")</f>
        <v>X</v>
      </c>
      <c r="D207" t="str">
        <f t="shared" si="12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F207" t="str">
        <f t="shared" si="13"/>
        <v>_</v>
      </c>
      <c r="K207" t="str">
        <f t="shared" ca="1" si="14"/>
        <v>_XX_</v>
      </c>
      <c r="L207" t="str">
        <f t="shared" ca="1" si="15"/>
        <v/>
      </c>
      <c r="M207" t="str">
        <f>IFERROR(INDEX(Inventory!A:A,MATCH(Scan!A207,Inventory!E:E,0)),"")</f>
        <v/>
      </c>
    </row>
    <row r="208" spans="2:13" x14ac:dyDescent="0.3">
      <c r="B208" t="str">
        <f>IF(IFERROR(VLOOKUP(TRIM(A208),Inventory!E:E,1,0),0)=0,"X","_")</f>
        <v>_</v>
      </c>
      <c r="C208" t="str">
        <f>IF(IFERROR(VLOOKUP(TRIM(A208),'Full Inventory'!F:F,1,0),0)=0,"X","_")</f>
        <v>X</v>
      </c>
      <c r="D208" t="str">
        <f t="shared" si="12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F208" t="str">
        <f t="shared" si="13"/>
        <v>_</v>
      </c>
      <c r="K208" t="str">
        <f t="shared" ca="1" si="14"/>
        <v>_XX_</v>
      </c>
      <c r="L208" t="str">
        <f t="shared" ca="1" si="15"/>
        <v/>
      </c>
      <c r="M208" t="str">
        <f>IFERROR(INDEX(Inventory!A:A,MATCH(Scan!A208,Inventory!E:E,0)),"")</f>
        <v/>
      </c>
    </row>
    <row r="209" spans="2:13" x14ac:dyDescent="0.3">
      <c r="B209" t="str">
        <f>IF(IFERROR(VLOOKUP(TRIM(A209),Inventory!E:E,1,0),0)=0,"X","_")</f>
        <v>_</v>
      </c>
      <c r="C209" t="str">
        <f>IF(IFERROR(VLOOKUP(TRIM(A209),'Full Inventory'!F:F,1,0),0)=0,"X","_")</f>
        <v>X</v>
      </c>
      <c r="D209" t="str">
        <f t="shared" si="12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F209" t="str">
        <f t="shared" si="13"/>
        <v>_</v>
      </c>
      <c r="K209" t="str">
        <f t="shared" ca="1" si="14"/>
        <v>_XX_</v>
      </c>
      <c r="L209" t="str">
        <f t="shared" ca="1" si="15"/>
        <v/>
      </c>
      <c r="M209" t="str">
        <f>IFERROR(INDEX(Inventory!A:A,MATCH(Scan!A209,Inventory!E:E,0)),"")</f>
        <v/>
      </c>
    </row>
    <row r="210" spans="2:13" x14ac:dyDescent="0.3">
      <c r="B210" t="str">
        <f>IF(IFERROR(VLOOKUP(TRIM(A210),Inventory!E:E,1,0),0)=0,"X","_")</f>
        <v>_</v>
      </c>
      <c r="C210" t="str">
        <f>IF(IFERROR(VLOOKUP(TRIM(A210),'Full Inventory'!F:F,1,0),0)=0,"X","_")</f>
        <v>X</v>
      </c>
      <c r="D210" t="str">
        <f t="shared" si="12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F210" t="str">
        <f t="shared" si="13"/>
        <v>_</v>
      </c>
      <c r="K210" t="str">
        <f t="shared" ca="1" si="14"/>
        <v>_XX_</v>
      </c>
      <c r="L210" t="str">
        <f t="shared" ca="1" si="15"/>
        <v/>
      </c>
      <c r="M210" t="str">
        <f>IFERROR(INDEX(Inventory!A:A,MATCH(Scan!A210,Inventory!E:E,0)),"")</f>
        <v/>
      </c>
    </row>
    <row r="211" spans="2:13" x14ac:dyDescent="0.3">
      <c r="B211" t="str">
        <f>IF(IFERROR(VLOOKUP(TRIM(A211),Inventory!E:E,1,0),0)=0,"X","_")</f>
        <v>_</v>
      </c>
      <c r="C211" t="str">
        <f>IF(IFERROR(VLOOKUP(TRIM(A211),'Full Inventory'!F:F,1,0),0)=0,"X","_")</f>
        <v>X</v>
      </c>
      <c r="D211" t="str">
        <f t="shared" si="12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F211" t="str">
        <f t="shared" si="13"/>
        <v>_</v>
      </c>
      <c r="K211" t="str">
        <f t="shared" ca="1" si="14"/>
        <v>_XX_</v>
      </c>
      <c r="L211" t="str">
        <f t="shared" ca="1" si="15"/>
        <v/>
      </c>
      <c r="M211" t="str">
        <f>IFERROR(INDEX(Inventory!A:A,MATCH(Scan!A211,Inventory!E:E,0)),"")</f>
        <v/>
      </c>
    </row>
    <row r="212" spans="2:13" x14ac:dyDescent="0.3">
      <c r="B212" t="str">
        <f>IF(IFERROR(VLOOKUP(TRIM(A212),Inventory!E:E,1,0),0)=0,"X","_")</f>
        <v>_</v>
      </c>
      <c r="C212" t="str">
        <f>IF(IFERROR(VLOOKUP(TRIM(A212),'Full Inventory'!F:F,1,0),0)=0,"X","_")</f>
        <v>X</v>
      </c>
      <c r="D212" t="str">
        <f t="shared" si="12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F212" t="str">
        <f t="shared" si="13"/>
        <v>_</v>
      </c>
      <c r="K212" t="str">
        <f t="shared" ca="1" si="14"/>
        <v>_XX_</v>
      </c>
      <c r="L212" t="str">
        <f t="shared" ca="1" si="15"/>
        <v/>
      </c>
      <c r="M212" t="str">
        <f>IFERROR(INDEX(Inventory!A:A,MATCH(Scan!A212,Inventory!E:E,0)),"")</f>
        <v/>
      </c>
    </row>
    <row r="213" spans="2:13" x14ac:dyDescent="0.3">
      <c r="B213" t="str">
        <f>IF(IFERROR(VLOOKUP(TRIM(A213),Inventory!E:E,1,0),0)=0,"X","_")</f>
        <v>_</v>
      </c>
      <c r="C213" t="str">
        <f>IF(IFERROR(VLOOKUP(TRIM(A213),'Full Inventory'!F:F,1,0),0)=0,"X","_")</f>
        <v>X</v>
      </c>
      <c r="D213" t="str">
        <f t="shared" si="12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F213" t="str">
        <f t="shared" si="13"/>
        <v>_</v>
      </c>
      <c r="K213" t="str">
        <f t="shared" ca="1" si="14"/>
        <v>_XX_</v>
      </c>
      <c r="L213" t="str">
        <f t="shared" ca="1" si="15"/>
        <v/>
      </c>
      <c r="M213" t="str">
        <f>IFERROR(INDEX(Inventory!A:A,MATCH(Scan!A213,Inventory!E:E,0)),"")</f>
        <v/>
      </c>
    </row>
    <row r="214" spans="2:13" x14ac:dyDescent="0.3">
      <c r="B214" t="str">
        <f>IF(IFERROR(VLOOKUP(TRIM(A214),Inventory!E:E,1,0),0)=0,"X","_")</f>
        <v>_</v>
      </c>
      <c r="C214" t="str">
        <f>IF(IFERROR(VLOOKUP(TRIM(A214),'Full Inventory'!F:F,1,0),0)=0,"X","_")</f>
        <v>X</v>
      </c>
      <c r="D214" t="str">
        <f t="shared" si="12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F214" t="str">
        <f t="shared" si="13"/>
        <v>_</v>
      </c>
      <c r="K214" t="str">
        <f t="shared" ca="1" si="14"/>
        <v>_XX_</v>
      </c>
      <c r="L214" t="str">
        <f t="shared" ca="1" si="15"/>
        <v/>
      </c>
      <c r="M214" t="str">
        <f>IFERROR(INDEX(Inventory!A:A,MATCH(Scan!A214,Inventory!E:E,0)),"")</f>
        <v/>
      </c>
    </row>
    <row r="215" spans="2:13" x14ac:dyDescent="0.3">
      <c r="B215" t="str">
        <f>IF(IFERROR(VLOOKUP(TRIM(A215),Inventory!E:E,1,0),0)=0,"X","_")</f>
        <v>_</v>
      </c>
      <c r="C215" t="str">
        <f>IF(IFERROR(VLOOKUP(TRIM(A215),'Full Inventory'!F:F,1,0),0)=0,"X","_")</f>
        <v>X</v>
      </c>
      <c r="D215" t="str">
        <f t="shared" si="12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F215" t="str">
        <f t="shared" si="13"/>
        <v>_</v>
      </c>
      <c r="K215" t="str">
        <f t="shared" ca="1" si="14"/>
        <v>_XX_</v>
      </c>
      <c r="L215" t="str">
        <f t="shared" ca="1" si="15"/>
        <v/>
      </c>
      <c r="M215" t="str">
        <f>IFERROR(INDEX(Inventory!A:A,MATCH(Scan!A215,Inventory!E:E,0)),"")</f>
        <v/>
      </c>
    </row>
    <row r="216" spans="2:13" x14ac:dyDescent="0.3">
      <c r="B216" t="str">
        <f>IF(IFERROR(VLOOKUP(TRIM(A216),Inventory!E:E,1,0),0)=0,"X","_")</f>
        <v>_</v>
      </c>
      <c r="C216" t="str">
        <f>IF(IFERROR(VLOOKUP(TRIM(A216),'Full Inventory'!F:F,1,0),0)=0,"X","_")</f>
        <v>X</v>
      </c>
      <c r="D216" t="str">
        <f t="shared" si="12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F216" t="str">
        <f t="shared" si="13"/>
        <v>_</v>
      </c>
      <c r="K216" t="str">
        <f t="shared" ca="1" si="14"/>
        <v>_XX_</v>
      </c>
      <c r="L216" t="str">
        <f t="shared" ca="1" si="15"/>
        <v/>
      </c>
      <c r="M216" t="str">
        <f>IFERROR(INDEX(Inventory!A:A,MATCH(Scan!A216,Inventory!E:E,0)),"")</f>
        <v/>
      </c>
    </row>
    <row r="217" spans="2:13" x14ac:dyDescent="0.3">
      <c r="B217" t="str">
        <f>IF(IFERROR(VLOOKUP(TRIM(A217),Inventory!E:E,1,0),0)=0,"X","_")</f>
        <v>_</v>
      </c>
      <c r="C217" t="str">
        <f>IF(IFERROR(VLOOKUP(TRIM(A217),'Full Inventory'!F:F,1,0),0)=0,"X","_")</f>
        <v>X</v>
      </c>
      <c r="D217" t="str">
        <f t="shared" si="12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F217" t="str">
        <f t="shared" si="13"/>
        <v>_</v>
      </c>
      <c r="K217" t="str">
        <f t="shared" ca="1" si="14"/>
        <v>_XX_</v>
      </c>
      <c r="L217" t="str">
        <f t="shared" ca="1" si="15"/>
        <v/>
      </c>
      <c r="M217" t="str">
        <f>IFERROR(INDEX(Inventory!A:A,MATCH(Scan!A217,Inventory!E:E,0)),"")</f>
        <v/>
      </c>
    </row>
    <row r="218" spans="2:13" x14ac:dyDescent="0.3">
      <c r="B218" t="str">
        <f>IF(IFERROR(VLOOKUP(TRIM(A218),Inventory!E:E,1,0),0)=0,"X","_")</f>
        <v>_</v>
      </c>
      <c r="C218" t="str">
        <f>IF(IFERROR(VLOOKUP(TRIM(A218),'Full Inventory'!F:F,1,0),0)=0,"X","_")</f>
        <v>X</v>
      </c>
      <c r="D218" t="str">
        <f t="shared" si="12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F218" t="str">
        <f t="shared" si="13"/>
        <v>_</v>
      </c>
      <c r="K218" t="str">
        <f t="shared" ca="1" si="14"/>
        <v>_XX_</v>
      </c>
      <c r="L218" t="str">
        <f t="shared" ca="1" si="15"/>
        <v/>
      </c>
      <c r="M218" t="str">
        <f>IFERROR(INDEX(Inventory!A:A,MATCH(Scan!A218,Inventory!E:E,0)),"")</f>
        <v/>
      </c>
    </row>
    <row r="219" spans="2:13" x14ac:dyDescent="0.3">
      <c r="B219" t="str">
        <f>IF(IFERROR(VLOOKUP(TRIM(A219),Inventory!E:E,1,0),0)=0,"X","_")</f>
        <v>_</v>
      </c>
      <c r="C219" t="str">
        <f>IF(IFERROR(VLOOKUP(TRIM(A219),'Full Inventory'!F:F,1,0),0)=0,"X","_")</f>
        <v>X</v>
      </c>
      <c r="D219" t="str">
        <f t="shared" si="12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F219" t="str">
        <f t="shared" si="13"/>
        <v>_</v>
      </c>
      <c r="K219" t="str">
        <f t="shared" ca="1" si="14"/>
        <v>_XX_</v>
      </c>
      <c r="L219" t="str">
        <f t="shared" ca="1" si="15"/>
        <v/>
      </c>
      <c r="M219" t="str">
        <f>IFERROR(INDEX(Inventory!A:A,MATCH(Scan!A219,Inventory!E:E,0)),"")</f>
        <v/>
      </c>
    </row>
    <row r="220" spans="2:13" x14ac:dyDescent="0.3">
      <c r="B220" t="str">
        <f>IF(IFERROR(VLOOKUP(TRIM(A220),Inventory!E:E,1,0),0)=0,"X","_")</f>
        <v>_</v>
      </c>
      <c r="C220" t="str">
        <f>IF(IFERROR(VLOOKUP(TRIM(A220),'Full Inventory'!F:F,1,0),0)=0,"X","_")</f>
        <v>X</v>
      </c>
      <c r="D220" t="str">
        <f t="shared" si="12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F220" t="str">
        <f t="shared" si="13"/>
        <v>_</v>
      </c>
      <c r="K220" t="str">
        <f t="shared" ca="1" si="14"/>
        <v>_XX_</v>
      </c>
      <c r="L220" t="str">
        <f t="shared" ca="1" si="15"/>
        <v/>
      </c>
      <c r="M220" t="str">
        <f>IFERROR(INDEX(Inventory!A:A,MATCH(Scan!A220,Inventory!E:E,0)),"")</f>
        <v/>
      </c>
    </row>
    <row r="221" spans="2:13" x14ac:dyDescent="0.3">
      <c r="B221" t="str">
        <f>IF(IFERROR(VLOOKUP(TRIM(A221),Inventory!E:E,1,0),0)=0,"X","_")</f>
        <v>_</v>
      </c>
      <c r="C221" t="str">
        <f>IF(IFERROR(VLOOKUP(TRIM(A221),'Full Inventory'!F:F,1,0),0)=0,"X","_")</f>
        <v>X</v>
      </c>
      <c r="D221" t="str">
        <f t="shared" si="12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F221" t="str">
        <f t="shared" si="13"/>
        <v>_</v>
      </c>
      <c r="K221" t="str">
        <f t="shared" ca="1" si="14"/>
        <v>_XX_</v>
      </c>
      <c r="L221" t="str">
        <f t="shared" ca="1" si="15"/>
        <v/>
      </c>
      <c r="M221" t="str">
        <f>IFERROR(INDEX(Inventory!A:A,MATCH(Scan!A221,Inventory!E:E,0)),"")</f>
        <v/>
      </c>
    </row>
    <row r="222" spans="2:13" x14ac:dyDescent="0.3">
      <c r="B222" t="str">
        <f>IF(IFERROR(VLOOKUP(TRIM(A222),Inventory!E:E,1,0),0)=0,"X","_")</f>
        <v>_</v>
      </c>
      <c r="C222" t="str">
        <f>IF(IFERROR(VLOOKUP(TRIM(A222),'Full Inventory'!F:F,1,0),0)=0,"X","_")</f>
        <v>X</v>
      </c>
      <c r="D222" t="str">
        <f t="shared" si="12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F222" t="str">
        <f t="shared" si="13"/>
        <v>_</v>
      </c>
      <c r="K222" t="str">
        <f t="shared" ca="1" si="14"/>
        <v>_XX_</v>
      </c>
      <c r="L222" t="str">
        <f t="shared" ca="1" si="15"/>
        <v/>
      </c>
      <c r="M222" t="str">
        <f>IFERROR(INDEX(Inventory!A:A,MATCH(Scan!A222,Inventory!E:E,0)),"")</f>
        <v/>
      </c>
    </row>
    <row r="223" spans="2:13" x14ac:dyDescent="0.3">
      <c r="B223" t="str">
        <f>IF(IFERROR(VLOOKUP(TRIM(A223),Inventory!E:E,1,0),0)=0,"X","_")</f>
        <v>_</v>
      </c>
      <c r="C223" t="str">
        <f>IF(IFERROR(VLOOKUP(TRIM(A223),'Full Inventory'!F:F,1,0),0)=0,"X","_")</f>
        <v>X</v>
      </c>
      <c r="D223" t="str">
        <f t="shared" si="12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F223" t="str">
        <f t="shared" si="13"/>
        <v>_</v>
      </c>
      <c r="K223" t="str">
        <f t="shared" ca="1" si="14"/>
        <v>_XX_</v>
      </c>
      <c r="L223" t="str">
        <f t="shared" ca="1" si="15"/>
        <v/>
      </c>
      <c r="M223" t="str">
        <f>IFERROR(INDEX(Inventory!A:A,MATCH(Scan!A223,Inventory!E:E,0)),"")</f>
        <v/>
      </c>
    </row>
    <row r="224" spans="2:13" x14ac:dyDescent="0.3">
      <c r="B224" t="str">
        <f>IF(IFERROR(VLOOKUP(TRIM(A224),Inventory!E:E,1,0),0)=0,"X","_")</f>
        <v>_</v>
      </c>
      <c r="C224" t="str">
        <f>IF(IFERROR(VLOOKUP(TRIM(A224),'Full Inventory'!F:F,1,0),0)=0,"X","_")</f>
        <v>X</v>
      </c>
      <c r="D224" t="str">
        <f t="shared" si="12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F224" t="str">
        <f t="shared" si="13"/>
        <v>_</v>
      </c>
      <c r="K224" t="str">
        <f t="shared" ca="1" si="14"/>
        <v>_XX_</v>
      </c>
      <c r="L224" t="str">
        <f t="shared" ca="1" si="15"/>
        <v/>
      </c>
      <c r="M224" t="str">
        <f>IFERROR(INDEX(Inventory!A:A,MATCH(Scan!A224,Inventory!E:E,0)),"")</f>
        <v/>
      </c>
    </row>
    <row r="225" spans="2:13" x14ac:dyDescent="0.3">
      <c r="B225" t="str">
        <f>IF(IFERROR(VLOOKUP(TRIM(A225),Inventory!E:E,1,0),0)=0,"X","_")</f>
        <v>_</v>
      </c>
      <c r="C225" t="str">
        <f>IF(IFERROR(VLOOKUP(TRIM(A225),'Full Inventory'!F:F,1,0),0)=0,"X","_")</f>
        <v>X</v>
      </c>
      <c r="D225" t="str">
        <f t="shared" si="12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F225" t="str">
        <f t="shared" si="13"/>
        <v>_</v>
      </c>
      <c r="K225" t="str">
        <f t="shared" ca="1" si="14"/>
        <v>_XX_</v>
      </c>
      <c r="L225" t="str">
        <f t="shared" ca="1" si="15"/>
        <v/>
      </c>
      <c r="M225" t="str">
        <f>IFERROR(INDEX(Inventory!A:A,MATCH(Scan!A225,Inventory!E:E,0)),"")</f>
        <v/>
      </c>
    </row>
    <row r="226" spans="2:13" x14ac:dyDescent="0.3">
      <c r="B226" t="str">
        <f>IF(IFERROR(VLOOKUP(TRIM(A226),Inventory!E:E,1,0),0)=0,"X","_")</f>
        <v>_</v>
      </c>
      <c r="C226" t="str">
        <f>IF(IFERROR(VLOOKUP(TRIM(A226),'Full Inventory'!F:F,1,0),0)=0,"X","_")</f>
        <v>X</v>
      </c>
      <c r="D226" t="str">
        <f t="shared" si="12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F226" t="str">
        <f t="shared" si="13"/>
        <v>_</v>
      </c>
      <c r="K226" t="str">
        <f t="shared" ca="1" si="14"/>
        <v>_XX_</v>
      </c>
      <c r="L226" t="str">
        <f t="shared" ca="1" si="15"/>
        <v/>
      </c>
      <c r="M226" t="str">
        <f>IFERROR(INDEX(Inventory!A:A,MATCH(Scan!A226,Inventory!E:E,0)),"")</f>
        <v/>
      </c>
    </row>
    <row r="227" spans="2:13" x14ac:dyDescent="0.3">
      <c r="B227" t="str">
        <f>IF(IFERROR(VLOOKUP(TRIM(A227),Inventory!E:E,1,0),0)=0,"X","_")</f>
        <v>_</v>
      </c>
      <c r="C227" t="str">
        <f>IF(IFERROR(VLOOKUP(TRIM(A227),'Full Inventory'!F:F,1,0),0)=0,"X","_")</f>
        <v>X</v>
      </c>
      <c r="D227" t="str">
        <f t="shared" si="12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F227" t="str">
        <f t="shared" si="13"/>
        <v>_</v>
      </c>
      <c r="K227" t="str">
        <f t="shared" ca="1" si="14"/>
        <v>_XX_</v>
      </c>
      <c r="L227" t="str">
        <f t="shared" ca="1" si="15"/>
        <v/>
      </c>
      <c r="M227" t="str">
        <f>IFERROR(INDEX(Inventory!A:A,MATCH(Scan!A227,Inventory!E:E,0)),"")</f>
        <v/>
      </c>
    </row>
    <row r="228" spans="2:13" x14ac:dyDescent="0.3">
      <c r="B228" t="str">
        <f>IF(IFERROR(VLOOKUP(TRIM(A228),Inventory!E:E,1,0),0)=0,"X","_")</f>
        <v>_</v>
      </c>
      <c r="C228" t="str">
        <f>IF(IFERROR(VLOOKUP(TRIM(A228),'Full Inventory'!F:F,1,0),0)=0,"X","_")</f>
        <v>X</v>
      </c>
      <c r="D228" t="str">
        <f t="shared" si="12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F228" t="str">
        <f t="shared" si="13"/>
        <v>_</v>
      </c>
      <c r="K228" t="str">
        <f t="shared" ca="1" si="14"/>
        <v>_XX_</v>
      </c>
      <c r="L228" t="str">
        <f t="shared" ca="1" si="15"/>
        <v/>
      </c>
      <c r="M228" t="str">
        <f>IFERROR(INDEX(Inventory!A:A,MATCH(Scan!A228,Inventory!E:E,0)),"")</f>
        <v/>
      </c>
    </row>
    <row r="229" spans="2:13" x14ac:dyDescent="0.3">
      <c r="B229" t="str">
        <f>IF(IFERROR(VLOOKUP(TRIM(A229),Inventory!E:E,1,0),0)=0,"X","_")</f>
        <v>_</v>
      </c>
      <c r="C229" t="str">
        <f>IF(IFERROR(VLOOKUP(TRIM(A229),'Full Inventory'!F:F,1,0),0)=0,"X","_")</f>
        <v>X</v>
      </c>
      <c r="D229" t="str">
        <f t="shared" si="12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F229" t="str">
        <f t="shared" si="13"/>
        <v>_</v>
      </c>
      <c r="K229" t="str">
        <f t="shared" ca="1" si="14"/>
        <v>_XX_</v>
      </c>
      <c r="L229" t="str">
        <f t="shared" ca="1" si="15"/>
        <v/>
      </c>
      <c r="M229" t="str">
        <f>IFERROR(INDEX(Inventory!A:A,MATCH(Scan!A229,Inventory!E:E,0)),"")</f>
        <v/>
      </c>
    </row>
    <row r="230" spans="2:13" x14ac:dyDescent="0.3">
      <c r="B230" t="str">
        <f>IF(IFERROR(VLOOKUP(TRIM(A230),Inventory!E:E,1,0),0)=0,"X","_")</f>
        <v>_</v>
      </c>
      <c r="C230" t="str">
        <f>IF(IFERROR(VLOOKUP(TRIM(A230),'Full Inventory'!F:F,1,0),0)=0,"X","_")</f>
        <v>X</v>
      </c>
      <c r="D230" t="str">
        <f t="shared" si="12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F230" t="str">
        <f t="shared" si="13"/>
        <v>_</v>
      </c>
      <c r="K230" t="str">
        <f t="shared" ca="1" si="14"/>
        <v>_XX_</v>
      </c>
      <c r="L230" t="str">
        <f t="shared" ca="1" si="15"/>
        <v/>
      </c>
      <c r="M230" t="str">
        <f>IFERROR(INDEX(Inventory!A:A,MATCH(Scan!A230,Inventory!E:E,0)),"")</f>
        <v/>
      </c>
    </row>
    <row r="231" spans="2:13" x14ac:dyDescent="0.3">
      <c r="B231" t="str">
        <f>IF(IFERROR(VLOOKUP(TRIM(A231),Inventory!E:E,1,0),0)=0,"X","_")</f>
        <v>_</v>
      </c>
      <c r="C231" t="str">
        <f>IF(IFERROR(VLOOKUP(TRIM(A231),'Full Inventory'!F:F,1,0),0)=0,"X","_")</f>
        <v>X</v>
      </c>
      <c r="D231" t="str">
        <f t="shared" si="12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F231" t="str">
        <f t="shared" si="13"/>
        <v>_</v>
      </c>
      <c r="K231" t="str">
        <f t="shared" ca="1" si="14"/>
        <v>_XX_</v>
      </c>
      <c r="L231" t="str">
        <f t="shared" ca="1" si="15"/>
        <v/>
      </c>
      <c r="M231" t="str">
        <f>IFERROR(INDEX(Inventory!A:A,MATCH(Scan!A231,Inventory!E:E,0)),"")</f>
        <v/>
      </c>
    </row>
    <row r="232" spans="2:13" x14ac:dyDescent="0.3">
      <c r="B232" t="str">
        <f>IF(IFERROR(VLOOKUP(TRIM(A232),Inventory!E:E,1,0),0)=0,"X","_")</f>
        <v>_</v>
      </c>
      <c r="C232" t="str">
        <f>IF(IFERROR(VLOOKUP(TRIM(A232),'Full Inventory'!F:F,1,0),0)=0,"X","_")</f>
        <v>X</v>
      </c>
      <c r="D232" t="str">
        <f t="shared" si="12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F232" t="str">
        <f t="shared" si="13"/>
        <v>_</v>
      </c>
      <c r="K232" t="str">
        <f t="shared" ca="1" si="14"/>
        <v>_XX_</v>
      </c>
      <c r="L232" t="str">
        <f t="shared" ca="1" si="15"/>
        <v/>
      </c>
      <c r="M232" t="str">
        <f>IFERROR(INDEX(Inventory!A:A,MATCH(Scan!A232,Inventory!E:E,0)),"")</f>
        <v/>
      </c>
    </row>
    <row r="233" spans="2:13" x14ac:dyDescent="0.3">
      <c r="B233" t="str">
        <f>IF(IFERROR(VLOOKUP(TRIM(A233),Inventory!E:E,1,0),0)=0,"X","_")</f>
        <v>_</v>
      </c>
      <c r="C233" t="str">
        <f>IF(IFERROR(VLOOKUP(TRIM(A233),'Full Inventory'!F:F,1,0),0)=0,"X","_")</f>
        <v>X</v>
      </c>
      <c r="D233" t="str">
        <f t="shared" si="12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F233" t="str">
        <f t="shared" si="13"/>
        <v>_</v>
      </c>
      <c r="K233" t="str">
        <f t="shared" ca="1" si="14"/>
        <v>_XX_</v>
      </c>
      <c r="L233" t="str">
        <f t="shared" ca="1" si="15"/>
        <v/>
      </c>
      <c r="M233" t="str">
        <f>IFERROR(INDEX(Inventory!A:A,MATCH(Scan!A233,Inventory!E:E,0)),"")</f>
        <v/>
      </c>
    </row>
    <row r="234" spans="2:13" x14ac:dyDescent="0.3">
      <c r="B234" t="str">
        <f>IF(IFERROR(VLOOKUP(TRIM(A234),Inventory!E:E,1,0),0)=0,"X","_")</f>
        <v>_</v>
      </c>
      <c r="C234" t="str">
        <f>IF(IFERROR(VLOOKUP(TRIM(A234),'Full Inventory'!F:F,1,0),0)=0,"X","_")</f>
        <v>X</v>
      </c>
      <c r="D234" t="str">
        <f t="shared" si="12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F234" t="str">
        <f t="shared" si="13"/>
        <v>_</v>
      </c>
      <c r="K234" t="str">
        <f t="shared" ca="1" si="14"/>
        <v>_XX_</v>
      </c>
      <c r="L234" t="str">
        <f t="shared" ca="1" si="15"/>
        <v/>
      </c>
      <c r="M234" t="str">
        <f>IFERROR(INDEX(Inventory!A:A,MATCH(Scan!A234,Inventory!E:E,0)),"")</f>
        <v/>
      </c>
    </row>
    <row r="235" spans="2:13" x14ac:dyDescent="0.3">
      <c r="B235" t="str">
        <f>IF(IFERROR(VLOOKUP(TRIM(A235),Inventory!E:E,1,0),0)=0,"X","_")</f>
        <v>_</v>
      </c>
      <c r="C235" t="str">
        <f>IF(IFERROR(VLOOKUP(TRIM(A235),'Full Inventory'!F:F,1,0),0)=0,"X","_")</f>
        <v>X</v>
      </c>
      <c r="D235" t="str">
        <f t="shared" si="12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F235" t="str">
        <f t="shared" si="13"/>
        <v>_</v>
      </c>
      <c r="K235" t="str">
        <f t="shared" ca="1" si="14"/>
        <v>_XX_</v>
      </c>
      <c r="L235" t="str">
        <f t="shared" ca="1" si="15"/>
        <v/>
      </c>
      <c r="M235" t="str">
        <f>IFERROR(INDEX(Inventory!A:A,MATCH(Scan!A235,Inventory!E:E,0)),"")</f>
        <v/>
      </c>
    </row>
    <row r="236" spans="2:13" x14ac:dyDescent="0.3">
      <c r="B236" t="str">
        <f>IF(IFERROR(VLOOKUP(TRIM(A236),Inventory!E:E,1,0),0)=0,"X","_")</f>
        <v>_</v>
      </c>
      <c r="C236" t="str">
        <f>IF(IFERROR(VLOOKUP(TRIM(A236),'Full Inventory'!F:F,1,0),0)=0,"X","_")</f>
        <v>X</v>
      </c>
      <c r="D236" t="str">
        <f t="shared" si="12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F236" t="str">
        <f t="shared" si="13"/>
        <v>_</v>
      </c>
      <c r="K236" t="str">
        <f t="shared" ca="1" si="14"/>
        <v>_XX_</v>
      </c>
      <c r="L236" t="str">
        <f t="shared" ca="1" si="15"/>
        <v/>
      </c>
      <c r="M236" t="str">
        <f>IFERROR(INDEX(Inventory!A:A,MATCH(Scan!A236,Inventory!E:E,0)),"")</f>
        <v/>
      </c>
    </row>
    <row r="237" spans="2:13" x14ac:dyDescent="0.3">
      <c r="B237" t="str">
        <f>IF(IFERROR(VLOOKUP(TRIM(A237),Inventory!E:E,1,0),0)=0,"X","_")</f>
        <v>_</v>
      </c>
      <c r="C237" t="str">
        <f>IF(IFERROR(VLOOKUP(TRIM(A237),'Full Inventory'!F:F,1,0),0)=0,"X","_")</f>
        <v>X</v>
      </c>
      <c r="D237" t="str">
        <f t="shared" si="12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F237" t="str">
        <f t="shared" si="13"/>
        <v>_</v>
      </c>
      <c r="K237" t="str">
        <f t="shared" ca="1" si="14"/>
        <v>_XX_</v>
      </c>
      <c r="L237" t="str">
        <f t="shared" ca="1" si="15"/>
        <v/>
      </c>
      <c r="M237" t="str">
        <f>IFERROR(INDEX(Inventory!A:A,MATCH(Scan!A237,Inventory!E:E,0)),"")</f>
        <v/>
      </c>
    </row>
    <row r="238" spans="2:13" x14ac:dyDescent="0.3">
      <c r="B238" t="str">
        <f>IF(IFERROR(VLOOKUP(TRIM(A238),Inventory!E:E,1,0),0)=0,"X","_")</f>
        <v>_</v>
      </c>
      <c r="C238" t="str">
        <f>IF(IFERROR(VLOOKUP(TRIM(A238),'Full Inventory'!F:F,1,0),0)=0,"X","_")</f>
        <v>X</v>
      </c>
      <c r="D238" t="str">
        <f t="shared" si="12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F238" t="str">
        <f t="shared" si="13"/>
        <v>_</v>
      </c>
      <c r="K238" t="str">
        <f t="shared" ca="1" si="14"/>
        <v>_XX_</v>
      </c>
      <c r="L238" t="str">
        <f t="shared" ca="1" si="15"/>
        <v/>
      </c>
      <c r="M238" t="str">
        <f>IFERROR(INDEX(Inventory!A:A,MATCH(Scan!A238,Inventory!E:E,0)),"")</f>
        <v/>
      </c>
    </row>
    <row r="239" spans="2:13" x14ac:dyDescent="0.3">
      <c r="B239" t="str">
        <f>IF(IFERROR(VLOOKUP(TRIM(A239),Inventory!E:E,1,0),0)=0,"X","_")</f>
        <v>_</v>
      </c>
      <c r="C239" t="str">
        <f>IF(IFERROR(VLOOKUP(TRIM(A239),'Full Inventory'!F:F,1,0),0)=0,"X","_")</f>
        <v>X</v>
      </c>
      <c r="D239" t="str">
        <f t="shared" si="12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F239" t="str">
        <f t="shared" si="13"/>
        <v>_</v>
      </c>
      <c r="K239" t="str">
        <f t="shared" ca="1" si="14"/>
        <v>_XX_</v>
      </c>
      <c r="L239" t="str">
        <f t="shared" ca="1" si="15"/>
        <v/>
      </c>
      <c r="M239" t="str">
        <f>IFERROR(INDEX(Inventory!A:A,MATCH(Scan!A239,Inventory!E:E,0)),"")</f>
        <v/>
      </c>
    </row>
    <row r="240" spans="2:13" x14ac:dyDescent="0.3">
      <c r="B240" t="str">
        <f>IF(IFERROR(VLOOKUP(TRIM(A240),Inventory!E:E,1,0),0)=0,"X","_")</f>
        <v>_</v>
      </c>
      <c r="C240" t="str">
        <f>IF(IFERROR(VLOOKUP(TRIM(A240),'Full Inventory'!F:F,1,0),0)=0,"X","_")</f>
        <v>X</v>
      </c>
      <c r="D240" t="str">
        <f t="shared" si="12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F240" t="str">
        <f t="shared" si="13"/>
        <v>_</v>
      </c>
      <c r="K240" t="str">
        <f t="shared" ca="1" si="14"/>
        <v>_XX_</v>
      </c>
      <c r="L240" t="str">
        <f t="shared" ca="1" si="15"/>
        <v/>
      </c>
      <c r="M240" t="str">
        <f>IFERROR(INDEX(Inventory!A:A,MATCH(Scan!A240,Inventory!E:E,0)),"")</f>
        <v/>
      </c>
    </row>
    <row r="241" spans="2:13" x14ac:dyDescent="0.3">
      <c r="B241" t="str">
        <f>IF(IFERROR(VLOOKUP(TRIM(A241),Inventory!E:E,1,0),0)=0,"X","_")</f>
        <v>_</v>
      </c>
      <c r="C241" t="str">
        <f>IF(IFERROR(VLOOKUP(TRIM(A241),'Full Inventory'!F:F,1,0),0)=0,"X","_")</f>
        <v>X</v>
      </c>
      <c r="D241" t="str">
        <f t="shared" si="12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F241" t="str">
        <f t="shared" si="13"/>
        <v>_</v>
      </c>
      <c r="K241" t="str">
        <f t="shared" ca="1" si="14"/>
        <v>_XX_</v>
      </c>
      <c r="L241" t="str">
        <f t="shared" ca="1" si="15"/>
        <v/>
      </c>
      <c r="M241" t="str">
        <f>IFERROR(INDEX(Inventory!A:A,MATCH(Scan!A241,Inventory!E:E,0)),"")</f>
        <v/>
      </c>
    </row>
    <row r="242" spans="2:13" x14ac:dyDescent="0.3">
      <c r="B242" t="str">
        <f>IF(IFERROR(VLOOKUP(TRIM(A242),Inventory!E:E,1,0),0)=0,"X","_")</f>
        <v>_</v>
      </c>
      <c r="C242" t="str">
        <f>IF(IFERROR(VLOOKUP(TRIM(A242),'Full Inventory'!F:F,1,0),0)=0,"X","_")</f>
        <v>X</v>
      </c>
      <c r="D242" t="str">
        <f t="shared" si="12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F242" t="str">
        <f t="shared" si="13"/>
        <v>_</v>
      </c>
      <c r="K242" t="str">
        <f t="shared" ca="1" si="14"/>
        <v>_XX_</v>
      </c>
      <c r="L242" t="str">
        <f t="shared" ca="1" si="15"/>
        <v/>
      </c>
      <c r="M242" t="str">
        <f>IFERROR(INDEX(Inventory!A:A,MATCH(Scan!A242,Inventory!E:E,0)),"")</f>
        <v/>
      </c>
    </row>
    <row r="243" spans="2:13" x14ac:dyDescent="0.3">
      <c r="B243" t="str">
        <f>IF(IFERROR(VLOOKUP(TRIM(A243),Inventory!E:E,1,0),0)=0,"X","_")</f>
        <v>_</v>
      </c>
      <c r="C243" t="str">
        <f>IF(IFERROR(VLOOKUP(TRIM(A243),'Full Inventory'!F:F,1,0),0)=0,"X","_")</f>
        <v>X</v>
      </c>
      <c r="D243" t="str">
        <f t="shared" si="12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F243" t="str">
        <f t="shared" si="13"/>
        <v>_</v>
      </c>
      <c r="K243" t="str">
        <f t="shared" ca="1" si="14"/>
        <v>_XX_</v>
      </c>
      <c r="L243" t="str">
        <f t="shared" ca="1" si="15"/>
        <v/>
      </c>
      <c r="M243" t="str">
        <f>IFERROR(INDEX(Inventory!A:A,MATCH(Scan!A243,Inventory!E:E,0)),"")</f>
        <v/>
      </c>
    </row>
    <row r="244" spans="2:13" x14ac:dyDescent="0.3">
      <c r="B244" t="str">
        <f>IF(IFERROR(VLOOKUP(TRIM(A244),Inventory!E:E,1,0),0)=0,"X","_")</f>
        <v>_</v>
      </c>
      <c r="C244" t="str">
        <f>IF(IFERROR(VLOOKUP(TRIM(A244),'Full Inventory'!F:F,1,0),0)=0,"X","_")</f>
        <v>X</v>
      </c>
      <c r="D244" t="str">
        <f t="shared" si="12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F244" t="str">
        <f t="shared" si="13"/>
        <v>_</v>
      </c>
      <c r="K244" t="str">
        <f t="shared" ca="1" si="14"/>
        <v>_XX_</v>
      </c>
      <c r="L244" t="str">
        <f t="shared" ca="1" si="15"/>
        <v/>
      </c>
      <c r="M244" t="str">
        <f>IFERROR(INDEX(Inventory!A:A,MATCH(Scan!A244,Inventory!E:E,0)),"")</f>
        <v/>
      </c>
    </row>
    <row r="245" spans="2:13" x14ac:dyDescent="0.3">
      <c r="B245" t="str">
        <f>IF(IFERROR(VLOOKUP(TRIM(A245),Inventory!E:E,1,0),0)=0,"X","_")</f>
        <v>_</v>
      </c>
      <c r="C245" t="str">
        <f>IF(IFERROR(VLOOKUP(TRIM(A245),'Full Inventory'!F:F,1,0),0)=0,"X","_")</f>
        <v>X</v>
      </c>
      <c r="D245" t="str">
        <f t="shared" si="12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F245" t="str">
        <f t="shared" si="13"/>
        <v>_</v>
      </c>
      <c r="K245" t="str">
        <f t="shared" ca="1" si="14"/>
        <v>_XX_</v>
      </c>
      <c r="L245" t="str">
        <f t="shared" ca="1" si="15"/>
        <v/>
      </c>
      <c r="M245" t="str">
        <f>IFERROR(INDEX(Inventory!A:A,MATCH(Scan!A245,Inventory!E:E,0)),"")</f>
        <v/>
      </c>
    </row>
    <row r="246" spans="2:13" x14ac:dyDescent="0.3">
      <c r="B246" t="str">
        <f>IF(IFERROR(VLOOKUP(TRIM(A246),Inventory!E:E,1,0),0)=0,"X","_")</f>
        <v>_</v>
      </c>
      <c r="C246" t="str">
        <f>IF(IFERROR(VLOOKUP(TRIM(A246),'Full Inventory'!F:F,1,0),0)=0,"X","_")</f>
        <v>X</v>
      </c>
      <c r="D246" t="str">
        <f t="shared" si="12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F246" t="str">
        <f t="shared" si="13"/>
        <v>_</v>
      </c>
      <c r="K246" t="str">
        <f t="shared" ca="1" si="14"/>
        <v>_XX_</v>
      </c>
      <c r="L246" t="str">
        <f t="shared" ca="1" si="15"/>
        <v/>
      </c>
      <c r="M246" t="str">
        <f>IFERROR(INDEX(Inventory!A:A,MATCH(Scan!A246,Inventory!E:E,0)),"")</f>
        <v/>
      </c>
    </row>
    <row r="247" spans="2:13" x14ac:dyDescent="0.3">
      <c r="B247" t="str">
        <f>IF(IFERROR(VLOOKUP(TRIM(A247),Inventory!E:E,1,0),0)=0,"X","_")</f>
        <v>_</v>
      </c>
      <c r="C247" t="str">
        <f>IF(IFERROR(VLOOKUP(TRIM(A247),'Full Inventory'!F:F,1,0),0)=0,"X","_")</f>
        <v>X</v>
      </c>
      <c r="D247" t="str">
        <f t="shared" si="12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F247" t="str">
        <f t="shared" si="13"/>
        <v>_</v>
      </c>
      <c r="K247" t="str">
        <f t="shared" ca="1" si="14"/>
        <v>_XX_</v>
      </c>
      <c r="L247" t="str">
        <f t="shared" ca="1" si="15"/>
        <v/>
      </c>
      <c r="M247" t="str">
        <f>IFERROR(INDEX(Inventory!A:A,MATCH(Scan!A247,Inventory!E:E,0)),"")</f>
        <v/>
      </c>
    </row>
    <row r="248" spans="2:13" x14ac:dyDescent="0.3">
      <c r="B248" t="str">
        <f>IF(IFERROR(VLOOKUP(TRIM(A248),Inventory!E:E,1,0),0)=0,"X","_")</f>
        <v>_</v>
      </c>
      <c r="C248" t="str">
        <f>IF(IFERROR(VLOOKUP(TRIM(A248),'Full Inventory'!F:F,1,0),0)=0,"X","_")</f>
        <v>X</v>
      </c>
      <c r="D248" t="str">
        <f t="shared" si="12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F248" t="str">
        <f t="shared" si="13"/>
        <v>_</v>
      </c>
      <c r="K248" t="str">
        <f t="shared" ca="1" si="14"/>
        <v>_XX_</v>
      </c>
      <c r="L248" t="str">
        <f t="shared" ca="1" si="15"/>
        <v/>
      </c>
      <c r="M248" t="str">
        <f>IFERROR(INDEX(Inventory!A:A,MATCH(Scan!A248,Inventory!E:E,0)),"")</f>
        <v/>
      </c>
    </row>
    <row r="249" spans="2:13" x14ac:dyDescent="0.3">
      <c r="B249" t="str">
        <f>IF(IFERROR(VLOOKUP(TRIM(A249),Inventory!E:E,1,0),0)=0,"X","_")</f>
        <v>_</v>
      </c>
      <c r="C249" t="str">
        <f>IF(IFERROR(VLOOKUP(TRIM(A249),'Full Inventory'!F:F,1,0),0)=0,"X","_")</f>
        <v>X</v>
      </c>
      <c r="D249" t="str">
        <f t="shared" si="12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F249" t="str">
        <f t="shared" si="13"/>
        <v>_</v>
      </c>
      <c r="K249" t="str">
        <f t="shared" ca="1" si="14"/>
        <v>_XX_</v>
      </c>
      <c r="L249" t="str">
        <f t="shared" ca="1" si="15"/>
        <v/>
      </c>
      <c r="M249" t="str">
        <f>IFERROR(INDEX(Inventory!A:A,MATCH(Scan!A249,Inventory!E:E,0)),"")</f>
        <v/>
      </c>
    </row>
    <row r="250" spans="2:13" x14ac:dyDescent="0.3">
      <c r="B250" t="str">
        <f>IF(IFERROR(VLOOKUP(TRIM(A250),Inventory!E:E,1,0),0)=0,"X","_")</f>
        <v>_</v>
      </c>
      <c r="C250" t="str">
        <f>IF(IFERROR(VLOOKUP(TRIM(A250),'Full Inventory'!F:F,1,0),0)=0,"X","_")</f>
        <v>X</v>
      </c>
      <c r="D250" t="str">
        <f t="shared" si="12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F250" t="str">
        <f t="shared" si="13"/>
        <v>_</v>
      </c>
      <c r="K250" t="str">
        <f t="shared" ca="1" si="14"/>
        <v>_XX_</v>
      </c>
      <c r="L250" t="str">
        <f t="shared" ca="1" si="15"/>
        <v/>
      </c>
      <c r="M250" t="str">
        <f>IFERROR(INDEX(Inventory!A:A,MATCH(Scan!A250,Inventory!E:E,0)),"")</f>
        <v/>
      </c>
    </row>
    <row r="251" spans="2:13" x14ac:dyDescent="0.3">
      <c r="B251" t="str">
        <f>IF(IFERROR(VLOOKUP(TRIM(A251),Inventory!E:E,1,0),0)=0,"X","_")</f>
        <v>_</v>
      </c>
      <c r="C251" t="str">
        <f>IF(IFERROR(VLOOKUP(TRIM(A251),'Full Inventory'!F:F,1,0),0)=0,"X","_")</f>
        <v>X</v>
      </c>
      <c r="D251" t="str">
        <f t="shared" si="12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F251" t="str">
        <f t="shared" si="13"/>
        <v>_</v>
      </c>
      <c r="K251" t="str">
        <f t="shared" ca="1" si="14"/>
        <v>_XX_</v>
      </c>
      <c r="L251" t="str">
        <f t="shared" ca="1" si="15"/>
        <v/>
      </c>
      <c r="M251" t="str">
        <f>IFERROR(INDEX(Inventory!A:A,MATCH(Scan!A251,Inventory!E:E,0)),"")</f>
        <v/>
      </c>
    </row>
    <row r="252" spans="2:13" x14ac:dyDescent="0.3">
      <c r="B252" t="str">
        <f>IF(IFERROR(VLOOKUP(TRIM(A252),Inventory!E:E,1,0),0)=0,"X","_")</f>
        <v>_</v>
      </c>
      <c r="C252" t="str">
        <f>IF(IFERROR(VLOOKUP(TRIM(A252),'Full Inventory'!F:F,1,0),0)=0,"X","_")</f>
        <v>X</v>
      </c>
      <c r="D252" t="str">
        <f t="shared" si="12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F252" t="str">
        <f t="shared" si="13"/>
        <v>_</v>
      </c>
      <c r="K252" t="str">
        <f t="shared" ca="1" si="14"/>
        <v>_XX_</v>
      </c>
      <c r="L252" t="str">
        <f t="shared" ca="1" si="15"/>
        <v/>
      </c>
      <c r="M252" t="str">
        <f>IFERROR(INDEX(Inventory!A:A,MATCH(Scan!A252,Inventory!E:E,0)),"")</f>
        <v/>
      </c>
    </row>
    <row r="253" spans="2:13" x14ac:dyDescent="0.3">
      <c r="B253" t="str">
        <f>IF(IFERROR(VLOOKUP(TRIM(A253),Inventory!E:E,1,0),0)=0,"X","_")</f>
        <v>_</v>
      </c>
      <c r="C253" t="str">
        <f>IF(IFERROR(VLOOKUP(TRIM(A253),'Full Inventory'!F:F,1,0),0)=0,"X","_")</f>
        <v>X</v>
      </c>
      <c r="D253" t="str">
        <f t="shared" si="12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F253" t="str">
        <f t="shared" si="13"/>
        <v>_</v>
      </c>
      <c r="K253" t="str">
        <f t="shared" ca="1" si="14"/>
        <v>_XX_</v>
      </c>
      <c r="L253" t="str">
        <f t="shared" ca="1" si="15"/>
        <v/>
      </c>
      <c r="M253" t="str">
        <f>IFERROR(INDEX(Inventory!A:A,MATCH(Scan!A253,Inventory!E:E,0)),"")</f>
        <v/>
      </c>
    </row>
    <row r="254" spans="2:13" x14ac:dyDescent="0.3">
      <c r="B254" t="str">
        <f>IF(IFERROR(VLOOKUP(TRIM(A254),Inventory!E:E,1,0),0)=0,"X","_")</f>
        <v>_</v>
      </c>
      <c r="C254" t="str">
        <f>IF(IFERROR(VLOOKUP(TRIM(A254),'Full Inventory'!F:F,1,0),0)=0,"X","_")</f>
        <v>X</v>
      </c>
      <c r="D254" t="str">
        <f t="shared" si="12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F254" t="str">
        <f t="shared" si="13"/>
        <v>_</v>
      </c>
      <c r="K254" t="str">
        <f t="shared" ca="1" si="14"/>
        <v>_XX_</v>
      </c>
      <c r="L254" t="str">
        <f t="shared" ca="1" si="15"/>
        <v/>
      </c>
      <c r="M254" t="str">
        <f>IFERROR(INDEX(Inventory!A:A,MATCH(Scan!A254,Inventory!E:E,0)),"")</f>
        <v/>
      </c>
    </row>
    <row r="255" spans="2:13" x14ac:dyDescent="0.3">
      <c r="B255" t="str">
        <f>IF(IFERROR(VLOOKUP(TRIM(A255),Inventory!E:E,1,0),0)=0,"X","_")</f>
        <v>_</v>
      </c>
      <c r="C255" t="str">
        <f>IF(IFERROR(VLOOKUP(TRIM(A255),'Full Inventory'!F:F,1,0),0)=0,"X","_")</f>
        <v>X</v>
      </c>
      <c r="D255" t="str">
        <f t="shared" si="12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F255" t="str">
        <f t="shared" si="13"/>
        <v>_</v>
      </c>
      <c r="K255" t="str">
        <f t="shared" ca="1" si="14"/>
        <v>_XX_</v>
      </c>
      <c r="L255" t="str">
        <f t="shared" ca="1" si="15"/>
        <v/>
      </c>
      <c r="M255" t="str">
        <f>IFERROR(INDEX(Inventory!A:A,MATCH(Scan!A255,Inventory!E:E,0)),"")</f>
        <v/>
      </c>
    </row>
    <row r="256" spans="2:13" x14ac:dyDescent="0.3">
      <c r="B256" t="str">
        <f>IF(IFERROR(VLOOKUP(TRIM(A256),Inventory!E:E,1,0),0)=0,"X","_")</f>
        <v>_</v>
      </c>
      <c r="C256" t="str">
        <f>IF(IFERROR(VLOOKUP(TRIM(A256),'Full Inventory'!F:F,1,0),0)=0,"X","_")</f>
        <v>X</v>
      </c>
      <c r="D256" t="str">
        <f t="shared" si="12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F256" t="str">
        <f t="shared" si="13"/>
        <v>_</v>
      </c>
      <c r="K256" t="str">
        <f t="shared" ca="1" si="14"/>
        <v>_XX_</v>
      </c>
      <c r="L256" t="str">
        <f t="shared" ca="1" si="15"/>
        <v/>
      </c>
      <c r="M256" t="str">
        <f>IFERROR(INDEX(Inventory!A:A,MATCH(Scan!A256,Inventory!E:E,0)),"")</f>
        <v/>
      </c>
    </row>
    <row r="257" spans="2:13" x14ac:dyDescent="0.3">
      <c r="B257" t="str">
        <f>IF(IFERROR(VLOOKUP(TRIM(A257),Inventory!E:E,1,0),0)=0,"X","_")</f>
        <v>_</v>
      </c>
      <c r="C257" t="str">
        <f>IF(IFERROR(VLOOKUP(TRIM(A257),'Full Inventory'!F:F,1,0),0)=0,"X","_")</f>
        <v>X</v>
      </c>
      <c r="D257" t="str">
        <f t="shared" si="12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F257" t="str">
        <f t="shared" si="13"/>
        <v>_</v>
      </c>
      <c r="K257" t="str">
        <f t="shared" ca="1" si="14"/>
        <v>_XX_</v>
      </c>
      <c r="L257" t="str">
        <f t="shared" ca="1" si="15"/>
        <v/>
      </c>
      <c r="M257" t="str">
        <f>IFERROR(INDEX(Inventory!A:A,MATCH(Scan!A257,Inventory!E:E,0)),"")</f>
        <v/>
      </c>
    </row>
    <row r="258" spans="2:13" x14ac:dyDescent="0.3">
      <c r="B258" t="str">
        <f>IF(IFERROR(VLOOKUP(TRIM(A258),Inventory!E:E,1,0),0)=0,"X","_")</f>
        <v>_</v>
      </c>
      <c r="C258" t="str">
        <f>IF(IFERROR(VLOOKUP(TRIM(A258),'Full Inventory'!F:F,1,0),0)=0,"X","_")</f>
        <v>X</v>
      </c>
      <c r="D258" t="str">
        <f t="shared" ref="D258:D321" si="16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F258" t="str">
        <f t="shared" si="13"/>
        <v>_</v>
      </c>
      <c r="K258" t="str">
        <f t="shared" ca="1" si="14"/>
        <v>_XX_</v>
      </c>
      <c r="L258" t="str">
        <f t="shared" ca="1" si="15"/>
        <v/>
      </c>
      <c r="M258" t="str">
        <f>IFERROR(INDEX(Inventory!A:A,MATCH(Scan!A258,Inventory!E:E,0)),"")</f>
        <v/>
      </c>
    </row>
    <row r="259" spans="2:13" x14ac:dyDescent="0.3">
      <c r="B259" t="str">
        <f>IF(IFERROR(VLOOKUP(TRIM(A259),Inventory!E:E,1,0),0)=0,"X","_")</f>
        <v>_</v>
      </c>
      <c r="C259" t="str">
        <f>IF(IFERROR(VLOOKUP(TRIM(A259),'Full Inventory'!F:F,1,0),0)=0,"X","_")</f>
        <v>X</v>
      </c>
      <c r="D259" t="str">
        <f t="shared" si="16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F259" t="str">
        <f t="shared" ref="F259:F322" si="17">IF(IFERROR(SEARCH("ö",A259),0)&gt;0,"X","_")</f>
        <v>_</v>
      </c>
      <c r="K259" t="str">
        <f t="shared" ref="K259:K322" ca="1" si="18">B259&amp;C259&amp;D259&amp;E259</f>
        <v>_XX_</v>
      </c>
      <c r="L259" t="str">
        <f t="shared" ref="L259:L322" ca="1" si="19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3">
      <c r="B260" t="str">
        <f>IF(IFERROR(VLOOKUP(TRIM(A260),Inventory!E:E,1,0),0)=0,"X","_")</f>
        <v>_</v>
      </c>
      <c r="C260" t="str">
        <f>IF(IFERROR(VLOOKUP(TRIM(A260),'Full Inventory'!F:F,1,0),0)=0,"X","_")</f>
        <v>X</v>
      </c>
      <c r="D260" t="str">
        <f t="shared" si="16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F260" t="str">
        <f t="shared" si="17"/>
        <v>_</v>
      </c>
      <c r="K260" t="str">
        <f t="shared" ca="1" si="18"/>
        <v>_XX_</v>
      </c>
      <c r="L260" t="str">
        <f t="shared" ca="1" si="19"/>
        <v/>
      </c>
      <c r="M260" t="str">
        <f>IFERROR(INDEX(Inventory!A:A,MATCH(Scan!A260,Inventory!E:E,0)),"")</f>
        <v/>
      </c>
    </row>
    <row r="261" spans="2:13" x14ac:dyDescent="0.3">
      <c r="B261" t="str">
        <f>IF(IFERROR(VLOOKUP(TRIM(A261),Inventory!E:E,1,0),0)=0,"X","_")</f>
        <v>_</v>
      </c>
      <c r="C261" t="str">
        <f>IF(IFERROR(VLOOKUP(TRIM(A261),'Full Inventory'!F:F,1,0),0)=0,"X","_")</f>
        <v>X</v>
      </c>
      <c r="D261" t="str">
        <f t="shared" si="16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F261" t="str">
        <f t="shared" si="17"/>
        <v>_</v>
      </c>
      <c r="K261" t="str">
        <f t="shared" ca="1" si="18"/>
        <v>_XX_</v>
      </c>
      <c r="L261" t="str">
        <f t="shared" ca="1" si="19"/>
        <v/>
      </c>
      <c r="M261" t="str">
        <f>IFERROR(INDEX(Inventory!A:A,MATCH(Scan!A261,Inventory!E:E,0)),"")</f>
        <v/>
      </c>
    </row>
    <row r="262" spans="2:13" x14ac:dyDescent="0.3">
      <c r="B262" t="str">
        <f>IF(IFERROR(VLOOKUP(TRIM(A262),Inventory!E:E,1,0),0)=0,"X","_")</f>
        <v>_</v>
      </c>
      <c r="C262" t="str">
        <f>IF(IFERROR(VLOOKUP(TRIM(A262),'Full Inventory'!F:F,1,0),0)=0,"X","_")</f>
        <v>X</v>
      </c>
      <c r="D262" t="str">
        <f t="shared" si="16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F262" t="str">
        <f t="shared" si="17"/>
        <v>_</v>
      </c>
      <c r="K262" t="str">
        <f t="shared" ca="1" si="18"/>
        <v>_XX_</v>
      </c>
      <c r="L262" t="str">
        <f t="shared" ca="1" si="19"/>
        <v/>
      </c>
      <c r="M262" t="str">
        <f>IFERROR(INDEX(Inventory!A:A,MATCH(Scan!A262,Inventory!E:E,0)),"")</f>
        <v/>
      </c>
    </row>
    <row r="263" spans="2:13" x14ac:dyDescent="0.3">
      <c r="B263" t="str">
        <f>IF(IFERROR(VLOOKUP(TRIM(A263),Inventory!E:E,1,0),0)=0,"X","_")</f>
        <v>_</v>
      </c>
      <c r="C263" t="str">
        <f>IF(IFERROR(VLOOKUP(TRIM(A263),'Full Inventory'!F:F,1,0),0)=0,"X","_")</f>
        <v>X</v>
      </c>
      <c r="D263" t="str">
        <f t="shared" si="16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F263" t="str">
        <f t="shared" si="17"/>
        <v>_</v>
      </c>
      <c r="K263" t="str">
        <f t="shared" ca="1" si="18"/>
        <v>_XX_</v>
      </c>
      <c r="L263" t="str">
        <f t="shared" ca="1" si="19"/>
        <v/>
      </c>
      <c r="M263" t="str">
        <f>IFERROR(INDEX(Inventory!A:A,MATCH(Scan!A263,Inventory!E:E,0)),"")</f>
        <v/>
      </c>
    </row>
    <row r="264" spans="2:13" x14ac:dyDescent="0.3">
      <c r="B264" t="str">
        <f>IF(IFERROR(VLOOKUP(TRIM(A264),Inventory!E:E,1,0),0)=0,"X","_")</f>
        <v>_</v>
      </c>
      <c r="C264" t="str">
        <f>IF(IFERROR(VLOOKUP(TRIM(A264),'Full Inventory'!F:F,1,0),0)=0,"X","_")</f>
        <v>X</v>
      </c>
      <c r="D264" t="str">
        <f t="shared" si="16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F264" t="str">
        <f t="shared" si="17"/>
        <v>_</v>
      </c>
      <c r="K264" t="str">
        <f t="shared" ca="1" si="18"/>
        <v>_XX_</v>
      </c>
      <c r="L264" t="str">
        <f t="shared" ca="1" si="19"/>
        <v/>
      </c>
      <c r="M264" t="str">
        <f>IFERROR(INDEX(Inventory!A:A,MATCH(Scan!A264,Inventory!E:E,0)),"")</f>
        <v/>
      </c>
    </row>
    <row r="265" spans="2:13" x14ac:dyDescent="0.3">
      <c r="B265" t="str">
        <f>IF(IFERROR(VLOOKUP(TRIM(A265),Inventory!E:E,1,0),0)=0,"X","_")</f>
        <v>_</v>
      </c>
      <c r="C265" t="str">
        <f>IF(IFERROR(VLOOKUP(TRIM(A265),'Full Inventory'!F:F,1,0),0)=0,"X","_")</f>
        <v>X</v>
      </c>
      <c r="D265" t="str">
        <f t="shared" si="16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F265" t="str">
        <f t="shared" si="17"/>
        <v>_</v>
      </c>
      <c r="K265" t="str">
        <f t="shared" ca="1" si="18"/>
        <v>_XX_</v>
      </c>
      <c r="L265" t="str">
        <f t="shared" ca="1" si="19"/>
        <v/>
      </c>
      <c r="M265" t="str">
        <f>IFERROR(INDEX(Inventory!A:A,MATCH(Scan!A265,Inventory!E:E,0)),"")</f>
        <v/>
      </c>
    </row>
    <row r="266" spans="2:13" x14ac:dyDescent="0.3">
      <c r="B266" t="str">
        <f>IF(IFERROR(VLOOKUP(TRIM(A266),Inventory!E:E,1,0),0)=0,"X","_")</f>
        <v>_</v>
      </c>
      <c r="C266" t="str">
        <f>IF(IFERROR(VLOOKUP(TRIM(A266),'Full Inventory'!F:F,1,0),0)=0,"X","_")</f>
        <v>X</v>
      </c>
      <c r="D266" t="str">
        <f t="shared" si="16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F266" t="str">
        <f t="shared" si="17"/>
        <v>_</v>
      </c>
      <c r="K266" t="str">
        <f t="shared" ca="1" si="18"/>
        <v>_XX_</v>
      </c>
      <c r="L266" t="str">
        <f t="shared" ca="1" si="19"/>
        <v/>
      </c>
      <c r="M266" t="str">
        <f>IFERROR(INDEX(Inventory!A:A,MATCH(Scan!A266,Inventory!E:E,0)),"")</f>
        <v/>
      </c>
    </row>
    <row r="267" spans="2:13" x14ac:dyDescent="0.3">
      <c r="B267" t="str">
        <f>IF(IFERROR(VLOOKUP(TRIM(A267),Inventory!E:E,1,0),0)=0,"X","_")</f>
        <v>_</v>
      </c>
      <c r="C267" t="str">
        <f>IF(IFERROR(VLOOKUP(TRIM(A267),'Full Inventory'!F:F,1,0),0)=0,"X","_")</f>
        <v>X</v>
      </c>
      <c r="D267" t="str">
        <f t="shared" si="16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F267" t="str">
        <f t="shared" si="17"/>
        <v>_</v>
      </c>
      <c r="K267" t="str">
        <f t="shared" ca="1" si="18"/>
        <v>_XX_</v>
      </c>
      <c r="L267" t="str">
        <f t="shared" ca="1" si="19"/>
        <v/>
      </c>
      <c r="M267" t="str">
        <f>IFERROR(INDEX(Inventory!A:A,MATCH(Scan!A267,Inventory!E:E,0)),"")</f>
        <v/>
      </c>
    </row>
    <row r="268" spans="2:13" x14ac:dyDescent="0.3">
      <c r="B268" t="str">
        <f>IF(IFERROR(VLOOKUP(TRIM(A268),Inventory!E:E,1,0),0)=0,"X","_")</f>
        <v>_</v>
      </c>
      <c r="C268" t="str">
        <f>IF(IFERROR(VLOOKUP(TRIM(A268),'Full Inventory'!F:F,1,0),0)=0,"X","_")</f>
        <v>X</v>
      </c>
      <c r="D268" t="str">
        <f t="shared" si="16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F268" t="str">
        <f t="shared" si="17"/>
        <v>_</v>
      </c>
      <c r="K268" t="str">
        <f t="shared" ca="1" si="18"/>
        <v>_XX_</v>
      </c>
      <c r="L268" t="str">
        <f t="shared" ca="1" si="19"/>
        <v/>
      </c>
      <c r="M268" t="str">
        <f>IFERROR(INDEX(Inventory!A:A,MATCH(Scan!A268,Inventory!E:E,0)),"")</f>
        <v/>
      </c>
    </row>
    <row r="269" spans="2:13" x14ac:dyDescent="0.3">
      <c r="B269" t="str">
        <f>IF(IFERROR(VLOOKUP(TRIM(A269),Inventory!E:E,1,0),0)=0,"X","_")</f>
        <v>_</v>
      </c>
      <c r="C269" t="str">
        <f>IF(IFERROR(VLOOKUP(TRIM(A269),'Full Inventory'!F:F,1,0),0)=0,"X","_")</f>
        <v>X</v>
      </c>
      <c r="D269" t="str">
        <f t="shared" si="16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F269" t="str">
        <f t="shared" si="17"/>
        <v>_</v>
      </c>
      <c r="K269" t="str">
        <f t="shared" ca="1" si="18"/>
        <v>_XX_</v>
      </c>
      <c r="L269" t="str">
        <f t="shared" ca="1" si="19"/>
        <v/>
      </c>
      <c r="M269" t="str">
        <f>IFERROR(INDEX(Inventory!A:A,MATCH(Scan!A269,Inventory!E:E,0)),"")</f>
        <v/>
      </c>
    </row>
    <row r="270" spans="2:13" x14ac:dyDescent="0.3">
      <c r="B270" t="str">
        <f>IF(IFERROR(VLOOKUP(TRIM(A270),Inventory!E:E,1,0),0)=0,"X","_")</f>
        <v>_</v>
      </c>
      <c r="C270" t="str">
        <f>IF(IFERROR(VLOOKUP(TRIM(A270),'Full Inventory'!F:F,1,0),0)=0,"X","_")</f>
        <v>X</v>
      </c>
      <c r="D270" t="str">
        <f t="shared" si="16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F270" t="str">
        <f t="shared" si="17"/>
        <v>_</v>
      </c>
      <c r="K270" t="str">
        <f t="shared" ca="1" si="18"/>
        <v>_XX_</v>
      </c>
      <c r="L270" t="str">
        <f t="shared" ca="1" si="19"/>
        <v/>
      </c>
      <c r="M270" t="str">
        <f>IFERROR(INDEX(Inventory!A:A,MATCH(Scan!A270,Inventory!E:E,0)),"")</f>
        <v/>
      </c>
    </row>
    <row r="271" spans="2:13" x14ac:dyDescent="0.3">
      <c r="B271" t="str">
        <f>IF(IFERROR(VLOOKUP(TRIM(A271),Inventory!E:E,1,0),0)=0,"X","_")</f>
        <v>_</v>
      </c>
      <c r="C271" t="str">
        <f>IF(IFERROR(VLOOKUP(TRIM(A271),'Full Inventory'!F:F,1,0),0)=0,"X","_")</f>
        <v>X</v>
      </c>
      <c r="D271" t="str">
        <f t="shared" si="16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F271" t="str">
        <f t="shared" si="17"/>
        <v>_</v>
      </c>
      <c r="K271" t="str">
        <f t="shared" ca="1" si="18"/>
        <v>_XX_</v>
      </c>
      <c r="L271" t="str">
        <f t="shared" ca="1" si="19"/>
        <v/>
      </c>
      <c r="M271" t="str">
        <f>IFERROR(INDEX(Inventory!A:A,MATCH(Scan!A271,Inventory!E:E,0)),"")</f>
        <v/>
      </c>
    </row>
    <row r="272" spans="2:13" x14ac:dyDescent="0.3">
      <c r="B272" t="str">
        <f>IF(IFERROR(VLOOKUP(TRIM(A272),Inventory!E:E,1,0),0)=0,"X","_")</f>
        <v>_</v>
      </c>
      <c r="C272" t="str">
        <f>IF(IFERROR(VLOOKUP(TRIM(A272),'Full Inventory'!F:F,1,0),0)=0,"X","_")</f>
        <v>X</v>
      </c>
      <c r="D272" t="str">
        <f t="shared" si="16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F272" t="str">
        <f t="shared" si="17"/>
        <v>_</v>
      </c>
      <c r="K272" t="str">
        <f t="shared" ca="1" si="18"/>
        <v>_XX_</v>
      </c>
      <c r="L272" t="str">
        <f t="shared" ca="1" si="19"/>
        <v/>
      </c>
      <c r="M272" t="str">
        <f>IFERROR(INDEX(Inventory!A:A,MATCH(Scan!A272,Inventory!E:E,0)),"")</f>
        <v/>
      </c>
    </row>
    <row r="273" spans="2:13" x14ac:dyDescent="0.3">
      <c r="B273" t="str">
        <f>IF(IFERROR(VLOOKUP(TRIM(A273),Inventory!E:E,1,0),0)=0,"X","_")</f>
        <v>_</v>
      </c>
      <c r="C273" t="str">
        <f>IF(IFERROR(VLOOKUP(TRIM(A273),'Full Inventory'!F:F,1,0),0)=0,"X","_")</f>
        <v>X</v>
      </c>
      <c r="D273" t="str">
        <f t="shared" si="16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F273" t="str">
        <f t="shared" si="17"/>
        <v>_</v>
      </c>
      <c r="K273" t="str">
        <f t="shared" ca="1" si="18"/>
        <v>_XX_</v>
      </c>
      <c r="L273" t="str">
        <f t="shared" ca="1" si="19"/>
        <v/>
      </c>
      <c r="M273" t="str">
        <f>IFERROR(INDEX(Inventory!A:A,MATCH(Scan!A273,Inventory!E:E,0)),"")</f>
        <v/>
      </c>
    </row>
    <row r="274" spans="2:13" x14ac:dyDescent="0.3">
      <c r="B274" t="str">
        <f>IF(IFERROR(VLOOKUP(TRIM(A274),Inventory!E:E,1,0),0)=0,"X","_")</f>
        <v>_</v>
      </c>
      <c r="C274" t="str">
        <f>IF(IFERROR(VLOOKUP(TRIM(A274),'Full Inventory'!F:F,1,0),0)=0,"X","_")</f>
        <v>X</v>
      </c>
      <c r="D274" t="str">
        <f t="shared" si="16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F274" t="str">
        <f t="shared" si="17"/>
        <v>_</v>
      </c>
      <c r="K274" t="str">
        <f t="shared" ca="1" si="18"/>
        <v>_XX_</v>
      </c>
      <c r="L274" t="str">
        <f t="shared" ca="1" si="19"/>
        <v/>
      </c>
      <c r="M274" t="str">
        <f>IFERROR(INDEX(Inventory!A:A,MATCH(Scan!A274,Inventory!E:E,0)),"")</f>
        <v/>
      </c>
    </row>
    <row r="275" spans="2:13" x14ac:dyDescent="0.3">
      <c r="B275" t="str">
        <f>IF(IFERROR(VLOOKUP(TRIM(A275),Inventory!E:E,1,0),0)=0,"X","_")</f>
        <v>_</v>
      </c>
      <c r="C275" t="str">
        <f>IF(IFERROR(VLOOKUP(TRIM(A275),'Full Inventory'!F:F,1,0),0)=0,"X","_")</f>
        <v>X</v>
      </c>
      <c r="D275" t="str">
        <f t="shared" si="16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F275" t="str">
        <f t="shared" si="17"/>
        <v>_</v>
      </c>
      <c r="K275" t="str">
        <f t="shared" ca="1" si="18"/>
        <v>_XX_</v>
      </c>
      <c r="L275" t="str">
        <f t="shared" ca="1" si="19"/>
        <v/>
      </c>
      <c r="M275" t="str">
        <f>IFERROR(INDEX(Inventory!A:A,MATCH(Scan!A275,Inventory!E:E,0)),"")</f>
        <v/>
      </c>
    </row>
    <row r="276" spans="2:13" x14ac:dyDescent="0.3">
      <c r="B276" t="str">
        <f>IF(IFERROR(VLOOKUP(TRIM(A276),Inventory!E:E,1,0),0)=0,"X","_")</f>
        <v>_</v>
      </c>
      <c r="C276" t="str">
        <f>IF(IFERROR(VLOOKUP(TRIM(A276),'Full Inventory'!F:F,1,0),0)=0,"X","_")</f>
        <v>X</v>
      </c>
      <c r="D276" t="str">
        <f t="shared" si="16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F276" t="str">
        <f t="shared" si="17"/>
        <v>_</v>
      </c>
      <c r="K276" t="str">
        <f t="shared" ca="1" si="18"/>
        <v>_XX_</v>
      </c>
      <c r="L276" t="str">
        <f t="shared" ca="1" si="19"/>
        <v/>
      </c>
      <c r="M276" t="str">
        <f>IFERROR(INDEX(Inventory!A:A,MATCH(Scan!A276,Inventory!E:E,0)),"")</f>
        <v/>
      </c>
    </row>
    <row r="277" spans="2:13" x14ac:dyDescent="0.3">
      <c r="B277" t="str">
        <f>IF(IFERROR(VLOOKUP(TRIM(A277),Inventory!E:E,1,0),0)=0,"X","_")</f>
        <v>_</v>
      </c>
      <c r="C277" t="str">
        <f>IF(IFERROR(VLOOKUP(TRIM(A277),'Full Inventory'!F:F,1,0),0)=0,"X","_")</f>
        <v>X</v>
      </c>
      <c r="D277" t="str">
        <f t="shared" si="16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F277" t="str">
        <f t="shared" si="17"/>
        <v>_</v>
      </c>
      <c r="K277" t="str">
        <f t="shared" ca="1" si="18"/>
        <v>_XX_</v>
      </c>
      <c r="L277" t="str">
        <f t="shared" ca="1" si="19"/>
        <v/>
      </c>
      <c r="M277" t="str">
        <f>IFERROR(INDEX(Inventory!A:A,MATCH(Scan!A277,Inventory!E:E,0)),"")</f>
        <v/>
      </c>
    </row>
    <row r="278" spans="2:13" x14ac:dyDescent="0.3">
      <c r="B278" t="str">
        <f>IF(IFERROR(VLOOKUP(TRIM(A278),Inventory!E:E,1,0),0)=0,"X","_")</f>
        <v>_</v>
      </c>
      <c r="C278" t="str">
        <f>IF(IFERROR(VLOOKUP(TRIM(A278),'Full Inventory'!F:F,1,0),0)=0,"X","_")</f>
        <v>X</v>
      </c>
      <c r="D278" t="str">
        <f t="shared" si="16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F278" t="str">
        <f t="shared" si="17"/>
        <v>_</v>
      </c>
      <c r="K278" t="str">
        <f t="shared" ca="1" si="18"/>
        <v>_XX_</v>
      </c>
      <c r="L278" t="str">
        <f t="shared" ca="1" si="19"/>
        <v/>
      </c>
      <c r="M278" t="str">
        <f>IFERROR(INDEX(Inventory!A:A,MATCH(Scan!A278,Inventory!E:E,0)),"")</f>
        <v/>
      </c>
    </row>
    <row r="279" spans="2:13" x14ac:dyDescent="0.3">
      <c r="B279" t="str">
        <f>IF(IFERROR(VLOOKUP(TRIM(A279),Inventory!E:E,1,0),0)=0,"X","_")</f>
        <v>_</v>
      </c>
      <c r="C279" t="str">
        <f>IF(IFERROR(VLOOKUP(TRIM(A279),'Full Inventory'!F:F,1,0),0)=0,"X","_")</f>
        <v>X</v>
      </c>
      <c r="D279" t="str">
        <f t="shared" si="16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F279" t="str">
        <f t="shared" si="17"/>
        <v>_</v>
      </c>
      <c r="K279" t="str">
        <f t="shared" ca="1" si="18"/>
        <v>_XX_</v>
      </c>
      <c r="L279" t="str">
        <f t="shared" ca="1" si="19"/>
        <v/>
      </c>
      <c r="M279" t="str">
        <f>IFERROR(INDEX(Inventory!A:A,MATCH(Scan!A279,Inventory!E:E,0)),"")</f>
        <v/>
      </c>
    </row>
    <row r="280" spans="2:13" x14ac:dyDescent="0.3">
      <c r="B280" t="str">
        <f>IF(IFERROR(VLOOKUP(TRIM(A280),Inventory!E:E,1,0),0)=0,"X","_")</f>
        <v>_</v>
      </c>
      <c r="C280" t="str">
        <f>IF(IFERROR(VLOOKUP(TRIM(A280),'Full Inventory'!F:F,1,0),0)=0,"X","_")</f>
        <v>X</v>
      </c>
      <c r="D280" t="str">
        <f t="shared" si="16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F280" t="str">
        <f t="shared" si="17"/>
        <v>_</v>
      </c>
      <c r="K280" t="str">
        <f t="shared" ca="1" si="18"/>
        <v>_XX_</v>
      </c>
      <c r="L280" t="str">
        <f t="shared" ca="1" si="19"/>
        <v/>
      </c>
      <c r="M280" t="str">
        <f>IFERROR(INDEX(Inventory!A:A,MATCH(Scan!A280,Inventory!E:E,0)),"")</f>
        <v/>
      </c>
    </row>
    <row r="281" spans="2:13" x14ac:dyDescent="0.3">
      <c r="B281" t="str">
        <f>IF(IFERROR(VLOOKUP(TRIM(A281),Inventory!E:E,1,0),0)=0,"X","_")</f>
        <v>_</v>
      </c>
      <c r="C281" t="str">
        <f>IF(IFERROR(VLOOKUP(TRIM(A281),'Full Inventory'!F:F,1,0),0)=0,"X","_")</f>
        <v>X</v>
      </c>
      <c r="D281" t="str">
        <f t="shared" si="16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F281" t="str">
        <f t="shared" si="17"/>
        <v>_</v>
      </c>
      <c r="K281" t="str">
        <f t="shared" ca="1" si="18"/>
        <v>_XX_</v>
      </c>
      <c r="L281" t="str">
        <f t="shared" ca="1" si="19"/>
        <v/>
      </c>
      <c r="M281" t="str">
        <f>IFERROR(INDEX(Inventory!A:A,MATCH(Scan!A281,Inventory!E:E,0)),"")</f>
        <v/>
      </c>
    </row>
    <row r="282" spans="2:13" x14ac:dyDescent="0.3">
      <c r="B282" t="str">
        <f>IF(IFERROR(VLOOKUP(TRIM(A282),Inventory!E:E,1,0),0)=0,"X","_")</f>
        <v>_</v>
      </c>
      <c r="C282" t="str">
        <f>IF(IFERROR(VLOOKUP(TRIM(A282),'Full Inventory'!F:F,1,0),0)=0,"X","_")</f>
        <v>X</v>
      </c>
      <c r="D282" t="str">
        <f t="shared" si="16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F282" t="str">
        <f t="shared" si="17"/>
        <v>_</v>
      </c>
      <c r="K282" t="str">
        <f t="shared" ca="1" si="18"/>
        <v>_XX_</v>
      </c>
      <c r="L282" t="str">
        <f t="shared" ca="1" si="19"/>
        <v/>
      </c>
      <c r="M282" t="str">
        <f>IFERROR(INDEX(Inventory!A:A,MATCH(Scan!A282,Inventory!E:E,0)),"")</f>
        <v/>
      </c>
    </row>
    <row r="283" spans="2:13" x14ac:dyDescent="0.3">
      <c r="B283" t="str">
        <f>IF(IFERROR(VLOOKUP(TRIM(A283),Inventory!E:E,1,0),0)=0,"X","_")</f>
        <v>_</v>
      </c>
      <c r="C283" t="str">
        <f>IF(IFERROR(VLOOKUP(TRIM(A283),'Full Inventory'!F:F,1,0),0)=0,"X","_")</f>
        <v>X</v>
      </c>
      <c r="D283" t="str">
        <f t="shared" si="16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F283" t="str">
        <f t="shared" si="17"/>
        <v>_</v>
      </c>
      <c r="K283" t="str">
        <f t="shared" ca="1" si="18"/>
        <v>_XX_</v>
      </c>
      <c r="L283" t="str">
        <f t="shared" ca="1" si="19"/>
        <v/>
      </c>
      <c r="M283" t="str">
        <f>IFERROR(INDEX(Inventory!A:A,MATCH(Scan!A283,Inventory!E:E,0)),"")</f>
        <v/>
      </c>
    </row>
    <row r="284" spans="2:13" x14ac:dyDescent="0.3">
      <c r="B284" t="str">
        <f>IF(IFERROR(VLOOKUP(TRIM(A284),Inventory!E:E,1,0),0)=0,"X","_")</f>
        <v>_</v>
      </c>
      <c r="C284" t="str">
        <f>IF(IFERROR(VLOOKUP(TRIM(A284),'Full Inventory'!F:F,1,0),0)=0,"X","_")</f>
        <v>X</v>
      </c>
      <c r="D284" t="str">
        <f t="shared" si="16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F284" t="str">
        <f t="shared" si="17"/>
        <v>_</v>
      </c>
      <c r="K284" t="str">
        <f t="shared" ca="1" si="18"/>
        <v>_XX_</v>
      </c>
      <c r="L284" t="str">
        <f t="shared" ca="1" si="19"/>
        <v/>
      </c>
      <c r="M284" t="str">
        <f>IFERROR(INDEX(Inventory!A:A,MATCH(Scan!A284,Inventory!E:E,0)),"")</f>
        <v/>
      </c>
    </row>
    <row r="285" spans="2:13" x14ac:dyDescent="0.3">
      <c r="B285" t="str">
        <f>IF(IFERROR(VLOOKUP(TRIM(A285),Inventory!E:E,1,0),0)=0,"X","_")</f>
        <v>_</v>
      </c>
      <c r="C285" t="str">
        <f>IF(IFERROR(VLOOKUP(TRIM(A285),'Full Inventory'!F:F,1,0),0)=0,"X","_")</f>
        <v>X</v>
      </c>
      <c r="D285" t="str">
        <f t="shared" si="16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F285" t="str">
        <f t="shared" si="17"/>
        <v>_</v>
      </c>
      <c r="K285" t="str">
        <f t="shared" ca="1" si="18"/>
        <v>_XX_</v>
      </c>
      <c r="L285" t="str">
        <f t="shared" ca="1" si="19"/>
        <v/>
      </c>
      <c r="M285" t="str">
        <f>IFERROR(INDEX(Inventory!A:A,MATCH(Scan!A285,Inventory!E:E,0)),"")</f>
        <v/>
      </c>
    </row>
    <row r="286" spans="2:13" x14ac:dyDescent="0.3">
      <c r="B286" t="str">
        <f>IF(IFERROR(VLOOKUP(TRIM(A286),Inventory!E:E,1,0),0)=0,"X","_")</f>
        <v>_</v>
      </c>
      <c r="C286" t="str">
        <f>IF(IFERROR(VLOOKUP(TRIM(A286),'Full Inventory'!F:F,1,0),0)=0,"X","_")</f>
        <v>X</v>
      </c>
      <c r="D286" t="str">
        <f t="shared" si="16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F286" t="str">
        <f t="shared" si="17"/>
        <v>_</v>
      </c>
      <c r="K286" t="str">
        <f t="shared" ca="1" si="18"/>
        <v>_XX_</v>
      </c>
      <c r="L286" t="str">
        <f t="shared" ca="1" si="19"/>
        <v/>
      </c>
      <c r="M286" t="str">
        <f>IFERROR(INDEX(Inventory!A:A,MATCH(Scan!A286,Inventory!E:E,0)),"")</f>
        <v/>
      </c>
    </row>
    <row r="287" spans="2:13" x14ac:dyDescent="0.3">
      <c r="B287" t="str">
        <f>IF(IFERROR(VLOOKUP(TRIM(A287),Inventory!E:E,1,0),0)=0,"X","_")</f>
        <v>_</v>
      </c>
      <c r="C287" t="str">
        <f>IF(IFERROR(VLOOKUP(TRIM(A287),'Full Inventory'!F:F,1,0),0)=0,"X","_")</f>
        <v>X</v>
      </c>
      <c r="D287" t="str">
        <f t="shared" si="16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F287" t="str">
        <f t="shared" si="17"/>
        <v>_</v>
      </c>
      <c r="K287" t="str">
        <f t="shared" ca="1" si="18"/>
        <v>_XX_</v>
      </c>
      <c r="L287" t="str">
        <f t="shared" ca="1" si="19"/>
        <v/>
      </c>
      <c r="M287" t="str">
        <f>IFERROR(INDEX(Inventory!A:A,MATCH(Scan!A287,Inventory!E:E,0)),"")</f>
        <v/>
      </c>
    </row>
    <row r="288" spans="2:13" x14ac:dyDescent="0.3">
      <c r="B288" t="str">
        <f>IF(IFERROR(VLOOKUP(TRIM(A288),Inventory!E:E,1,0),0)=0,"X","_")</f>
        <v>_</v>
      </c>
      <c r="C288" t="str">
        <f>IF(IFERROR(VLOOKUP(TRIM(A288),'Full Inventory'!F:F,1,0),0)=0,"X","_")</f>
        <v>X</v>
      </c>
      <c r="D288" t="str">
        <f t="shared" si="16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F288" t="str">
        <f t="shared" si="17"/>
        <v>_</v>
      </c>
      <c r="K288" t="str">
        <f t="shared" ca="1" si="18"/>
        <v>_XX_</v>
      </c>
      <c r="L288" t="str">
        <f t="shared" ca="1" si="19"/>
        <v/>
      </c>
      <c r="M288" t="str">
        <f>IFERROR(INDEX(Inventory!A:A,MATCH(Scan!A288,Inventory!E:E,0)),"")</f>
        <v/>
      </c>
    </row>
    <row r="289" spans="2:13" x14ac:dyDescent="0.3">
      <c r="B289" t="str">
        <f>IF(IFERROR(VLOOKUP(TRIM(A289),Inventory!E:E,1,0),0)=0,"X","_")</f>
        <v>_</v>
      </c>
      <c r="C289" t="str">
        <f>IF(IFERROR(VLOOKUP(TRIM(A289),'Full Inventory'!F:F,1,0),0)=0,"X","_")</f>
        <v>X</v>
      </c>
      <c r="D289" t="str">
        <f t="shared" si="16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F289" t="str">
        <f t="shared" si="17"/>
        <v>_</v>
      </c>
      <c r="K289" t="str">
        <f t="shared" ca="1" si="18"/>
        <v>_XX_</v>
      </c>
      <c r="L289" t="str">
        <f t="shared" ca="1" si="19"/>
        <v/>
      </c>
      <c r="M289" t="str">
        <f>IFERROR(INDEX(Inventory!A:A,MATCH(Scan!A289,Inventory!E:E,0)),"")</f>
        <v/>
      </c>
    </row>
    <row r="290" spans="2:13" x14ac:dyDescent="0.3">
      <c r="B290" t="str">
        <f>IF(IFERROR(VLOOKUP(TRIM(A290),Inventory!E:E,1,0),0)=0,"X","_")</f>
        <v>_</v>
      </c>
      <c r="C290" t="str">
        <f>IF(IFERROR(VLOOKUP(TRIM(A290),'Full Inventory'!F:F,1,0),0)=0,"X","_")</f>
        <v>X</v>
      </c>
      <c r="D290" t="str">
        <f t="shared" si="16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F290" t="str">
        <f t="shared" si="17"/>
        <v>_</v>
      </c>
      <c r="K290" t="str">
        <f t="shared" ca="1" si="18"/>
        <v>_XX_</v>
      </c>
      <c r="L290" t="str">
        <f t="shared" ca="1" si="19"/>
        <v/>
      </c>
      <c r="M290" t="str">
        <f>IFERROR(INDEX(Inventory!A:A,MATCH(Scan!A290,Inventory!E:E,0)),"")</f>
        <v/>
      </c>
    </row>
    <row r="291" spans="2:13" x14ac:dyDescent="0.3">
      <c r="B291" t="str">
        <f>IF(IFERROR(VLOOKUP(TRIM(A291),Inventory!E:E,1,0),0)=0,"X","_")</f>
        <v>_</v>
      </c>
      <c r="C291" t="str">
        <f>IF(IFERROR(VLOOKUP(TRIM(A291),'Full Inventory'!F:F,1,0),0)=0,"X","_")</f>
        <v>X</v>
      </c>
      <c r="D291" t="str">
        <f t="shared" si="16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F291" t="str">
        <f t="shared" si="17"/>
        <v>_</v>
      </c>
      <c r="K291" t="str">
        <f t="shared" ca="1" si="18"/>
        <v>_XX_</v>
      </c>
      <c r="L291" t="str">
        <f t="shared" ca="1" si="19"/>
        <v/>
      </c>
      <c r="M291" t="str">
        <f>IFERROR(INDEX(Inventory!A:A,MATCH(Scan!A291,Inventory!E:E,0)),"")</f>
        <v/>
      </c>
    </row>
    <row r="292" spans="2:13" x14ac:dyDescent="0.3">
      <c r="B292" t="str">
        <f>IF(IFERROR(VLOOKUP(TRIM(A292),Inventory!E:E,1,0),0)=0,"X","_")</f>
        <v>_</v>
      </c>
      <c r="C292" t="str">
        <f>IF(IFERROR(VLOOKUP(TRIM(A292),'Full Inventory'!F:F,1,0),0)=0,"X","_")</f>
        <v>X</v>
      </c>
      <c r="D292" t="str">
        <f t="shared" si="16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F292" t="str">
        <f t="shared" si="17"/>
        <v>_</v>
      </c>
      <c r="K292" t="str">
        <f t="shared" ca="1" si="18"/>
        <v>_XX_</v>
      </c>
      <c r="L292" t="str">
        <f t="shared" ca="1" si="19"/>
        <v/>
      </c>
      <c r="M292" t="str">
        <f>IFERROR(INDEX(Inventory!A:A,MATCH(Scan!A292,Inventory!E:E,0)),"")</f>
        <v/>
      </c>
    </row>
    <row r="293" spans="2:13" x14ac:dyDescent="0.3">
      <c r="B293" t="str">
        <f>IF(IFERROR(VLOOKUP(TRIM(A293),Inventory!E:E,1,0),0)=0,"X","_")</f>
        <v>_</v>
      </c>
      <c r="C293" t="str">
        <f>IF(IFERROR(VLOOKUP(TRIM(A293),'Full Inventory'!F:F,1,0),0)=0,"X","_")</f>
        <v>X</v>
      </c>
      <c r="D293" t="str">
        <f t="shared" si="16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F293" t="str">
        <f t="shared" si="17"/>
        <v>_</v>
      </c>
      <c r="K293" t="str">
        <f t="shared" ca="1" si="18"/>
        <v>_XX_</v>
      </c>
      <c r="L293" t="str">
        <f t="shared" ca="1" si="19"/>
        <v/>
      </c>
      <c r="M293" t="str">
        <f>IFERROR(INDEX(Inventory!A:A,MATCH(Scan!A293,Inventory!E:E,0)),"")</f>
        <v/>
      </c>
    </row>
    <row r="294" spans="2:13" x14ac:dyDescent="0.3">
      <c r="B294" t="str">
        <f>IF(IFERROR(VLOOKUP(TRIM(A294),Inventory!E:E,1,0),0)=0,"X","_")</f>
        <v>_</v>
      </c>
      <c r="C294" t="str">
        <f>IF(IFERROR(VLOOKUP(TRIM(A294),'Full Inventory'!F:F,1,0),0)=0,"X","_")</f>
        <v>X</v>
      </c>
      <c r="D294" t="str">
        <f t="shared" si="16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F294" t="str">
        <f t="shared" si="17"/>
        <v>_</v>
      </c>
      <c r="K294" t="str">
        <f t="shared" ca="1" si="18"/>
        <v>_XX_</v>
      </c>
      <c r="L294" t="str">
        <f t="shared" ca="1" si="19"/>
        <v/>
      </c>
      <c r="M294" t="str">
        <f>IFERROR(INDEX(Inventory!A:A,MATCH(Scan!A294,Inventory!E:E,0)),"")</f>
        <v/>
      </c>
    </row>
    <row r="295" spans="2:13" x14ac:dyDescent="0.3">
      <c r="B295" t="str">
        <f>IF(IFERROR(VLOOKUP(TRIM(A295),Inventory!E:E,1,0),0)=0,"X","_")</f>
        <v>_</v>
      </c>
      <c r="C295" t="str">
        <f>IF(IFERROR(VLOOKUP(TRIM(A295),'Full Inventory'!F:F,1,0),0)=0,"X","_")</f>
        <v>X</v>
      </c>
      <c r="D295" t="str">
        <f t="shared" si="16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F295" t="str">
        <f t="shared" si="17"/>
        <v>_</v>
      </c>
      <c r="K295" t="str">
        <f t="shared" ca="1" si="18"/>
        <v>_XX_</v>
      </c>
      <c r="L295" t="str">
        <f t="shared" ca="1" si="19"/>
        <v/>
      </c>
      <c r="M295" t="str">
        <f>IFERROR(INDEX(Inventory!A:A,MATCH(Scan!A295,Inventory!E:E,0)),"")</f>
        <v/>
      </c>
    </row>
    <row r="296" spans="2:13" x14ac:dyDescent="0.3">
      <c r="B296" t="str">
        <f>IF(IFERROR(VLOOKUP(TRIM(A296),Inventory!E:E,1,0),0)=0,"X","_")</f>
        <v>_</v>
      </c>
      <c r="C296" t="str">
        <f>IF(IFERROR(VLOOKUP(TRIM(A296),'Full Inventory'!F:F,1,0),0)=0,"X","_")</f>
        <v>X</v>
      </c>
      <c r="D296" t="str">
        <f t="shared" si="16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F296" t="str">
        <f t="shared" si="17"/>
        <v>_</v>
      </c>
      <c r="K296" t="str">
        <f t="shared" ca="1" si="18"/>
        <v>_XX_</v>
      </c>
      <c r="L296" t="str">
        <f t="shared" ca="1" si="19"/>
        <v/>
      </c>
      <c r="M296" t="str">
        <f>IFERROR(INDEX(Inventory!A:A,MATCH(Scan!A296,Inventory!E:E,0)),"")</f>
        <v/>
      </c>
    </row>
    <row r="297" spans="2:13" x14ac:dyDescent="0.3">
      <c r="B297" t="str">
        <f>IF(IFERROR(VLOOKUP(TRIM(A297),Inventory!E:E,1,0),0)=0,"X","_")</f>
        <v>_</v>
      </c>
      <c r="C297" t="str">
        <f>IF(IFERROR(VLOOKUP(TRIM(A297),'Full Inventory'!F:F,1,0),0)=0,"X","_")</f>
        <v>X</v>
      </c>
      <c r="D297" t="str">
        <f t="shared" si="16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F297" t="str">
        <f t="shared" si="17"/>
        <v>_</v>
      </c>
      <c r="K297" t="str">
        <f t="shared" ca="1" si="18"/>
        <v>_XX_</v>
      </c>
      <c r="L297" t="str">
        <f t="shared" ca="1" si="19"/>
        <v/>
      </c>
      <c r="M297" t="str">
        <f>IFERROR(INDEX(Inventory!A:A,MATCH(Scan!A297,Inventory!E:E,0)),"")</f>
        <v/>
      </c>
    </row>
    <row r="298" spans="2:13" x14ac:dyDescent="0.3">
      <c r="B298" t="str">
        <f>IF(IFERROR(VLOOKUP(TRIM(A298),Inventory!E:E,1,0),0)=0,"X","_")</f>
        <v>_</v>
      </c>
      <c r="C298" t="str">
        <f>IF(IFERROR(VLOOKUP(TRIM(A298),'Full Inventory'!F:F,1,0),0)=0,"X","_")</f>
        <v>X</v>
      </c>
      <c r="D298" t="str">
        <f t="shared" si="16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F298" t="str">
        <f t="shared" si="17"/>
        <v>_</v>
      </c>
      <c r="K298" t="str">
        <f t="shared" ca="1" si="18"/>
        <v>_XX_</v>
      </c>
      <c r="L298" t="str">
        <f t="shared" ca="1" si="19"/>
        <v/>
      </c>
      <c r="M298" t="str">
        <f>IFERROR(INDEX(Inventory!A:A,MATCH(Scan!A298,Inventory!E:E,0)),"")</f>
        <v/>
      </c>
    </row>
    <row r="299" spans="2:13" x14ac:dyDescent="0.3">
      <c r="B299" t="str">
        <f>IF(IFERROR(VLOOKUP(TRIM(A299),Inventory!E:E,1,0),0)=0,"X","_")</f>
        <v>_</v>
      </c>
      <c r="C299" t="str">
        <f>IF(IFERROR(VLOOKUP(TRIM(A299),'Full Inventory'!F:F,1,0),0)=0,"X","_")</f>
        <v>X</v>
      </c>
      <c r="D299" t="str">
        <f t="shared" si="16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F299" t="str">
        <f t="shared" si="17"/>
        <v>_</v>
      </c>
      <c r="K299" t="str">
        <f t="shared" ca="1" si="18"/>
        <v>_XX_</v>
      </c>
      <c r="L299" t="str">
        <f t="shared" ca="1" si="19"/>
        <v/>
      </c>
      <c r="M299" t="str">
        <f>IFERROR(INDEX(Inventory!A:A,MATCH(Scan!A299,Inventory!E:E,0)),"")</f>
        <v/>
      </c>
    </row>
    <row r="300" spans="2:13" x14ac:dyDescent="0.3">
      <c r="B300" t="str">
        <f>IF(IFERROR(VLOOKUP(TRIM(A300),Inventory!E:E,1,0),0)=0,"X","_")</f>
        <v>_</v>
      </c>
      <c r="C300" t="str">
        <f>IF(IFERROR(VLOOKUP(TRIM(A300),'Full Inventory'!F:F,1,0),0)=0,"X","_")</f>
        <v>X</v>
      </c>
      <c r="D300" t="str">
        <f t="shared" si="16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F300" t="str">
        <f t="shared" si="17"/>
        <v>_</v>
      </c>
      <c r="K300" t="str">
        <f t="shared" ca="1" si="18"/>
        <v>_XX_</v>
      </c>
      <c r="L300" t="str">
        <f t="shared" ca="1" si="19"/>
        <v/>
      </c>
      <c r="M300" t="str">
        <f>IFERROR(INDEX(Inventory!A:A,MATCH(Scan!A300,Inventory!E:E,0)),"")</f>
        <v/>
      </c>
    </row>
    <row r="301" spans="2:13" x14ac:dyDescent="0.3">
      <c r="B301" t="str">
        <f>IF(IFERROR(VLOOKUP(TRIM(A301),Inventory!E:E,1,0),0)=0,"X","_")</f>
        <v>_</v>
      </c>
      <c r="C301" t="str">
        <f>IF(IFERROR(VLOOKUP(TRIM(A301),'Full Inventory'!F:F,1,0),0)=0,"X","_")</f>
        <v>X</v>
      </c>
      <c r="D301" t="str">
        <f t="shared" si="16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F301" t="str">
        <f t="shared" si="17"/>
        <v>_</v>
      </c>
      <c r="K301" t="str">
        <f t="shared" ca="1" si="18"/>
        <v>_XX_</v>
      </c>
      <c r="L301" t="str">
        <f t="shared" ca="1" si="19"/>
        <v/>
      </c>
      <c r="M301" t="str">
        <f>IFERROR(INDEX(Inventory!A:A,MATCH(Scan!A301,Inventory!E:E,0)),"")</f>
        <v/>
      </c>
    </row>
    <row r="302" spans="2:13" x14ac:dyDescent="0.3">
      <c r="B302" t="str">
        <f>IF(IFERROR(VLOOKUP(TRIM(A302),Inventory!E:E,1,0),0)=0,"X","_")</f>
        <v>_</v>
      </c>
      <c r="C302" t="str">
        <f>IF(IFERROR(VLOOKUP(TRIM(A302),'Full Inventory'!F:F,1,0),0)=0,"X","_")</f>
        <v>X</v>
      </c>
      <c r="D302" t="str">
        <f t="shared" si="16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F302" t="str">
        <f t="shared" si="17"/>
        <v>_</v>
      </c>
      <c r="K302" t="str">
        <f t="shared" ca="1" si="18"/>
        <v>_XX_</v>
      </c>
      <c r="L302" t="str">
        <f t="shared" ca="1" si="19"/>
        <v/>
      </c>
      <c r="M302" t="str">
        <f>IFERROR(INDEX(Inventory!A:A,MATCH(Scan!A302,Inventory!E:E,0)),"")</f>
        <v/>
      </c>
    </row>
    <row r="303" spans="2:13" x14ac:dyDescent="0.3">
      <c r="B303" t="str">
        <f>IF(IFERROR(VLOOKUP(TRIM(A303),Inventory!E:E,1,0),0)=0,"X","_")</f>
        <v>_</v>
      </c>
      <c r="C303" t="str">
        <f>IF(IFERROR(VLOOKUP(TRIM(A303),'Full Inventory'!F:F,1,0),0)=0,"X","_")</f>
        <v>X</v>
      </c>
      <c r="D303" t="str">
        <f t="shared" si="16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F303" t="str">
        <f t="shared" si="17"/>
        <v>_</v>
      </c>
      <c r="K303" t="str">
        <f t="shared" ca="1" si="18"/>
        <v>_XX_</v>
      </c>
      <c r="L303" t="str">
        <f t="shared" ca="1" si="19"/>
        <v/>
      </c>
      <c r="M303" t="str">
        <f>IFERROR(INDEX(Inventory!A:A,MATCH(Scan!A303,Inventory!E:E,0)),"")</f>
        <v/>
      </c>
    </row>
    <row r="304" spans="2:13" x14ac:dyDescent="0.3">
      <c r="B304" t="str">
        <f>IF(IFERROR(VLOOKUP(TRIM(A304),Inventory!E:E,1,0),0)=0,"X","_")</f>
        <v>_</v>
      </c>
      <c r="C304" t="str">
        <f>IF(IFERROR(VLOOKUP(TRIM(A304),'Full Inventory'!F:F,1,0),0)=0,"X","_")</f>
        <v>X</v>
      </c>
      <c r="D304" t="str">
        <f t="shared" si="16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F304" t="str">
        <f t="shared" si="17"/>
        <v>_</v>
      </c>
      <c r="K304" t="str">
        <f t="shared" ca="1" si="18"/>
        <v>_XX_</v>
      </c>
      <c r="L304" t="str">
        <f t="shared" ca="1" si="19"/>
        <v/>
      </c>
      <c r="M304" t="str">
        <f>IFERROR(INDEX(Inventory!A:A,MATCH(Scan!A304,Inventory!E:E,0)),"")</f>
        <v/>
      </c>
    </row>
    <row r="305" spans="2:13" x14ac:dyDescent="0.3">
      <c r="B305" t="str">
        <f>IF(IFERROR(VLOOKUP(TRIM(A305),Inventory!E:E,1,0),0)=0,"X","_")</f>
        <v>_</v>
      </c>
      <c r="C305" t="str">
        <f>IF(IFERROR(VLOOKUP(TRIM(A305),'Full Inventory'!F:F,1,0),0)=0,"X","_")</f>
        <v>X</v>
      </c>
      <c r="D305" t="str">
        <f t="shared" si="16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F305" t="str">
        <f t="shared" si="17"/>
        <v>_</v>
      </c>
      <c r="K305" t="str">
        <f t="shared" ca="1" si="18"/>
        <v>_XX_</v>
      </c>
      <c r="L305" t="str">
        <f t="shared" ca="1" si="19"/>
        <v/>
      </c>
      <c r="M305" t="str">
        <f>IFERROR(INDEX(Inventory!A:A,MATCH(Scan!A305,Inventory!E:E,0)),"")</f>
        <v/>
      </c>
    </row>
    <row r="306" spans="2:13" x14ac:dyDescent="0.3">
      <c r="B306" t="str">
        <f>IF(IFERROR(VLOOKUP(TRIM(A306),Inventory!E:E,1,0),0)=0,"X","_")</f>
        <v>_</v>
      </c>
      <c r="C306" t="str">
        <f>IF(IFERROR(VLOOKUP(TRIM(A306),'Full Inventory'!F:F,1,0),0)=0,"X","_")</f>
        <v>X</v>
      </c>
      <c r="D306" t="str">
        <f t="shared" si="16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F306" t="str">
        <f t="shared" si="17"/>
        <v>_</v>
      </c>
      <c r="K306" t="str">
        <f t="shared" ca="1" si="18"/>
        <v>_XX_</v>
      </c>
      <c r="L306" t="str">
        <f t="shared" ca="1" si="19"/>
        <v/>
      </c>
      <c r="M306" t="str">
        <f>IFERROR(INDEX(Inventory!A:A,MATCH(Scan!A306,Inventory!E:E,0)),"")</f>
        <v/>
      </c>
    </row>
    <row r="307" spans="2:13" x14ac:dyDescent="0.3">
      <c r="B307" t="str">
        <f>IF(IFERROR(VLOOKUP(TRIM(A307),Inventory!E:E,1,0),0)=0,"X","_")</f>
        <v>_</v>
      </c>
      <c r="C307" t="str">
        <f>IF(IFERROR(VLOOKUP(TRIM(A307),'Full Inventory'!F:F,1,0),0)=0,"X","_")</f>
        <v>X</v>
      </c>
      <c r="D307" t="str">
        <f t="shared" si="16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F307" t="str">
        <f t="shared" si="17"/>
        <v>_</v>
      </c>
      <c r="K307" t="str">
        <f t="shared" ca="1" si="18"/>
        <v>_XX_</v>
      </c>
      <c r="L307" t="str">
        <f t="shared" ca="1" si="19"/>
        <v/>
      </c>
      <c r="M307" t="str">
        <f>IFERROR(INDEX(Inventory!A:A,MATCH(Scan!A307,Inventory!E:E,0)),"")</f>
        <v/>
      </c>
    </row>
    <row r="308" spans="2:13" x14ac:dyDescent="0.3">
      <c r="B308" t="str">
        <f>IF(IFERROR(VLOOKUP(TRIM(A308),Inventory!E:E,1,0),0)=0,"X","_")</f>
        <v>_</v>
      </c>
      <c r="C308" t="str">
        <f>IF(IFERROR(VLOOKUP(TRIM(A308),'Full Inventory'!F:F,1,0),0)=0,"X","_")</f>
        <v>X</v>
      </c>
      <c r="D308" t="str">
        <f t="shared" si="16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F308" t="str">
        <f t="shared" si="17"/>
        <v>_</v>
      </c>
      <c r="K308" t="str">
        <f t="shared" ca="1" si="18"/>
        <v>_XX_</v>
      </c>
      <c r="L308" t="str">
        <f t="shared" ca="1" si="19"/>
        <v/>
      </c>
      <c r="M308" t="str">
        <f>IFERROR(INDEX(Inventory!A:A,MATCH(Scan!A308,Inventory!E:E,0)),"")</f>
        <v/>
      </c>
    </row>
    <row r="309" spans="2:13" x14ac:dyDescent="0.3">
      <c r="B309" t="str">
        <f>IF(IFERROR(VLOOKUP(TRIM(A309),Inventory!E:E,1,0),0)=0,"X","_")</f>
        <v>_</v>
      </c>
      <c r="C309" t="str">
        <f>IF(IFERROR(VLOOKUP(TRIM(A309),'Full Inventory'!F:F,1,0),0)=0,"X","_")</f>
        <v>X</v>
      </c>
      <c r="D309" t="str">
        <f t="shared" si="16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F309" t="str">
        <f t="shared" si="17"/>
        <v>_</v>
      </c>
      <c r="K309" t="str">
        <f t="shared" ca="1" si="18"/>
        <v>_XX_</v>
      </c>
      <c r="L309" t="str">
        <f t="shared" ca="1" si="19"/>
        <v/>
      </c>
      <c r="M309" t="str">
        <f>IFERROR(INDEX(Inventory!A:A,MATCH(Scan!A309,Inventory!E:E,0)),"")</f>
        <v/>
      </c>
    </row>
    <row r="310" spans="2:13" x14ac:dyDescent="0.3">
      <c r="B310" t="str">
        <f>IF(IFERROR(VLOOKUP(TRIM(A310),Inventory!E:E,1,0),0)=0,"X","_")</f>
        <v>_</v>
      </c>
      <c r="C310" t="str">
        <f>IF(IFERROR(VLOOKUP(TRIM(A310),'Full Inventory'!F:F,1,0),0)=0,"X","_")</f>
        <v>X</v>
      </c>
      <c r="D310" t="str">
        <f t="shared" si="16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F310" t="str">
        <f t="shared" si="17"/>
        <v>_</v>
      </c>
      <c r="K310" t="str">
        <f t="shared" ca="1" si="18"/>
        <v>_XX_</v>
      </c>
      <c r="L310" t="str">
        <f t="shared" ca="1" si="19"/>
        <v/>
      </c>
      <c r="M310" t="str">
        <f>IFERROR(INDEX(Inventory!A:A,MATCH(Scan!A310,Inventory!E:E,0)),"")</f>
        <v/>
      </c>
    </row>
    <row r="311" spans="2:13" x14ac:dyDescent="0.3">
      <c r="B311" t="str">
        <f>IF(IFERROR(VLOOKUP(TRIM(A311),Inventory!E:E,1,0),0)=0,"X","_")</f>
        <v>_</v>
      </c>
      <c r="C311" t="str">
        <f>IF(IFERROR(VLOOKUP(TRIM(A311),'Full Inventory'!F:F,1,0),0)=0,"X","_")</f>
        <v>X</v>
      </c>
      <c r="D311" t="str">
        <f t="shared" si="16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F311" t="str">
        <f t="shared" si="17"/>
        <v>_</v>
      </c>
      <c r="K311" t="str">
        <f t="shared" ca="1" si="18"/>
        <v>_XX_</v>
      </c>
      <c r="L311" t="str">
        <f t="shared" ca="1" si="19"/>
        <v/>
      </c>
      <c r="M311" t="str">
        <f>IFERROR(INDEX(Inventory!A:A,MATCH(Scan!A311,Inventory!E:E,0)),"")</f>
        <v/>
      </c>
    </row>
    <row r="312" spans="2:13" x14ac:dyDescent="0.3">
      <c r="B312" t="str">
        <f>IF(IFERROR(VLOOKUP(TRIM(A312),Inventory!E:E,1,0),0)=0,"X","_")</f>
        <v>_</v>
      </c>
      <c r="C312" t="str">
        <f>IF(IFERROR(VLOOKUP(TRIM(A312),'Full Inventory'!F:F,1,0),0)=0,"X","_")</f>
        <v>X</v>
      </c>
      <c r="D312" t="str">
        <f t="shared" si="16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F312" t="str">
        <f t="shared" si="17"/>
        <v>_</v>
      </c>
      <c r="K312" t="str">
        <f t="shared" ca="1" si="18"/>
        <v>_XX_</v>
      </c>
      <c r="L312" t="str">
        <f t="shared" ca="1" si="19"/>
        <v/>
      </c>
      <c r="M312" t="str">
        <f>IFERROR(INDEX(Inventory!A:A,MATCH(Scan!A312,Inventory!E:E,0)),"")</f>
        <v/>
      </c>
    </row>
    <row r="313" spans="2:13" x14ac:dyDescent="0.3">
      <c r="B313" t="str">
        <f>IF(IFERROR(VLOOKUP(TRIM(A313),Inventory!E:E,1,0),0)=0,"X","_")</f>
        <v>_</v>
      </c>
      <c r="C313" t="str">
        <f>IF(IFERROR(VLOOKUP(TRIM(A313),'Full Inventory'!F:F,1,0),0)=0,"X","_")</f>
        <v>X</v>
      </c>
      <c r="D313" t="str">
        <f t="shared" si="16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F313" t="str">
        <f t="shared" si="17"/>
        <v>_</v>
      </c>
      <c r="K313" t="str">
        <f t="shared" ca="1" si="18"/>
        <v>_XX_</v>
      </c>
      <c r="L313" t="str">
        <f t="shared" ca="1" si="19"/>
        <v/>
      </c>
      <c r="M313" t="str">
        <f>IFERROR(INDEX(Inventory!A:A,MATCH(Scan!A313,Inventory!E:E,0)),"")</f>
        <v/>
      </c>
    </row>
    <row r="314" spans="2:13" x14ac:dyDescent="0.3">
      <c r="B314" t="str">
        <f>IF(IFERROR(VLOOKUP(TRIM(A314),Inventory!E:E,1,0),0)=0,"X","_")</f>
        <v>_</v>
      </c>
      <c r="C314" t="str">
        <f>IF(IFERROR(VLOOKUP(TRIM(A314),'Full Inventory'!F:F,1,0),0)=0,"X","_")</f>
        <v>X</v>
      </c>
      <c r="D314" t="str">
        <f t="shared" si="16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F314" t="str">
        <f t="shared" si="17"/>
        <v>_</v>
      </c>
      <c r="K314" t="str">
        <f t="shared" ca="1" si="18"/>
        <v>_XX_</v>
      </c>
      <c r="L314" t="str">
        <f t="shared" ca="1" si="19"/>
        <v/>
      </c>
      <c r="M314" t="str">
        <f>IFERROR(INDEX(Inventory!A:A,MATCH(Scan!A314,Inventory!E:E,0)),"")</f>
        <v/>
      </c>
    </row>
    <row r="315" spans="2:13" x14ac:dyDescent="0.3">
      <c r="B315" t="str">
        <f>IF(IFERROR(VLOOKUP(TRIM(A315),Inventory!E:E,1,0),0)=0,"X","_")</f>
        <v>_</v>
      </c>
      <c r="C315" t="str">
        <f>IF(IFERROR(VLOOKUP(TRIM(A315),'Full Inventory'!F:F,1,0),0)=0,"X","_")</f>
        <v>X</v>
      </c>
      <c r="D315" t="str">
        <f t="shared" si="16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F315" t="str">
        <f t="shared" si="17"/>
        <v>_</v>
      </c>
      <c r="K315" t="str">
        <f t="shared" ca="1" si="18"/>
        <v>_XX_</v>
      </c>
      <c r="L315" t="str">
        <f t="shared" ca="1" si="19"/>
        <v/>
      </c>
      <c r="M315" t="str">
        <f>IFERROR(INDEX(Inventory!A:A,MATCH(Scan!A315,Inventory!E:E,0)),"")</f>
        <v/>
      </c>
    </row>
    <row r="316" spans="2:13" x14ac:dyDescent="0.3">
      <c r="B316" t="str">
        <f>IF(IFERROR(VLOOKUP(TRIM(A316),Inventory!E:E,1,0),0)=0,"X","_")</f>
        <v>_</v>
      </c>
      <c r="C316" t="str">
        <f>IF(IFERROR(VLOOKUP(TRIM(A316),'Full Inventory'!F:F,1,0),0)=0,"X","_")</f>
        <v>X</v>
      </c>
      <c r="D316" t="str">
        <f t="shared" si="16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F316" t="str">
        <f t="shared" si="17"/>
        <v>_</v>
      </c>
      <c r="K316" t="str">
        <f t="shared" ca="1" si="18"/>
        <v>_XX_</v>
      </c>
      <c r="L316" t="str">
        <f t="shared" ca="1" si="19"/>
        <v/>
      </c>
      <c r="M316" t="str">
        <f>IFERROR(INDEX(Inventory!A:A,MATCH(Scan!A316,Inventory!E:E,0)),"")</f>
        <v/>
      </c>
    </row>
    <row r="317" spans="2:13" x14ac:dyDescent="0.3">
      <c r="B317" t="str">
        <f>IF(IFERROR(VLOOKUP(TRIM(A317),Inventory!E:E,1,0),0)=0,"X","_")</f>
        <v>_</v>
      </c>
      <c r="C317" t="str">
        <f>IF(IFERROR(VLOOKUP(TRIM(A317),'Full Inventory'!F:F,1,0),0)=0,"X","_")</f>
        <v>X</v>
      </c>
      <c r="D317" t="str">
        <f t="shared" si="16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F317" t="str">
        <f t="shared" si="17"/>
        <v>_</v>
      </c>
      <c r="K317" t="str">
        <f t="shared" ca="1" si="18"/>
        <v>_XX_</v>
      </c>
      <c r="L317" t="str">
        <f t="shared" ca="1" si="19"/>
        <v/>
      </c>
      <c r="M317" t="str">
        <f>IFERROR(INDEX(Inventory!A:A,MATCH(Scan!A317,Inventory!E:E,0)),"")</f>
        <v/>
      </c>
    </row>
    <row r="318" spans="2:13" x14ac:dyDescent="0.3">
      <c r="B318" t="str">
        <f>IF(IFERROR(VLOOKUP(TRIM(A318),Inventory!E:E,1,0),0)=0,"X","_")</f>
        <v>_</v>
      </c>
      <c r="C318" t="str">
        <f>IF(IFERROR(VLOOKUP(TRIM(A318),'Full Inventory'!F:F,1,0),0)=0,"X","_")</f>
        <v>X</v>
      </c>
      <c r="D318" t="str">
        <f t="shared" si="16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F318" t="str">
        <f t="shared" si="17"/>
        <v>_</v>
      </c>
      <c r="K318" t="str">
        <f t="shared" ca="1" si="18"/>
        <v>_XX_</v>
      </c>
      <c r="L318" t="str">
        <f t="shared" ca="1" si="19"/>
        <v/>
      </c>
      <c r="M318" t="str">
        <f>IFERROR(INDEX(Inventory!A:A,MATCH(Scan!A318,Inventory!E:E,0)),"")</f>
        <v/>
      </c>
    </row>
    <row r="319" spans="2:13" x14ac:dyDescent="0.3">
      <c r="B319" t="str">
        <f>IF(IFERROR(VLOOKUP(TRIM(A319),Inventory!E:E,1,0),0)=0,"X","_")</f>
        <v>_</v>
      </c>
      <c r="C319" t="str">
        <f>IF(IFERROR(VLOOKUP(TRIM(A319),'Full Inventory'!F:F,1,0),0)=0,"X","_")</f>
        <v>X</v>
      </c>
      <c r="D319" t="str">
        <f t="shared" si="16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F319" t="str">
        <f t="shared" si="17"/>
        <v>_</v>
      </c>
      <c r="K319" t="str">
        <f t="shared" ca="1" si="18"/>
        <v>_XX_</v>
      </c>
      <c r="L319" t="str">
        <f t="shared" ca="1" si="19"/>
        <v/>
      </c>
      <c r="M319" t="str">
        <f>IFERROR(INDEX(Inventory!A:A,MATCH(Scan!A319,Inventory!E:E,0)),"")</f>
        <v/>
      </c>
    </row>
    <row r="320" spans="2:13" x14ac:dyDescent="0.3">
      <c r="B320" t="str">
        <f>IF(IFERROR(VLOOKUP(TRIM(A320),Inventory!E:E,1,0),0)=0,"X","_")</f>
        <v>_</v>
      </c>
      <c r="C320" t="str">
        <f>IF(IFERROR(VLOOKUP(TRIM(A320),'Full Inventory'!F:F,1,0),0)=0,"X","_")</f>
        <v>X</v>
      </c>
      <c r="D320" t="str">
        <f t="shared" si="16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F320" t="str">
        <f t="shared" si="17"/>
        <v>_</v>
      </c>
      <c r="K320" t="str">
        <f t="shared" ca="1" si="18"/>
        <v>_XX_</v>
      </c>
      <c r="L320" t="str">
        <f t="shared" ca="1" si="19"/>
        <v/>
      </c>
      <c r="M320" t="str">
        <f>IFERROR(INDEX(Inventory!A:A,MATCH(Scan!A320,Inventory!E:E,0)),"")</f>
        <v/>
      </c>
    </row>
    <row r="321" spans="2:13" x14ac:dyDescent="0.3">
      <c r="B321" t="str">
        <f>IF(IFERROR(VLOOKUP(TRIM(A321),Inventory!E:E,1,0),0)=0,"X","_")</f>
        <v>_</v>
      </c>
      <c r="C321" t="str">
        <f>IF(IFERROR(VLOOKUP(TRIM(A321),'Full Inventory'!F:F,1,0),0)=0,"X","_")</f>
        <v>X</v>
      </c>
      <c r="D321" t="str">
        <f t="shared" si="16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F321" t="str">
        <f t="shared" si="17"/>
        <v>_</v>
      </c>
      <c r="K321" t="str">
        <f t="shared" ca="1" si="18"/>
        <v>_XX_</v>
      </c>
      <c r="L321" t="str">
        <f t="shared" ca="1" si="19"/>
        <v/>
      </c>
      <c r="M321" t="str">
        <f>IFERROR(INDEX(Inventory!A:A,MATCH(Scan!A321,Inventory!E:E,0)),"")</f>
        <v/>
      </c>
    </row>
    <row r="322" spans="2:13" x14ac:dyDescent="0.3">
      <c r="B322" t="str">
        <f>IF(IFERROR(VLOOKUP(TRIM(A322),Inventory!E:E,1,0),0)=0,"X","_")</f>
        <v>_</v>
      </c>
      <c r="C322" t="str">
        <f>IF(IFERROR(VLOOKUP(TRIM(A322),'Full Inventory'!F:F,1,0),0)=0,"X","_")</f>
        <v>X</v>
      </c>
      <c r="D322" t="str">
        <f t="shared" ref="D322:D385" si="20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F322" t="str">
        <f t="shared" si="17"/>
        <v>_</v>
      </c>
      <c r="K322" t="str">
        <f t="shared" ca="1" si="18"/>
        <v>_XX_</v>
      </c>
      <c r="L322" t="str">
        <f t="shared" ca="1" si="19"/>
        <v/>
      </c>
      <c r="M322" t="str">
        <f>IFERROR(INDEX(Inventory!A:A,MATCH(Scan!A322,Inventory!E:E,0)),"")</f>
        <v/>
      </c>
    </row>
    <row r="323" spans="2:13" x14ac:dyDescent="0.3">
      <c r="B323" t="str">
        <f>IF(IFERROR(VLOOKUP(TRIM(A323),Inventory!E:E,1,0),0)=0,"X","_")</f>
        <v>_</v>
      </c>
      <c r="C323" t="str">
        <f>IF(IFERROR(VLOOKUP(TRIM(A323),'Full Inventory'!F:F,1,0),0)=0,"X","_")</f>
        <v>X</v>
      </c>
      <c r="D323" t="str">
        <f t="shared" si="20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F323" t="str">
        <f t="shared" ref="F323:F386" si="21">IF(IFERROR(SEARCH("ö",A323),0)&gt;0,"X","_")</f>
        <v>_</v>
      </c>
      <c r="K323" t="str">
        <f t="shared" ref="K323:K386" ca="1" si="22">B323&amp;C323&amp;D323&amp;E323</f>
        <v>_XX_</v>
      </c>
      <c r="L323" t="str">
        <f t="shared" ref="L323:L386" ca="1" si="23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3">
      <c r="B324" t="str">
        <f>IF(IFERROR(VLOOKUP(TRIM(A324),Inventory!E:E,1,0),0)=0,"X","_")</f>
        <v>_</v>
      </c>
      <c r="C324" t="str">
        <f>IF(IFERROR(VLOOKUP(TRIM(A324),'Full Inventory'!F:F,1,0),0)=0,"X","_")</f>
        <v>X</v>
      </c>
      <c r="D324" t="str">
        <f t="shared" si="20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F324" t="str">
        <f t="shared" si="21"/>
        <v>_</v>
      </c>
      <c r="K324" t="str">
        <f t="shared" ca="1" si="22"/>
        <v>_XX_</v>
      </c>
      <c r="L324" t="str">
        <f t="shared" ca="1" si="23"/>
        <v/>
      </c>
      <c r="M324" t="str">
        <f>IFERROR(INDEX(Inventory!A:A,MATCH(Scan!A324,Inventory!E:E,0)),"")</f>
        <v/>
      </c>
    </row>
    <row r="325" spans="2:13" x14ac:dyDescent="0.3">
      <c r="B325" t="str">
        <f>IF(IFERROR(VLOOKUP(TRIM(A325),Inventory!E:E,1,0),0)=0,"X","_")</f>
        <v>_</v>
      </c>
      <c r="C325" t="str">
        <f>IF(IFERROR(VLOOKUP(TRIM(A325),'Full Inventory'!F:F,1,0),0)=0,"X","_")</f>
        <v>X</v>
      </c>
      <c r="D325" t="str">
        <f t="shared" si="20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F325" t="str">
        <f t="shared" si="21"/>
        <v>_</v>
      </c>
      <c r="K325" t="str">
        <f t="shared" ca="1" si="22"/>
        <v>_XX_</v>
      </c>
      <c r="L325" t="str">
        <f t="shared" ca="1" si="23"/>
        <v/>
      </c>
      <c r="M325" t="str">
        <f>IFERROR(INDEX(Inventory!A:A,MATCH(Scan!A325,Inventory!E:E,0)),"")</f>
        <v/>
      </c>
    </row>
    <row r="326" spans="2:13" x14ac:dyDescent="0.3">
      <c r="B326" t="str">
        <f>IF(IFERROR(VLOOKUP(TRIM(A326),Inventory!E:E,1,0),0)=0,"X","_")</f>
        <v>_</v>
      </c>
      <c r="C326" t="str">
        <f>IF(IFERROR(VLOOKUP(TRIM(A326),'Full Inventory'!F:F,1,0),0)=0,"X","_")</f>
        <v>X</v>
      </c>
      <c r="D326" t="str">
        <f t="shared" si="20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F326" t="str">
        <f t="shared" si="21"/>
        <v>_</v>
      </c>
      <c r="K326" t="str">
        <f t="shared" ca="1" si="22"/>
        <v>_XX_</v>
      </c>
      <c r="L326" t="str">
        <f t="shared" ca="1" si="23"/>
        <v/>
      </c>
      <c r="M326" t="str">
        <f>IFERROR(INDEX(Inventory!A:A,MATCH(Scan!A326,Inventory!E:E,0)),"")</f>
        <v/>
      </c>
    </row>
    <row r="327" spans="2:13" x14ac:dyDescent="0.3">
      <c r="B327" t="str">
        <f>IF(IFERROR(VLOOKUP(TRIM(A327),Inventory!E:E,1,0),0)=0,"X","_")</f>
        <v>_</v>
      </c>
      <c r="C327" t="str">
        <f>IF(IFERROR(VLOOKUP(TRIM(A327),'Full Inventory'!F:F,1,0),0)=0,"X","_")</f>
        <v>X</v>
      </c>
      <c r="D327" t="str">
        <f t="shared" si="20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F327" t="str">
        <f t="shared" si="21"/>
        <v>_</v>
      </c>
      <c r="K327" t="str">
        <f t="shared" ca="1" si="22"/>
        <v>_XX_</v>
      </c>
      <c r="L327" t="str">
        <f t="shared" ca="1" si="23"/>
        <v/>
      </c>
      <c r="M327" t="str">
        <f>IFERROR(INDEX(Inventory!A:A,MATCH(Scan!A327,Inventory!E:E,0)),"")</f>
        <v/>
      </c>
    </row>
    <row r="328" spans="2:13" x14ac:dyDescent="0.3">
      <c r="B328" t="str">
        <f>IF(IFERROR(VLOOKUP(TRIM(A328),Inventory!E:E,1,0),0)=0,"X","_")</f>
        <v>_</v>
      </c>
      <c r="C328" t="str">
        <f>IF(IFERROR(VLOOKUP(TRIM(A328),'Full Inventory'!F:F,1,0),0)=0,"X","_")</f>
        <v>X</v>
      </c>
      <c r="D328" t="str">
        <f t="shared" si="20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F328" t="str">
        <f t="shared" si="21"/>
        <v>_</v>
      </c>
      <c r="K328" t="str">
        <f t="shared" ca="1" si="22"/>
        <v>_XX_</v>
      </c>
      <c r="L328" t="str">
        <f t="shared" ca="1" si="23"/>
        <v/>
      </c>
      <c r="M328" t="str">
        <f>IFERROR(INDEX(Inventory!A:A,MATCH(Scan!A328,Inventory!E:E,0)),"")</f>
        <v/>
      </c>
    </row>
    <row r="329" spans="2:13" x14ac:dyDescent="0.3">
      <c r="B329" t="str">
        <f>IF(IFERROR(VLOOKUP(TRIM(A329),Inventory!E:E,1,0),0)=0,"X","_")</f>
        <v>_</v>
      </c>
      <c r="C329" t="str">
        <f>IF(IFERROR(VLOOKUP(TRIM(A329),'Full Inventory'!F:F,1,0),0)=0,"X","_")</f>
        <v>X</v>
      </c>
      <c r="D329" t="str">
        <f t="shared" si="20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F329" t="str">
        <f t="shared" si="21"/>
        <v>_</v>
      </c>
      <c r="K329" t="str">
        <f t="shared" ca="1" si="22"/>
        <v>_XX_</v>
      </c>
      <c r="L329" t="str">
        <f t="shared" ca="1" si="23"/>
        <v/>
      </c>
      <c r="M329" t="str">
        <f>IFERROR(INDEX(Inventory!A:A,MATCH(Scan!A329,Inventory!E:E,0)),"")</f>
        <v/>
      </c>
    </row>
    <row r="330" spans="2:13" x14ac:dyDescent="0.3">
      <c r="B330" t="str">
        <f>IF(IFERROR(VLOOKUP(TRIM(A330),Inventory!E:E,1,0),0)=0,"X","_")</f>
        <v>_</v>
      </c>
      <c r="C330" t="str">
        <f>IF(IFERROR(VLOOKUP(TRIM(A330),'Full Inventory'!F:F,1,0),0)=0,"X","_")</f>
        <v>X</v>
      </c>
      <c r="D330" t="str">
        <f t="shared" si="20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F330" t="str">
        <f t="shared" si="21"/>
        <v>_</v>
      </c>
      <c r="K330" t="str">
        <f t="shared" ca="1" si="22"/>
        <v>_XX_</v>
      </c>
      <c r="L330" t="str">
        <f t="shared" ca="1" si="23"/>
        <v/>
      </c>
      <c r="M330" t="str">
        <f>IFERROR(INDEX(Inventory!A:A,MATCH(Scan!A330,Inventory!E:E,0)),"")</f>
        <v/>
      </c>
    </row>
    <row r="331" spans="2:13" x14ac:dyDescent="0.3">
      <c r="B331" t="str">
        <f>IF(IFERROR(VLOOKUP(TRIM(A331),Inventory!E:E,1,0),0)=0,"X","_")</f>
        <v>_</v>
      </c>
      <c r="C331" t="str">
        <f>IF(IFERROR(VLOOKUP(TRIM(A331),'Full Inventory'!F:F,1,0),0)=0,"X","_")</f>
        <v>X</v>
      </c>
      <c r="D331" t="str">
        <f t="shared" si="20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F331" t="str">
        <f t="shared" si="21"/>
        <v>_</v>
      </c>
      <c r="K331" t="str">
        <f t="shared" ca="1" si="22"/>
        <v>_XX_</v>
      </c>
      <c r="L331" t="str">
        <f t="shared" ca="1" si="23"/>
        <v/>
      </c>
      <c r="M331" t="str">
        <f>IFERROR(INDEX(Inventory!A:A,MATCH(Scan!A331,Inventory!E:E,0)),"")</f>
        <v/>
      </c>
    </row>
    <row r="332" spans="2:13" x14ac:dyDescent="0.3">
      <c r="B332" t="str">
        <f>IF(IFERROR(VLOOKUP(TRIM(A332),Inventory!E:E,1,0),0)=0,"X","_")</f>
        <v>_</v>
      </c>
      <c r="C332" t="str">
        <f>IF(IFERROR(VLOOKUP(TRIM(A332),'Full Inventory'!F:F,1,0),0)=0,"X","_")</f>
        <v>X</v>
      </c>
      <c r="D332" t="str">
        <f t="shared" si="20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F332" t="str">
        <f t="shared" si="21"/>
        <v>_</v>
      </c>
      <c r="K332" t="str">
        <f t="shared" ca="1" si="22"/>
        <v>_XX_</v>
      </c>
      <c r="L332" t="str">
        <f t="shared" ca="1" si="23"/>
        <v/>
      </c>
      <c r="M332" t="str">
        <f>IFERROR(INDEX(Inventory!A:A,MATCH(Scan!A332,Inventory!E:E,0)),"")</f>
        <v/>
      </c>
    </row>
    <row r="333" spans="2:13" x14ac:dyDescent="0.3">
      <c r="B333" t="str">
        <f>IF(IFERROR(VLOOKUP(TRIM(A333),Inventory!E:E,1,0),0)=0,"X","_")</f>
        <v>_</v>
      </c>
      <c r="C333" t="str">
        <f>IF(IFERROR(VLOOKUP(TRIM(A333),'Full Inventory'!F:F,1,0),0)=0,"X","_")</f>
        <v>X</v>
      </c>
      <c r="D333" t="str">
        <f t="shared" si="20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F333" t="str">
        <f t="shared" si="21"/>
        <v>_</v>
      </c>
      <c r="K333" t="str">
        <f t="shared" ca="1" si="22"/>
        <v>_XX_</v>
      </c>
      <c r="L333" t="str">
        <f t="shared" ca="1" si="23"/>
        <v/>
      </c>
      <c r="M333" t="str">
        <f>IFERROR(INDEX(Inventory!A:A,MATCH(Scan!A333,Inventory!E:E,0)),"")</f>
        <v/>
      </c>
    </row>
    <row r="334" spans="2:13" x14ac:dyDescent="0.3">
      <c r="B334" t="str">
        <f>IF(IFERROR(VLOOKUP(TRIM(A334),Inventory!E:E,1,0),0)=0,"X","_")</f>
        <v>_</v>
      </c>
      <c r="C334" t="str">
        <f>IF(IFERROR(VLOOKUP(TRIM(A334),'Full Inventory'!F:F,1,0),0)=0,"X","_")</f>
        <v>X</v>
      </c>
      <c r="D334" t="str">
        <f t="shared" si="20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F334" t="str">
        <f t="shared" si="21"/>
        <v>_</v>
      </c>
      <c r="K334" t="str">
        <f t="shared" ca="1" si="22"/>
        <v>_XX_</v>
      </c>
      <c r="L334" t="str">
        <f t="shared" ca="1" si="23"/>
        <v/>
      </c>
      <c r="M334" t="str">
        <f>IFERROR(INDEX(Inventory!A:A,MATCH(Scan!A334,Inventory!E:E,0)),"")</f>
        <v/>
      </c>
    </row>
    <row r="335" spans="2:13" x14ac:dyDescent="0.3">
      <c r="B335" t="str">
        <f>IF(IFERROR(VLOOKUP(TRIM(A335),Inventory!E:E,1,0),0)=0,"X","_")</f>
        <v>_</v>
      </c>
      <c r="C335" t="str">
        <f>IF(IFERROR(VLOOKUP(TRIM(A335),'Full Inventory'!F:F,1,0),0)=0,"X","_")</f>
        <v>X</v>
      </c>
      <c r="D335" t="str">
        <f t="shared" si="20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F335" t="str">
        <f t="shared" si="21"/>
        <v>_</v>
      </c>
      <c r="K335" t="str">
        <f t="shared" ca="1" si="22"/>
        <v>_XX_</v>
      </c>
      <c r="L335" t="str">
        <f t="shared" ca="1" si="23"/>
        <v/>
      </c>
      <c r="M335" t="str">
        <f>IFERROR(INDEX(Inventory!A:A,MATCH(Scan!A335,Inventory!E:E,0)),"")</f>
        <v/>
      </c>
    </row>
    <row r="336" spans="2:13" x14ac:dyDescent="0.3">
      <c r="B336" t="str">
        <f>IF(IFERROR(VLOOKUP(TRIM(A336),Inventory!E:E,1,0),0)=0,"X","_")</f>
        <v>_</v>
      </c>
      <c r="C336" t="str">
        <f>IF(IFERROR(VLOOKUP(TRIM(A336),'Full Inventory'!F:F,1,0),0)=0,"X","_")</f>
        <v>X</v>
      </c>
      <c r="D336" t="str">
        <f t="shared" si="20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F336" t="str">
        <f t="shared" si="21"/>
        <v>_</v>
      </c>
      <c r="K336" t="str">
        <f t="shared" ca="1" si="22"/>
        <v>_XX_</v>
      </c>
      <c r="L336" t="str">
        <f t="shared" ca="1" si="23"/>
        <v/>
      </c>
      <c r="M336" t="str">
        <f>IFERROR(INDEX(Inventory!A:A,MATCH(Scan!A336,Inventory!E:E,0)),"")</f>
        <v/>
      </c>
    </row>
    <row r="337" spans="2:13" x14ac:dyDescent="0.3">
      <c r="B337" t="str">
        <f>IF(IFERROR(VLOOKUP(TRIM(A337),Inventory!E:E,1,0),0)=0,"X","_")</f>
        <v>_</v>
      </c>
      <c r="C337" t="str">
        <f>IF(IFERROR(VLOOKUP(TRIM(A337),'Full Inventory'!F:F,1,0),0)=0,"X","_")</f>
        <v>X</v>
      </c>
      <c r="D337" t="str">
        <f t="shared" si="20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F337" t="str">
        <f t="shared" si="21"/>
        <v>_</v>
      </c>
      <c r="K337" t="str">
        <f t="shared" ca="1" si="22"/>
        <v>_XX_</v>
      </c>
      <c r="L337" t="str">
        <f t="shared" ca="1" si="23"/>
        <v/>
      </c>
      <c r="M337" t="str">
        <f>IFERROR(INDEX(Inventory!A:A,MATCH(Scan!A337,Inventory!E:E,0)),"")</f>
        <v/>
      </c>
    </row>
    <row r="338" spans="2:13" x14ac:dyDescent="0.3">
      <c r="B338" t="str">
        <f>IF(IFERROR(VLOOKUP(TRIM(A338),Inventory!E:E,1,0),0)=0,"X","_")</f>
        <v>_</v>
      </c>
      <c r="C338" t="str">
        <f>IF(IFERROR(VLOOKUP(TRIM(A338),'Full Inventory'!F:F,1,0),0)=0,"X","_")</f>
        <v>X</v>
      </c>
      <c r="D338" t="str">
        <f t="shared" si="20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F338" t="str">
        <f t="shared" si="21"/>
        <v>_</v>
      </c>
      <c r="K338" t="str">
        <f t="shared" ca="1" si="22"/>
        <v>_XX_</v>
      </c>
      <c r="L338" t="str">
        <f t="shared" ca="1" si="23"/>
        <v/>
      </c>
      <c r="M338" t="str">
        <f>IFERROR(INDEX(Inventory!A:A,MATCH(Scan!A338,Inventory!E:E,0)),"")</f>
        <v/>
      </c>
    </row>
    <row r="339" spans="2:13" x14ac:dyDescent="0.3">
      <c r="B339" t="str">
        <f>IF(IFERROR(VLOOKUP(TRIM(A339),Inventory!E:E,1,0),0)=0,"X","_")</f>
        <v>_</v>
      </c>
      <c r="C339" t="str">
        <f>IF(IFERROR(VLOOKUP(TRIM(A339),'Full Inventory'!F:F,1,0),0)=0,"X","_")</f>
        <v>X</v>
      </c>
      <c r="D339" t="str">
        <f t="shared" si="20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F339" t="str">
        <f t="shared" si="21"/>
        <v>_</v>
      </c>
      <c r="K339" t="str">
        <f t="shared" ca="1" si="22"/>
        <v>_XX_</v>
      </c>
      <c r="L339" t="str">
        <f t="shared" ca="1" si="23"/>
        <v/>
      </c>
      <c r="M339" t="str">
        <f>IFERROR(INDEX(Inventory!A:A,MATCH(Scan!A339,Inventory!E:E,0)),"")</f>
        <v/>
      </c>
    </row>
    <row r="340" spans="2:13" x14ac:dyDescent="0.3">
      <c r="B340" t="str">
        <f>IF(IFERROR(VLOOKUP(TRIM(A340),Inventory!E:E,1,0),0)=0,"X","_")</f>
        <v>_</v>
      </c>
      <c r="C340" t="str">
        <f>IF(IFERROR(VLOOKUP(TRIM(A340),'Full Inventory'!F:F,1,0),0)=0,"X","_")</f>
        <v>X</v>
      </c>
      <c r="D340" t="str">
        <f t="shared" si="20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F340" t="str">
        <f t="shared" si="21"/>
        <v>_</v>
      </c>
      <c r="K340" t="str">
        <f t="shared" ca="1" si="22"/>
        <v>_XX_</v>
      </c>
      <c r="L340" t="str">
        <f t="shared" ca="1" si="23"/>
        <v/>
      </c>
      <c r="M340" t="str">
        <f>IFERROR(INDEX(Inventory!A:A,MATCH(Scan!A340,Inventory!E:E,0)),"")</f>
        <v/>
      </c>
    </row>
    <row r="341" spans="2:13" x14ac:dyDescent="0.3">
      <c r="B341" t="str">
        <f>IF(IFERROR(VLOOKUP(TRIM(A341),Inventory!E:E,1,0),0)=0,"X","_")</f>
        <v>_</v>
      </c>
      <c r="C341" t="str">
        <f>IF(IFERROR(VLOOKUP(TRIM(A341),'Full Inventory'!F:F,1,0),0)=0,"X","_")</f>
        <v>X</v>
      </c>
      <c r="D341" t="str">
        <f t="shared" si="20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F341" t="str">
        <f t="shared" si="21"/>
        <v>_</v>
      </c>
      <c r="K341" t="str">
        <f t="shared" ca="1" si="22"/>
        <v>_XX_</v>
      </c>
      <c r="L341" t="str">
        <f t="shared" ca="1" si="23"/>
        <v/>
      </c>
      <c r="M341" t="str">
        <f>IFERROR(INDEX(Inventory!A:A,MATCH(Scan!A341,Inventory!E:E,0)),"")</f>
        <v/>
      </c>
    </row>
    <row r="342" spans="2:13" x14ac:dyDescent="0.3">
      <c r="B342" t="str">
        <f>IF(IFERROR(VLOOKUP(TRIM(A342),Inventory!E:E,1,0),0)=0,"X","_")</f>
        <v>_</v>
      </c>
      <c r="C342" t="str">
        <f>IF(IFERROR(VLOOKUP(TRIM(A342),'Full Inventory'!F:F,1,0),0)=0,"X","_")</f>
        <v>X</v>
      </c>
      <c r="D342" t="str">
        <f t="shared" si="20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F342" t="str">
        <f t="shared" si="21"/>
        <v>_</v>
      </c>
      <c r="K342" t="str">
        <f t="shared" ca="1" si="22"/>
        <v>_XX_</v>
      </c>
      <c r="L342" t="str">
        <f t="shared" ca="1" si="23"/>
        <v/>
      </c>
      <c r="M342" t="str">
        <f>IFERROR(INDEX(Inventory!A:A,MATCH(Scan!A342,Inventory!E:E,0)),"")</f>
        <v/>
      </c>
    </row>
    <row r="343" spans="2:13" x14ac:dyDescent="0.3">
      <c r="B343" t="str">
        <f>IF(IFERROR(VLOOKUP(TRIM(A343),Inventory!E:E,1,0),0)=0,"X","_")</f>
        <v>_</v>
      </c>
      <c r="C343" t="str">
        <f>IF(IFERROR(VLOOKUP(TRIM(A343),'Full Inventory'!F:F,1,0),0)=0,"X","_")</f>
        <v>X</v>
      </c>
      <c r="D343" t="str">
        <f t="shared" si="20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F343" t="str">
        <f t="shared" si="21"/>
        <v>_</v>
      </c>
      <c r="K343" t="str">
        <f t="shared" ca="1" si="22"/>
        <v>_XX_</v>
      </c>
      <c r="L343" t="str">
        <f t="shared" ca="1" si="23"/>
        <v/>
      </c>
      <c r="M343" t="str">
        <f>IFERROR(INDEX(Inventory!A:A,MATCH(Scan!A343,Inventory!E:E,0)),"")</f>
        <v/>
      </c>
    </row>
    <row r="344" spans="2:13" x14ac:dyDescent="0.3">
      <c r="B344" t="str">
        <f>IF(IFERROR(VLOOKUP(TRIM(A344),Inventory!E:E,1,0),0)=0,"X","_")</f>
        <v>_</v>
      </c>
      <c r="C344" t="str">
        <f>IF(IFERROR(VLOOKUP(TRIM(A344),'Full Inventory'!F:F,1,0),0)=0,"X","_")</f>
        <v>X</v>
      </c>
      <c r="D344" t="str">
        <f t="shared" si="20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F344" t="str">
        <f t="shared" si="21"/>
        <v>_</v>
      </c>
      <c r="K344" t="str">
        <f t="shared" ca="1" si="22"/>
        <v>_XX_</v>
      </c>
      <c r="L344" t="str">
        <f t="shared" ca="1" si="23"/>
        <v/>
      </c>
      <c r="M344" t="str">
        <f>IFERROR(INDEX(Inventory!A:A,MATCH(Scan!A344,Inventory!E:E,0)),"")</f>
        <v/>
      </c>
    </row>
    <row r="345" spans="2:13" x14ac:dyDescent="0.3">
      <c r="B345" t="str">
        <f>IF(IFERROR(VLOOKUP(TRIM(A345),Inventory!E:E,1,0),0)=0,"X","_")</f>
        <v>_</v>
      </c>
      <c r="C345" t="str">
        <f>IF(IFERROR(VLOOKUP(TRIM(A345),'Full Inventory'!F:F,1,0),0)=0,"X","_")</f>
        <v>X</v>
      </c>
      <c r="D345" t="str">
        <f t="shared" si="20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F345" t="str">
        <f t="shared" si="21"/>
        <v>_</v>
      </c>
      <c r="K345" t="str">
        <f t="shared" ca="1" si="22"/>
        <v>_XX_</v>
      </c>
      <c r="L345" t="str">
        <f t="shared" ca="1" si="23"/>
        <v/>
      </c>
      <c r="M345" t="str">
        <f>IFERROR(INDEX(Inventory!A:A,MATCH(Scan!A345,Inventory!E:E,0)),"")</f>
        <v/>
      </c>
    </row>
    <row r="346" spans="2:13" x14ac:dyDescent="0.3">
      <c r="B346" t="str">
        <f>IF(IFERROR(VLOOKUP(TRIM(A346),Inventory!E:E,1,0),0)=0,"X","_")</f>
        <v>_</v>
      </c>
      <c r="C346" t="str">
        <f>IF(IFERROR(VLOOKUP(TRIM(A346),'Full Inventory'!F:F,1,0),0)=0,"X","_")</f>
        <v>X</v>
      </c>
      <c r="D346" t="str">
        <f t="shared" si="20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F346" t="str">
        <f t="shared" si="21"/>
        <v>_</v>
      </c>
      <c r="K346" t="str">
        <f t="shared" ca="1" si="22"/>
        <v>_XX_</v>
      </c>
      <c r="L346" t="str">
        <f t="shared" ca="1" si="23"/>
        <v/>
      </c>
      <c r="M346" t="str">
        <f>IFERROR(INDEX(Inventory!A:A,MATCH(Scan!A346,Inventory!E:E,0)),"")</f>
        <v/>
      </c>
    </row>
    <row r="347" spans="2:13" x14ac:dyDescent="0.3">
      <c r="B347" t="str">
        <f>IF(IFERROR(VLOOKUP(TRIM(A347),Inventory!E:E,1,0),0)=0,"X","_")</f>
        <v>_</v>
      </c>
      <c r="C347" t="str">
        <f>IF(IFERROR(VLOOKUP(TRIM(A347),'Full Inventory'!F:F,1,0),0)=0,"X","_")</f>
        <v>X</v>
      </c>
      <c r="D347" t="str">
        <f t="shared" si="20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F347" t="str">
        <f t="shared" si="21"/>
        <v>_</v>
      </c>
      <c r="K347" t="str">
        <f t="shared" ca="1" si="22"/>
        <v>_XX_</v>
      </c>
      <c r="L347" t="str">
        <f t="shared" ca="1" si="23"/>
        <v/>
      </c>
      <c r="M347" t="str">
        <f>IFERROR(INDEX(Inventory!A:A,MATCH(Scan!A347,Inventory!E:E,0)),"")</f>
        <v/>
      </c>
    </row>
    <row r="348" spans="2:13" x14ac:dyDescent="0.3">
      <c r="B348" t="str">
        <f>IF(IFERROR(VLOOKUP(TRIM(A348),Inventory!E:E,1,0),0)=0,"X","_")</f>
        <v>_</v>
      </c>
      <c r="C348" t="str">
        <f>IF(IFERROR(VLOOKUP(TRIM(A348),'Full Inventory'!F:F,1,0),0)=0,"X","_")</f>
        <v>X</v>
      </c>
      <c r="D348" t="str">
        <f t="shared" si="20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F348" t="str">
        <f t="shared" si="21"/>
        <v>_</v>
      </c>
      <c r="K348" t="str">
        <f t="shared" ca="1" si="22"/>
        <v>_XX_</v>
      </c>
      <c r="L348" t="str">
        <f t="shared" ca="1" si="23"/>
        <v/>
      </c>
      <c r="M348" t="str">
        <f>IFERROR(INDEX(Inventory!A:A,MATCH(Scan!A348,Inventory!E:E,0)),"")</f>
        <v/>
      </c>
    </row>
    <row r="349" spans="2:13" x14ac:dyDescent="0.3">
      <c r="B349" t="str">
        <f>IF(IFERROR(VLOOKUP(TRIM(A349),Inventory!E:E,1,0),0)=0,"X","_")</f>
        <v>_</v>
      </c>
      <c r="C349" t="str">
        <f>IF(IFERROR(VLOOKUP(TRIM(A349),'Full Inventory'!F:F,1,0),0)=0,"X","_")</f>
        <v>X</v>
      </c>
      <c r="D349" t="str">
        <f t="shared" si="20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F349" t="str">
        <f t="shared" si="21"/>
        <v>_</v>
      </c>
      <c r="K349" t="str">
        <f t="shared" ca="1" si="22"/>
        <v>_XX_</v>
      </c>
      <c r="L349" t="str">
        <f t="shared" ca="1" si="23"/>
        <v/>
      </c>
      <c r="M349" t="str">
        <f>IFERROR(INDEX(Inventory!A:A,MATCH(Scan!A349,Inventory!E:E,0)),"")</f>
        <v/>
      </c>
    </row>
    <row r="350" spans="2:13" x14ac:dyDescent="0.3">
      <c r="B350" t="str">
        <f>IF(IFERROR(VLOOKUP(TRIM(A350),Inventory!E:E,1,0),0)=0,"X","_")</f>
        <v>_</v>
      </c>
      <c r="C350" t="str">
        <f>IF(IFERROR(VLOOKUP(TRIM(A350),'Full Inventory'!F:F,1,0),0)=0,"X","_")</f>
        <v>X</v>
      </c>
      <c r="D350" t="str">
        <f t="shared" si="20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F350" t="str">
        <f t="shared" si="21"/>
        <v>_</v>
      </c>
      <c r="K350" t="str">
        <f t="shared" ca="1" si="22"/>
        <v>_XX_</v>
      </c>
      <c r="L350" t="str">
        <f t="shared" ca="1" si="23"/>
        <v/>
      </c>
      <c r="M350" t="str">
        <f>IFERROR(INDEX(Inventory!A:A,MATCH(Scan!A350,Inventory!E:E,0)),"")</f>
        <v/>
      </c>
    </row>
    <row r="351" spans="2:13" x14ac:dyDescent="0.3">
      <c r="B351" t="str">
        <f>IF(IFERROR(VLOOKUP(TRIM(A351),Inventory!E:E,1,0),0)=0,"X","_")</f>
        <v>_</v>
      </c>
      <c r="C351" t="str">
        <f>IF(IFERROR(VLOOKUP(TRIM(A351),'Full Inventory'!F:F,1,0),0)=0,"X","_")</f>
        <v>X</v>
      </c>
      <c r="D351" t="str">
        <f t="shared" si="20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F351" t="str">
        <f t="shared" si="21"/>
        <v>_</v>
      </c>
      <c r="K351" t="str">
        <f t="shared" ca="1" si="22"/>
        <v>_XX_</v>
      </c>
      <c r="L351" t="str">
        <f t="shared" ca="1" si="23"/>
        <v/>
      </c>
      <c r="M351" t="str">
        <f>IFERROR(INDEX(Inventory!A:A,MATCH(Scan!A351,Inventory!E:E,0)),"")</f>
        <v/>
      </c>
    </row>
    <row r="352" spans="2:13" x14ac:dyDescent="0.3">
      <c r="B352" t="str">
        <f>IF(IFERROR(VLOOKUP(TRIM(A352),Inventory!E:E,1,0),0)=0,"X","_")</f>
        <v>_</v>
      </c>
      <c r="C352" t="str">
        <f>IF(IFERROR(VLOOKUP(TRIM(A352),'Full Inventory'!F:F,1,0),0)=0,"X","_")</f>
        <v>X</v>
      </c>
      <c r="D352" t="str">
        <f t="shared" si="20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F352" t="str">
        <f t="shared" si="21"/>
        <v>_</v>
      </c>
      <c r="K352" t="str">
        <f t="shared" ca="1" si="22"/>
        <v>_XX_</v>
      </c>
      <c r="L352" t="str">
        <f t="shared" ca="1" si="23"/>
        <v/>
      </c>
      <c r="M352" t="str">
        <f>IFERROR(INDEX(Inventory!A:A,MATCH(Scan!A352,Inventory!E:E,0)),"")</f>
        <v/>
      </c>
    </row>
    <row r="353" spans="2:13" x14ac:dyDescent="0.3">
      <c r="B353" t="str">
        <f>IF(IFERROR(VLOOKUP(TRIM(A353),Inventory!E:E,1,0),0)=0,"X","_")</f>
        <v>_</v>
      </c>
      <c r="C353" t="str">
        <f>IF(IFERROR(VLOOKUP(TRIM(A353),'Full Inventory'!F:F,1,0),0)=0,"X","_")</f>
        <v>X</v>
      </c>
      <c r="D353" t="str">
        <f t="shared" si="20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F353" t="str">
        <f t="shared" si="21"/>
        <v>_</v>
      </c>
      <c r="K353" t="str">
        <f t="shared" ca="1" si="22"/>
        <v>_XX_</v>
      </c>
      <c r="L353" t="str">
        <f t="shared" ca="1" si="23"/>
        <v/>
      </c>
      <c r="M353" t="str">
        <f>IFERROR(INDEX(Inventory!A:A,MATCH(Scan!A353,Inventory!E:E,0)),"")</f>
        <v/>
      </c>
    </row>
    <row r="354" spans="2:13" x14ac:dyDescent="0.3">
      <c r="B354" t="str">
        <f>IF(IFERROR(VLOOKUP(TRIM(A354),Inventory!E:E,1,0),0)=0,"X","_")</f>
        <v>_</v>
      </c>
      <c r="C354" t="str">
        <f>IF(IFERROR(VLOOKUP(TRIM(A354),'Full Inventory'!F:F,1,0),0)=0,"X","_")</f>
        <v>X</v>
      </c>
      <c r="D354" t="str">
        <f t="shared" si="20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F354" t="str">
        <f t="shared" si="21"/>
        <v>_</v>
      </c>
      <c r="K354" t="str">
        <f t="shared" ca="1" si="22"/>
        <v>_XX_</v>
      </c>
      <c r="L354" t="str">
        <f t="shared" ca="1" si="23"/>
        <v/>
      </c>
      <c r="M354" t="str">
        <f>IFERROR(INDEX(Inventory!A:A,MATCH(Scan!A354,Inventory!E:E,0)),"")</f>
        <v/>
      </c>
    </row>
    <row r="355" spans="2:13" x14ac:dyDescent="0.3">
      <c r="B355" t="str">
        <f>IF(IFERROR(VLOOKUP(TRIM(A355),Inventory!E:E,1,0),0)=0,"X","_")</f>
        <v>_</v>
      </c>
      <c r="C355" t="str">
        <f>IF(IFERROR(VLOOKUP(TRIM(A355),'Full Inventory'!F:F,1,0),0)=0,"X","_")</f>
        <v>X</v>
      </c>
      <c r="D355" t="str">
        <f t="shared" si="20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F355" t="str">
        <f t="shared" si="21"/>
        <v>_</v>
      </c>
      <c r="K355" t="str">
        <f t="shared" ca="1" si="22"/>
        <v>_XX_</v>
      </c>
      <c r="L355" t="str">
        <f t="shared" ca="1" si="23"/>
        <v/>
      </c>
      <c r="M355" t="str">
        <f>IFERROR(INDEX(Inventory!A:A,MATCH(Scan!A355,Inventory!E:E,0)),"")</f>
        <v/>
      </c>
    </row>
    <row r="356" spans="2:13" x14ac:dyDescent="0.3">
      <c r="B356" t="str">
        <f>IF(IFERROR(VLOOKUP(TRIM(A356),Inventory!E:E,1,0),0)=0,"X","_")</f>
        <v>_</v>
      </c>
      <c r="C356" t="str">
        <f>IF(IFERROR(VLOOKUP(TRIM(A356),'Full Inventory'!F:F,1,0),0)=0,"X","_")</f>
        <v>X</v>
      </c>
      <c r="D356" t="str">
        <f t="shared" si="20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F356" t="str">
        <f t="shared" si="21"/>
        <v>_</v>
      </c>
      <c r="K356" t="str">
        <f t="shared" ca="1" si="22"/>
        <v>_XX_</v>
      </c>
      <c r="L356" t="str">
        <f t="shared" ca="1" si="23"/>
        <v/>
      </c>
      <c r="M356" t="str">
        <f>IFERROR(INDEX(Inventory!A:A,MATCH(Scan!A356,Inventory!E:E,0)),"")</f>
        <v/>
      </c>
    </row>
    <row r="357" spans="2:13" x14ac:dyDescent="0.3">
      <c r="B357" t="str">
        <f>IF(IFERROR(VLOOKUP(TRIM(A357),Inventory!E:E,1,0),0)=0,"X","_")</f>
        <v>_</v>
      </c>
      <c r="C357" t="str">
        <f>IF(IFERROR(VLOOKUP(TRIM(A357),'Full Inventory'!F:F,1,0),0)=0,"X","_")</f>
        <v>X</v>
      </c>
      <c r="D357" t="str">
        <f t="shared" si="20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F357" t="str">
        <f t="shared" si="21"/>
        <v>_</v>
      </c>
      <c r="K357" t="str">
        <f t="shared" ca="1" si="22"/>
        <v>_XX_</v>
      </c>
      <c r="L357" t="str">
        <f t="shared" ca="1" si="23"/>
        <v/>
      </c>
      <c r="M357" t="str">
        <f>IFERROR(INDEX(Inventory!A:A,MATCH(Scan!A357,Inventory!E:E,0)),"")</f>
        <v/>
      </c>
    </row>
    <row r="358" spans="2:13" x14ac:dyDescent="0.3">
      <c r="B358" t="str">
        <f>IF(IFERROR(VLOOKUP(TRIM(A358),Inventory!E:E,1,0),0)=0,"X","_")</f>
        <v>_</v>
      </c>
      <c r="C358" t="str">
        <f>IF(IFERROR(VLOOKUP(TRIM(A358),'Full Inventory'!F:F,1,0),0)=0,"X","_")</f>
        <v>X</v>
      </c>
      <c r="D358" t="str">
        <f t="shared" si="20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F358" t="str">
        <f t="shared" si="21"/>
        <v>_</v>
      </c>
      <c r="K358" t="str">
        <f t="shared" ca="1" si="22"/>
        <v>_XX_</v>
      </c>
      <c r="L358" t="str">
        <f t="shared" ca="1" si="23"/>
        <v/>
      </c>
      <c r="M358" t="str">
        <f>IFERROR(INDEX(Inventory!A:A,MATCH(Scan!A358,Inventory!E:E,0)),"")</f>
        <v/>
      </c>
    </row>
    <row r="359" spans="2:13" x14ac:dyDescent="0.3">
      <c r="B359" t="str">
        <f>IF(IFERROR(VLOOKUP(TRIM(A359),Inventory!E:E,1,0),0)=0,"X","_")</f>
        <v>_</v>
      </c>
      <c r="C359" t="str">
        <f>IF(IFERROR(VLOOKUP(TRIM(A359),'Full Inventory'!F:F,1,0),0)=0,"X","_")</f>
        <v>X</v>
      </c>
      <c r="D359" t="str">
        <f t="shared" si="20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F359" t="str">
        <f t="shared" si="21"/>
        <v>_</v>
      </c>
      <c r="K359" t="str">
        <f t="shared" ca="1" si="22"/>
        <v>_XX_</v>
      </c>
      <c r="L359" t="str">
        <f t="shared" ca="1" si="23"/>
        <v/>
      </c>
      <c r="M359" t="str">
        <f>IFERROR(INDEX(Inventory!A:A,MATCH(Scan!A359,Inventory!E:E,0)),"")</f>
        <v/>
      </c>
    </row>
    <row r="360" spans="2:13" x14ac:dyDescent="0.3">
      <c r="B360" t="str">
        <f>IF(IFERROR(VLOOKUP(TRIM(A360),Inventory!E:E,1,0),0)=0,"X","_")</f>
        <v>_</v>
      </c>
      <c r="C360" t="str">
        <f>IF(IFERROR(VLOOKUP(TRIM(A360),'Full Inventory'!F:F,1,0),0)=0,"X","_")</f>
        <v>X</v>
      </c>
      <c r="D360" t="str">
        <f t="shared" si="20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F360" t="str">
        <f t="shared" si="21"/>
        <v>_</v>
      </c>
      <c r="K360" t="str">
        <f t="shared" ca="1" si="22"/>
        <v>_XX_</v>
      </c>
      <c r="L360" t="str">
        <f t="shared" ca="1" si="23"/>
        <v/>
      </c>
      <c r="M360" t="str">
        <f>IFERROR(INDEX(Inventory!A:A,MATCH(Scan!A360,Inventory!E:E,0)),"")</f>
        <v/>
      </c>
    </row>
    <row r="361" spans="2:13" x14ac:dyDescent="0.3">
      <c r="B361" t="str">
        <f>IF(IFERROR(VLOOKUP(TRIM(A361),Inventory!E:E,1,0),0)=0,"X","_")</f>
        <v>_</v>
      </c>
      <c r="C361" t="str">
        <f>IF(IFERROR(VLOOKUP(TRIM(A361),'Full Inventory'!F:F,1,0),0)=0,"X","_")</f>
        <v>X</v>
      </c>
      <c r="D361" t="str">
        <f t="shared" si="20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F361" t="str">
        <f t="shared" si="21"/>
        <v>_</v>
      </c>
      <c r="K361" t="str">
        <f t="shared" ca="1" si="22"/>
        <v>_XX_</v>
      </c>
      <c r="L361" t="str">
        <f t="shared" ca="1" si="23"/>
        <v/>
      </c>
      <c r="M361" t="str">
        <f>IFERROR(INDEX(Inventory!A:A,MATCH(Scan!A361,Inventory!E:E,0)),"")</f>
        <v/>
      </c>
    </row>
    <row r="362" spans="2:13" x14ac:dyDescent="0.3">
      <c r="B362" t="str">
        <f>IF(IFERROR(VLOOKUP(TRIM(A362),Inventory!E:E,1,0),0)=0,"X","_")</f>
        <v>_</v>
      </c>
      <c r="C362" t="str">
        <f>IF(IFERROR(VLOOKUP(TRIM(A362),'Full Inventory'!F:F,1,0),0)=0,"X","_")</f>
        <v>X</v>
      </c>
      <c r="D362" t="str">
        <f t="shared" si="20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F362" t="str">
        <f t="shared" si="21"/>
        <v>_</v>
      </c>
      <c r="K362" t="str">
        <f t="shared" ca="1" si="22"/>
        <v>_XX_</v>
      </c>
      <c r="L362" t="str">
        <f t="shared" ca="1" si="23"/>
        <v/>
      </c>
      <c r="M362" t="str">
        <f>IFERROR(INDEX(Inventory!A:A,MATCH(Scan!A362,Inventory!E:E,0)),"")</f>
        <v/>
      </c>
    </row>
    <row r="363" spans="2:13" x14ac:dyDescent="0.3">
      <c r="B363" t="str">
        <f>IF(IFERROR(VLOOKUP(TRIM(A363),Inventory!E:E,1,0),0)=0,"X","_")</f>
        <v>_</v>
      </c>
      <c r="C363" t="str">
        <f>IF(IFERROR(VLOOKUP(TRIM(A363),'Full Inventory'!F:F,1,0),0)=0,"X","_")</f>
        <v>X</v>
      </c>
      <c r="D363" t="str">
        <f t="shared" si="20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F363" t="str">
        <f t="shared" si="21"/>
        <v>_</v>
      </c>
      <c r="K363" t="str">
        <f t="shared" ca="1" si="22"/>
        <v>_XX_</v>
      </c>
      <c r="L363" t="str">
        <f t="shared" ca="1" si="23"/>
        <v/>
      </c>
      <c r="M363" t="str">
        <f>IFERROR(INDEX(Inventory!A:A,MATCH(Scan!A363,Inventory!E:E,0)),"")</f>
        <v/>
      </c>
    </row>
    <row r="364" spans="2:13" x14ac:dyDescent="0.3">
      <c r="B364" t="str">
        <f>IF(IFERROR(VLOOKUP(TRIM(A364),Inventory!E:E,1,0),0)=0,"X","_")</f>
        <v>_</v>
      </c>
      <c r="C364" t="str">
        <f>IF(IFERROR(VLOOKUP(TRIM(A364),'Full Inventory'!F:F,1,0),0)=0,"X","_")</f>
        <v>X</v>
      </c>
      <c r="D364" t="str">
        <f t="shared" si="20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F364" t="str">
        <f t="shared" si="21"/>
        <v>_</v>
      </c>
      <c r="K364" t="str">
        <f t="shared" ca="1" si="22"/>
        <v>_XX_</v>
      </c>
      <c r="L364" t="str">
        <f t="shared" ca="1" si="23"/>
        <v/>
      </c>
      <c r="M364" t="str">
        <f>IFERROR(INDEX(Inventory!A:A,MATCH(Scan!A364,Inventory!E:E,0)),"")</f>
        <v/>
      </c>
    </row>
    <row r="365" spans="2:13" x14ac:dyDescent="0.3">
      <c r="B365" t="str">
        <f>IF(IFERROR(VLOOKUP(TRIM(A365),Inventory!E:E,1,0),0)=0,"X","_")</f>
        <v>_</v>
      </c>
      <c r="C365" t="str">
        <f>IF(IFERROR(VLOOKUP(TRIM(A365),'Full Inventory'!F:F,1,0),0)=0,"X","_")</f>
        <v>X</v>
      </c>
      <c r="D365" t="str">
        <f t="shared" si="20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F365" t="str">
        <f t="shared" si="21"/>
        <v>_</v>
      </c>
      <c r="K365" t="str">
        <f t="shared" ca="1" si="22"/>
        <v>_XX_</v>
      </c>
      <c r="L365" t="str">
        <f t="shared" ca="1" si="23"/>
        <v/>
      </c>
      <c r="M365" t="str">
        <f>IFERROR(INDEX(Inventory!A:A,MATCH(Scan!A365,Inventory!E:E,0)),"")</f>
        <v/>
      </c>
    </row>
    <row r="366" spans="2:13" x14ac:dyDescent="0.3">
      <c r="B366" t="str">
        <f>IF(IFERROR(VLOOKUP(TRIM(A366),Inventory!E:E,1,0),0)=0,"X","_")</f>
        <v>_</v>
      </c>
      <c r="C366" t="str">
        <f>IF(IFERROR(VLOOKUP(TRIM(A366),'Full Inventory'!F:F,1,0),0)=0,"X","_")</f>
        <v>X</v>
      </c>
      <c r="D366" t="str">
        <f t="shared" si="20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F366" t="str">
        <f t="shared" si="21"/>
        <v>_</v>
      </c>
      <c r="K366" t="str">
        <f t="shared" ca="1" si="22"/>
        <v>_XX_</v>
      </c>
      <c r="L366" t="str">
        <f t="shared" ca="1" si="23"/>
        <v/>
      </c>
      <c r="M366" t="str">
        <f>IFERROR(INDEX(Inventory!A:A,MATCH(Scan!A366,Inventory!E:E,0)),"")</f>
        <v/>
      </c>
    </row>
    <row r="367" spans="2:13" x14ac:dyDescent="0.3">
      <c r="B367" t="str">
        <f>IF(IFERROR(VLOOKUP(TRIM(A367),Inventory!E:E,1,0),0)=0,"X","_")</f>
        <v>_</v>
      </c>
      <c r="C367" t="str">
        <f>IF(IFERROR(VLOOKUP(TRIM(A367),'Full Inventory'!F:F,1,0),0)=0,"X","_")</f>
        <v>X</v>
      </c>
      <c r="D367" t="str">
        <f t="shared" si="20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F367" t="str">
        <f t="shared" si="21"/>
        <v>_</v>
      </c>
      <c r="K367" t="str">
        <f t="shared" ca="1" si="22"/>
        <v>_XX_</v>
      </c>
      <c r="L367" t="str">
        <f t="shared" ca="1" si="23"/>
        <v/>
      </c>
      <c r="M367" t="str">
        <f>IFERROR(INDEX(Inventory!A:A,MATCH(Scan!A367,Inventory!E:E,0)),"")</f>
        <v/>
      </c>
    </row>
    <row r="368" spans="2:13" x14ac:dyDescent="0.3">
      <c r="B368" t="str">
        <f>IF(IFERROR(VLOOKUP(TRIM(A368),Inventory!E:E,1,0),0)=0,"X","_")</f>
        <v>_</v>
      </c>
      <c r="C368" t="str">
        <f>IF(IFERROR(VLOOKUP(TRIM(A368),'Full Inventory'!F:F,1,0),0)=0,"X","_")</f>
        <v>X</v>
      </c>
      <c r="D368" t="str">
        <f t="shared" si="20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F368" t="str">
        <f t="shared" si="21"/>
        <v>_</v>
      </c>
      <c r="K368" t="str">
        <f t="shared" ca="1" si="22"/>
        <v>_XX_</v>
      </c>
      <c r="L368" t="str">
        <f t="shared" ca="1" si="23"/>
        <v/>
      </c>
      <c r="M368" t="str">
        <f>IFERROR(INDEX(Inventory!A:A,MATCH(Scan!A368,Inventory!E:E,0)),"")</f>
        <v/>
      </c>
    </row>
    <row r="369" spans="2:13" x14ac:dyDescent="0.3">
      <c r="B369" t="str">
        <f>IF(IFERROR(VLOOKUP(TRIM(A369),Inventory!E:E,1,0),0)=0,"X","_")</f>
        <v>_</v>
      </c>
      <c r="C369" t="str">
        <f>IF(IFERROR(VLOOKUP(TRIM(A369),'Full Inventory'!F:F,1,0),0)=0,"X","_")</f>
        <v>X</v>
      </c>
      <c r="D369" t="str">
        <f t="shared" si="20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F369" t="str">
        <f t="shared" si="21"/>
        <v>_</v>
      </c>
      <c r="K369" t="str">
        <f t="shared" ca="1" si="22"/>
        <v>_XX_</v>
      </c>
      <c r="L369" t="str">
        <f t="shared" ca="1" si="23"/>
        <v/>
      </c>
      <c r="M369" t="str">
        <f>IFERROR(INDEX(Inventory!A:A,MATCH(Scan!A369,Inventory!E:E,0)),"")</f>
        <v/>
      </c>
    </row>
    <row r="370" spans="2:13" x14ac:dyDescent="0.3">
      <c r="B370" t="str">
        <f>IF(IFERROR(VLOOKUP(TRIM(A370),Inventory!E:E,1,0),0)=0,"X","_")</f>
        <v>_</v>
      </c>
      <c r="C370" t="str">
        <f>IF(IFERROR(VLOOKUP(TRIM(A370),'Full Inventory'!F:F,1,0),0)=0,"X","_")</f>
        <v>X</v>
      </c>
      <c r="D370" t="str">
        <f t="shared" si="20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F370" t="str">
        <f t="shared" si="21"/>
        <v>_</v>
      </c>
      <c r="K370" t="str">
        <f t="shared" ca="1" si="22"/>
        <v>_XX_</v>
      </c>
      <c r="L370" t="str">
        <f t="shared" ca="1" si="23"/>
        <v/>
      </c>
      <c r="M370" t="str">
        <f>IFERROR(INDEX(Inventory!A:A,MATCH(Scan!A370,Inventory!E:E,0)),"")</f>
        <v/>
      </c>
    </row>
    <row r="371" spans="2:13" x14ac:dyDescent="0.3">
      <c r="B371" t="str">
        <f>IF(IFERROR(VLOOKUP(TRIM(A371),Inventory!E:E,1,0),0)=0,"X","_")</f>
        <v>_</v>
      </c>
      <c r="C371" t="str">
        <f>IF(IFERROR(VLOOKUP(TRIM(A371),'Full Inventory'!F:F,1,0),0)=0,"X","_")</f>
        <v>X</v>
      </c>
      <c r="D371" t="str">
        <f t="shared" si="20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F371" t="str">
        <f t="shared" si="21"/>
        <v>_</v>
      </c>
      <c r="K371" t="str">
        <f t="shared" ca="1" si="22"/>
        <v>_XX_</v>
      </c>
      <c r="L371" t="str">
        <f t="shared" ca="1" si="23"/>
        <v/>
      </c>
      <c r="M371" t="str">
        <f>IFERROR(INDEX(Inventory!A:A,MATCH(Scan!A371,Inventory!E:E,0)),"")</f>
        <v/>
      </c>
    </row>
    <row r="372" spans="2:13" x14ac:dyDescent="0.3">
      <c r="B372" t="str">
        <f>IF(IFERROR(VLOOKUP(TRIM(A372),Inventory!E:E,1,0),0)=0,"X","_")</f>
        <v>_</v>
      </c>
      <c r="C372" t="str">
        <f>IF(IFERROR(VLOOKUP(TRIM(A372),'Full Inventory'!F:F,1,0),0)=0,"X","_")</f>
        <v>X</v>
      </c>
      <c r="D372" t="str">
        <f t="shared" si="20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F372" t="str">
        <f t="shared" si="21"/>
        <v>_</v>
      </c>
      <c r="K372" t="str">
        <f t="shared" ca="1" si="22"/>
        <v>_XX_</v>
      </c>
      <c r="L372" t="str">
        <f t="shared" ca="1" si="23"/>
        <v/>
      </c>
      <c r="M372" t="str">
        <f>IFERROR(INDEX(Inventory!A:A,MATCH(Scan!A372,Inventory!E:E,0)),"")</f>
        <v/>
      </c>
    </row>
    <row r="373" spans="2:13" x14ac:dyDescent="0.3">
      <c r="B373" t="str">
        <f>IF(IFERROR(VLOOKUP(TRIM(A373),Inventory!E:E,1,0),0)=0,"X","_")</f>
        <v>_</v>
      </c>
      <c r="C373" t="str">
        <f>IF(IFERROR(VLOOKUP(TRIM(A373),'Full Inventory'!F:F,1,0),0)=0,"X","_")</f>
        <v>X</v>
      </c>
      <c r="D373" t="str">
        <f t="shared" si="20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F373" t="str">
        <f t="shared" si="21"/>
        <v>_</v>
      </c>
      <c r="K373" t="str">
        <f t="shared" ca="1" si="22"/>
        <v>_XX_</v>
      </c>
      <c r="L373" t="str">
        <f t="shared" ca="1" si="23"/>
        <v/>
      </c>
      <c r="M373" t="str">
        <f>IFERROR(INDEX(Inventory!A:A,MATCH(Scan!A373,Inventory!E:E,0)),"")</f>
        <v/>
      </c>
    </row>
    <row r="374" spans="2:13" x14ac:dyDescent="0.3">
      <c r="B374" t="str">
        <f>IF(IFERROR(VLOOKUP(TRIM(A374),Inventory!E:E,1,0),0)=0,"X","_")</f>
        <v>_</v>
      </c>
      <c r="C374" t="str">
        <f>IF(IFERROR(VLOOKUP(TRIM(A374),'Full Inventory'!F:F,1,0),0)=0,"X","_")</f>
        <v>X</v>
      </c>
      <c r="D374" t="str">
        <f t="shared" si="20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F374" t="str">
        <f t="shared" si="21"/>
        <v>_</v>
      </c>
      <c r="K374" t="str">
        <f t="shared" ca="1" si="22"/>
        <v>_XX_</v>
      </c>
      <c r="L374" t="str">
        <f t="shared" ca="1" si="23"/>
        <v/>
      </c>
      <c r="M374" t="str">
        <f>IFERROR(INDEX(Inventory!A:A,MATCH(Scan!A374,Inventory!E:E,0)),"")</f>
        <v/>
      </c>
    </row>
    <row r="375" spans="2:13" x14ac:dyDescent="0.3">
      <c r="B375" t="str">
        <f>IF(IFERROR(VLOOKUP(TRIM(A375),Inventory!E:E,1,0),0)=0,"X","_")</f>
        <v>_</v>
      </c>
      <c r="C375" t="str">
        <f>IF(IFERROR(VLOOKUP(TRIM(A375),'Full Inventory'!F:F,1,0),0)=0,"X","_")</f>
        <v>X</v>
      </c>
      <c r="D375" t="str">
        <f t="shared" si="20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F375" t="str">
        <f t="shared" si="21"/>
        <v>_</v>
      </c>
      <c r="K375" t="str">
        <f t="shared" ca="1" si="22"/>
        <v>_XX_</v>
      </c>
      <c r="L375" t="str">
        <f t="shared" ca="1" si="23"/>
        <v/>
      </c>
      <c r="M375" t="str">
        <f>IFERROR(INDEX(Inventory!A:A,MATCH(Scan!A375,Inventory!E:E,0)),"")</f>
        <v/>
      </c>
    </row>
    <row r="376" spans="2:13" x14ac:dyDescent="0.3">
      <c r="B376" t="str">
        <f>IF(IFERROR(VLOOKUP(TRIM(A376),Inventory!E:E,1,0),0)=0,"X","_")</f>
        <v>_</v>
      </c>
      <c r="C376" t="str">
        <f>IF(IFERROR(VLOOKUP(TRIM(A376),'Full Inventory'!F:F,1,0),0)=0,"X","_")</f>
        <v>X</v>
      </c>
      <c r="D376" t="str">
        <f t="shared" si="20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F376" t="str">
        <f t="shared" si="21"/>
        <v>_</v>
      </c>
      <c r="K376" t="str">
        <f t="shared" ca="1" si="22"/>
        <v>_XX_</v>
      </c>
      <c r="L376" t="str">
        <f t="shared" ca="1" si="23"/>
        <v/>
      </c>
      <c r="M376" t="str">
        <f>IFERROR(INDEX(Inventory!A:A,MATCH(Scan!A376,Inventory!E:E,0)),"")</f>
        <v/>
      </c>
    </row>
    <row r="377" spans="2:13" x14ac:dyDescent="0.3">
      <c r="B377" t="str">
        <f>IF(IFERROR(VLOOKUP(TRIM(A377),Inventory!E:E,1,0),0)=0,"X","_")</f>
        <v>_</v>
      </c>
      <c r="C377" t="str">
        <f>IF(IFERROR(VLOOKUP(TRIM(A377),'Full Inventory'!F:F,1,0),0)=0,"X","_")</f>
        <v>X</v>
      </c>
      <c r="D377" t="str">
        <f t="shared" si="20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F377" t="str">
        <f t="shared" si="21"/>
        <v>_</v>
      </c>
      <c r="K377" t="str">
        <f t="shared" ca="1" si="22"/>
        <v>_XX_</v>
      </c>
      <c r="L377" t="str">
        <f t="shared" ca="1" si="23"/>
        <v/>
      </c>
      <c r="M377" t="str">
        <f>IFERROR(INDEX(Inventory!A:A,MATCH(Scan!A377,Inventory!E:E,0)),"")</f>
        <v/>
      </c>
    </row>
    <row r="378" spans="2:13" x14ac:dyDescent="0.3">
      <c r="B378" t="str">
        <f>IF(IFERROR(VLOOKUP(TRIM(A378),Inventory!E:E,1,0),0)=0,"X","_")</f>
        <v>_</v>
      </c>
      <c r="C378" t="str">
        <f>IF(IFERROR(VLOOKUP(TRIM(A378),'Full Inventory'!F:F,1,0),0)=0,"X","_")</f>
        <v>X</v>
      </c>
      <c r="D378" t="str">
        <f t="shared" si="20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F378" t="str">
        <f t="shared" si="21"/>
        <v>_</v>
      </c>
      <c r="K378" t="str">
        <f t="shared" ca="1" si="22"/>
        <v>_XX_</v>
      </c>
      <c r="L378" t="str">
        <f t="shared" ca="1" si="23"/>
        <v/>
      </c>
      <c r="M378" t="str">
        <f>IFERROR(INDEX(Inventory!A:A,MATCH(Scan!A378,Inventory!E:E,0)),"")</f>
        <v/>
      </c>
    </row>
    <row r="379" spans="2:13" x14ac:dyDescent="0.3">
      <c r="B379" t="str">
        <f>IF(IFERROR(VLOOKUP(TRIM(A379),Inventory!E:E,1,0),0)=0,"X","_")</f>
        <v>_</v>
      </c>
      <c r="C379" t="str">
        <f>IF(IFERROR(VLOOKUP(TRIM(A379),'Full Inventory'!F:F,1,0),0)=0,"X","_")</f>
        <v>X</v>
      </c>
      <c r="D379" t="str">
        <f t="shared" si="20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F379" t="str">
        <f t="shared" si="21"/>
        <v>_</v>
      </c>
      <c r="K379" t="str">
        <f t="shared" ca="1" si="22"/>
        <v>_XX_</v>
      </c>
      <c r="L379" t="str">
        <f t="shared" ca="1" si="23"/>
        <v/>
      </c>
      <c r="M379" t="str">
        <f>IFERROR(INDEX(Inventory!A:A,MATCH(Scan!A379,Inventory!E:E,0)),"")</f>
        <v/>
      </c>
    </row>
    <row r="380" spans="2:13" x14ac:dyDescent="0.3">
      <c r="B380" t="str">
        <f>IF(IFERROR(VLOOKUP(TRIM(A380),Inventory!E:E,1,0),0)=0,"X","_")</f>
        <v>_</v>
      </c>
      <c r="C380" t="str">
        <f>IF(IFERROR(VLOOKUP(TRIM(A380),'Full Inventory'!F:F,1,0),0)=0,"X","_")</f>
        <v>X</v>
      </c>
      <c r="D380" t="str">
        <f t="shared" si="20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F380" t="str">
        <f t="shared" si="21"/>
        <v>_</v>
      </c>
      <c r="K380" t="str">
        <f t="shared" ca="1" si="22"/>
        <v>_XX_</v>
      </c>
      <c r="L380" t="str">
        <f t="shared" ca="1" si="23"/>
        <v/>
      </c>
      <c r="M380" t="str">
        <f>IFERROR(INDEX(Inventory!A:A,MATCH(Scan!A380,Inventory!E:E,0)),"")</f>
        <v/>
      </c>
    </row>
    <row r="381" spans="2:13" x14ac:dyDescent="0.3">
      <c r="B381" t="str">
        <f>IF(IFERROR(VLOOKUP(TRIM(A381),Inventory!E:E,1,0),0)=0,"X","_")</f>
        <v>_</v>
      </c>
      <c r="C381" t="str">
        <f>IF(IFERROR(VLOOKUP(TRIM(A381),'Full Inventory'!F:F,1,0),0)=0,"X","_")</f>
        <v>X</v>
      </c>
      <c r="D381" t="str">
        <f t="shared" si="20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F381" t="str">
        <f t="shared" si="21"/>
        <v>_</v>
      </c>
      <c r="K381" t="str">
        <f t="shared" ca="1" si="22"/>
        <v>_XX_</v>
      </c>
      <c r="L381" t="str">
        <f t="shared" ca="1" si="23"/>
        <v/>
      </c>
      <c r="M381" t="str">
        <f>IFERROR(INDEX(Inventory!A:A,MATCH(Scan!A381,Inventory!E:E,0)),"")</f>
        <v/>
      </c>
    </row>
    <row r="382" spans="2:13" x14ac:dyDescent="0.3">
      <c r="B382" t="str">
        <f>IF(IFERROR(VLOOKUP(TRIM(A382),Inventory!E:E,1,0),0)=0,"X","_")</f>
        <v>_</v>
      </c>
      <c r="C382" t="str">
        <f>IF(IFERROR(VLOOKUP(TRIM(A382),'Full Inventory'!F:F,1,0),0)=0,"X","_")</f>
        <v>X</v>
      </c>
      <c r="D382" t="str">
        <f t="shared" si="20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F382" t="str">
        <f t="shared" si="21"/>
        <v>_</v>
      </c>
      <c r="K382" t="str">
        <f t="shared" ca="1" si="22"/>
        <v>_XX_</v>
      </c>
      <c r="L382" t="str">
        <f t="shared" ca="1" si="23"/>
        <v/>
      </c>
      <c r="M382" t="str">
        <f>IFERROR(INDEX(Inventory!A:A,MATCH(Scan!A382,Inventory!E:E,0)),"")</f>
        <v/>
      </c>
    </row>
    <row r="383" spans="2:13" x14ac:dyDescent="0.3">
      <c r="B383" t="str">
        <f>IF(IFERROR(VLOOKUP(TRIM(A383),Inventory!E:E,1,0),0)=0,"X","_")</f>
        <v>_</v>
      </c>
      <c r="C383" t="str">
        <f>IF(IFERROR(VLOOKUP(TRIM(A383),'Full Inventory'!F:F,1,0),0)=0,"X","_")</f>
        <v>X</v>
      </c>
      <c r="D383" t="str">
        <f t="shared" si="20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F383" t="str">
        <f t="shared" si="21"/>
        <v>_</v>
      </c>
      <c r="K383" t="str">
        <f t="shared" ca="1" si="22"/>
        <v>_XX_</v>
      </c>
      <c r="L383" t="str">
        <f t="shared" ca="1" si="23"/>
        <v/>
      </c>
      <c r="M383" t="str">
        <f>IFERROR(INDEX(Inventory!A:A,MATCH(Scan!A383,Inventory!E:E,0)),"")</f>
        <v/>
      </c>
    </row>
    <row r="384" spans="2:13" x14ac:dyDescent="0.3">
      <c r="B384" t="str">
        <f>IF(IFERROR(VLOOKUP(TRIM(A384),Inventory!E:E,1,0),0)=0,"X","_")</f>
        <v>_</v>
      </c>
      <c r="C384" t="str">
        <f>IF(IFERROR(VLOOKUP(TRIM(A384),'Full Inventory'!F:F,1,0),0)=0,"X","_")</f>
        <v>X</v>
      </c>
      <c r="D384" t="str">
        <f t="shared" si="20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F384" t="str">
        <f t="shared" si="21"/>
        <v>_</v>
      </c>
      <c r="K384" t="str">
        <f t="shared" ca="1" si="22"/>
        <v>_XX_</v>
      </c>
      <c r="L384" t="str">
        <f t="shared" ca="1" si="23"/>
        <v/>
      </c>
      <c r="M384" t="str">
        <f>IFERROR(INDEX(Inventory!A:A,MATCH(Scan!A384,Inventory!E:E,0)),"")</f>
        <v/>
      </c>
    </row>
    <row r="385" spans="2:13" x14ac:dyDescent="0.3">
      <c r="B385" t="str">
        <f>IF(IFERROR(VLOOKUP(TRIM(A385),Inventory!E:E,1,0),0)=0,"X","_")</f>
        <v>_</v>
      </c>
      <c r="C385" t="str">
        <f>IF(IFERROR(VLOOKUP(TRIM(A385),'Full Inventory'!F:F,1,0),0)=0,"X","_")</f>
        <v>X</v>
      </c>
      <c r="D385" t="str">
        <f t="shared" si="20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F385" t="str">
        <f t="shared" si="21"/>
        <v>_</v>
      </c>
      <c r="K385" t="str">
        <f t="shared" ca="1" si="22"/>
        <v>_XX_</v>
      </c>
      <c r="L385" t="str">
        <f t="shared" ca="1" si="23"/>
        <v/>
      </c>
      <c r="M385" t="str">
        <f>IFERROR(INDEX(Inventory!A:A,MATCH(Scan!A385,Inventory!E:E,0)),"")</f>
        <v/>
      </c>
    </row>
    <row r="386" spans="2:13" x14ac:dyDescent="0.3">
      <c r="B386" t="str">
        <f>IF(IFERROR(VLOOKUP(TRIM(A386),Inventory!E:E,1,0),0)=0,"X","_")</f>
        <v>_</v>
      </c>
      <c r="C386" t="str">
        <f>IF(IFERROR(VLOOKUP(TRIM(A386),'Full Inventory'!F:F,1,0),0)=0,"X","_")</f>
        <v>X</v>
      </c>
      <c r="D386" t="str">
        <f t="shared" ref="D386:D449" si="24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F386" t="str">
        <f t="shared" si="21"/>
        <v>_</v>
      </c>
      <c r="K386" t="str">
        <f t="shared" ca="1" si="22"/>
        <v>_XX_</v>
      </c>
      <c r="L386" t="str">
        <f t="shared" ca="1" si="23"/>
        <v/>
      </c>
      <c r="M386" t="str">
        <f>IFERROR(INDEX(Inventory!A:A,MATCH(Scan!A386,Inventory!E:E,0)),"")</f>
        <v/>
      </c>
    </row>
    <row r="387" spans="2:13" x14ac:dyDescent="0.3">
      <c r="B387" t="str">
        <f>IF(IFERROR(VLOOKUP(TRIM(A387),Inventory!E:E,1,0),0)=0,"X","_")</f>
        <v>_</v>
      </c>
      <c r="C387" t="str">
        <f>IF(IFERROR(VLOOKUP(TRIM(A387),'Full Inventory'!F:F,1,0),0)=0,"X","_")</f>
        <v>X</v>
      </c>
      <c r="D387" t="str">
        <f t="shared" si="24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F387" t="str">
        <f t="shared" ref="F387:F450" si="25">IF(IFERROR(SEARCH("ö",A387),0)&gt;0,"X","_")</f>
        <v>_</v>
      </c>
      <c r="K387" t="str">
        <f t="shared" ref="K387:K450" ca="1" si="26">B387&amp;C387&amp;D387&amp;E387</f>
        <v>_XX_</v>
      </c>
      <c r="L387" t="str">
        <f t="shared" ref="L387:L450" ca="1" si="27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3">
      <c r="B388" t="str">
        <f>IF(IFERROR(VLOOKUP(TRIM(A388),Inventory!E:E,1,0),0)=0,"X","_")</f>
        <v>_</v>
      </c>
      <c r="C388" t="str">
        <f>IF(IFERROR(VLOOKUP(TRIM(A388),'Full Inventory'!F:F,1,0),0)=0,"X","_")</f>
        <v>X</v>
      </c>
      <c r="D388" t="str">
        <f t="shared" si="24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F388" t="str">
        <f t="shared" si="25"/>
        <v>_</v>
      </c>
      <c r="K388" t="str">
        <f t="shared" ca="1" si="26"/>
        <v>_XX_</v>
      </c>
      <c r="L388" t="str">
        <f t="shared" ca="1" si="27"/>
        <v/>
      </c>
      <c r="M388" t="str">
        <f>IFERROR(INDEX(Inventory!A:A,MATCH(Scan!A388,Inventory!E:E,0)),"")</f>
        <v/>
      </c>
    </row>
    <row r="389" spans="2:13" x14ac:dyDescent="0.3">
      <c r="B389" t="str">
        <f>IF(IFERROR(VLOOKUP(TRIM(A389),Inventory!E:E,1,0),0)=0,"X","_")</f>
        <v>_</v>
      </c>
      <c r="C389" t="str">
        <f>IF(IFERROR(VLOOKUP(TRIM(A389),'Full Inventory'!F:F,1,0),0)=0,"X","_")</f>
        <v>X</v>
      </c>
      <c r="D389" t="str">
        <f t="shared" si="24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F389" t="str">
        <f t="shared" si="25"/>
        <v>_</v>
      </c>
      <c r="K389" t="str">
        <f t="shared" ca="1" si="26"/>
        <v>_XX_</v>
      </c>
      <c r="L389" t="str">
        <f t="shared" ca="1" si="27"/>
        <v/>
      </c>
      <c r="M389" t="str">
        <f>IFERROR(INDEX(Inventory!A:A,MATCH(Scan!A389,Inventory!E:E,0)),"")</f>
        <v/>
      </c>
    </row>
    <row r="390" spans="2:13" x14ac:dyDescent="0.3">
      <c r="B390" t="str">
        <f>IF(IFERROR(VLOOKUP(TRIM(A390),Inventory!E:E,1,0),0)=0,"X","_")</f>
        <v>_</v>
      </c>
      <c r="C390" t="str">
        <f>IF(IFERROR(VLOOKUP(TRIM(A390),'Full Inventory'!F:F,1,0),0)=0,"X","_")</f>
        <v>X</v>
      </c>
      <c r="D390" t="str">
        <f t="shared" si="24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F390" t="str">
        <f t="shared" si="25"/>
        <v>_</v>
      </c>
      <c r="K390" t="str">
        <f t="shared" ca="1" si="26"/>
        <v>_XX_</v>
      </c>
      <c r="L390" t="str">
        <f t="shared" ca="1" si="27"/>
        <v/>
      </c>
      <c r="M390" t="str">
        <f>IFERROR(INDEX(Inventory!A:A,MATCH(Scan!A390,Inventory!E:E,0)),"")</f>
        <v/>
      </c>
    </row>
    <row r="391" spans="2:13" x14ac:dyDescent="0.3">
      <c r="B391" t="str">
        <f>IF(IFERROR(VLOOKUP(TRIM(A391),Inventory!E:E,1,0),0)=0,"X","_")</f>
        <v>_</v>
      </c>
      <c r="C391" t="str">
        <f>IF(IFERROR(VLOOKUP(TRIM(A391),'Full Inventory'!F:F,1,0),0)=0,"X","_")</f>
        <v>X</v>
      </c>
      <c r="D391" t="str">
        <f t="shared" si="24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F391" t="str">
        <f t="shared" si="25"/>
        <v>_</v>
      </c>
      <c r="K391" t="str">
        <f t="shared" ca="1" si="26"/>
        <v>_XX_</v>
      </c>
      <c r="L391" t="str">
        <f t="shared" ca="1" si="27"/>
        <v/>
      </c>
      <c r="M391" t="str">
        <f>IFERROR(INDEX(Inventory!A:A,MATCH(Scan!A391,Inventory!E:E,0)),"")</f>
        <v/>
      </c>
    </row>
    <row r="392" spans="2:13" x14ac:dyDescent="0.3">
      <c r="B392" t="str">
        <f>IF(IFERROR(VLOOKUP(TRIM(A392),Inventory!E:E,1,0),0)=0,"X","_")</f>
        <v>_</v>
      </c>
      <c r="C392" t="str">
        <f>IF(IFERROR(VLOOKUP(TRIM(A392),'Full Inventory'!F:F,1,0),0)=0,"X","_")</f>
        <v>X</v>
      </c>
      <c r="D392" t="str">
        <f t="shared" si="24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F392" t="str">
        <f t="shared" si="25"/>
        <v>_</v>
      </c>
      <c r="K392" t="str">
        <f t="shared" ca="1" si="26"/>
        <v>_XX_</v>
      </c>
      <c r="L392" t="str">
        <f t="shared" ca="1" si="27"/>
        <v/>
      </c>
      <c r="M392" t="str">
        <f>IFERROR(INDEX(Inventory!A:A,MATCH(Scan!A392,Inventory!E:E,0)),"")</f>
        <v/>
      </c>
    </row>
    <row r="393" spans="2:13" x14ac:dyDescent="0.3">
      <c r="B393" t="str">
        <f>IF(IFERROR(VLOOKUP(TRIM(A393),Inventory!E:E,1,0),0)=0,"X","_")</f>
        <v>_</v>
      </c>
      <c r="C393" t="str">
        <f>IF(IFERROR(VLOOKUP(TRIM(A393),'Full Inventory'!F:F,1,0),0)=0,"X","_")</f>
        <v>X</v>
      </c>
      <c r="D393" t="str">
        <f t="shared" si="24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F393" t="str">
        <f t="shared" si="25"/>
        <v>_</v>
      </c>
      <c r="K393" t="str">
        <f t="shared" ca="1" si="26"/>
        <v>_XX_</v>
      </c>
      <c r="L393" t="str">
        <f t="shared" ca="1" si="27"/>
        <v/>
      </c>
      <c r="M393" t="str">
        <f>IFERROR(INDEX(Inventory!A:A,MATCH(Scan!A393,Inventory!E:E,0)),"")</f>
        <v/>
      </c>
    </row>
    <row r="394" spans="2:13" x14ac:dyDescent="0.3">
      <c r="B394" t="str">
        <f>IF(IFERROR(VLOOKUP(TRIM(A394),Inventory!E:E,1,0),0)=0,"X","_")</f>
        <v>_</v>
      </c>
      <c r="C394" t="str">
        <f>IF(IFERROR(VLOOKUP(TRIM(A394),'Full Inventory'!F:F,1,0),0)=0,"X","_")</f>
        <v>X</v>
      </c>
      <c r="D394" t="str">
        <f t="shared" si="24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F394" t="str">
        <f t="shared" si="25"/>
        <v>_</v>
      </c>
      <c r="K394" t="str">
        <f t="shared" ca="1" si="26"/>
        <v>_XX_</v>
      </c>
      <c r="L394" t="str">
        <f t="shared" ca="1" si="27"/>
        <v/>
      </c>
      <c r="M394" t="str">
        <f>IFERROR(INDEX(Inventory!A:A,MATCH(Scan!A394,Inventory!E:E,0)),"")</f>
        <v/>
      </c>
    </row>
    <row r="395" spans="2:13" x14ac:dyDescent="0.3">
      <c r="B395" t="str">
        <f>IF(IFERROR(VLOOKUP(TRIM(A395),Inventory!E:E,1,0),0)=0,"X","_")</f>
        <v>_</v>
      </c>
      <c r="C395" t="str">
        <f>IF(IFERROR(VLOOKUP(TRIM(A395),'Full Inventory'!F:F,1,0),0)=0,"X","_")</f>
        <v>X</v>
      </c>
      <c r="D395" t="str">
        <f t="shared" si="24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F395" t="str">
        <f t="shared" si="25"/>
        <v>_</v>
      </c>
      <c r="K395" t="str">
        <f t="shared" ca="1" si="26"/>
        <v>_XX_</v>
      </c>
      <c r="L395" t="str">
        <f t="shared" ca="1" si="27"/>
        <v/>
      </c>
      <c r="M395" t="str">
        <f>IFERROR(INDEX(Inventory!A:A,MATCH(Scan!A395,Inventory!E:E,0)),"")</f>
        <v/>
      </c>
    </row>
    <row r="396" spans="2:13" x14ac:dyDescent="0.3">
      <c r="B396" t="str">
        <f>IF(IFERROR(VLOOKUP(TRIM(A396),Inventory!E:E,1,0),0)=0,"X","_")</f>
        <v>_</v>
      </c>
      <c r="C396" t="str">
        <f>IF(IFERROR(VLOOKUP(TRIM(A396),'Full Inventory'!F:F,1,0),0)=0,"X","_")</f>
        <v>X</v>
      </c>
      <c r="D396" t="str">
        <f t="shared" si="24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F396" t="str">
        <f t="shared" si="25"/>
        <v>_</v>
      </c>
      <c r="K396" t="str">
        <f t="shared" ca="1" si="26"/>
        <v>_XX_</v>
      </c>
      <c r="L396" t="str">
        <f t="shared" ca="1" si="27"/>
        <v/>
      </c>
      <c r="M396" t="str">
        <f>IFERROR(INDEX(Inventory!A:A,MATCH(Scan!A396,Inventory!E:E,0)),"")</f>
        <v/>
      </c>
    </row>
    <row r="397" spans="2:13" x14ac:dyDescent="0.3">
      <c r="B397" t="str">
        <f>IF(IFERROR(VLOOKUP(TRIM(A397),Inventory!E:E,1,0),0)=0,"X","_")</f>
        <v>_</v>
      </c>
      <c r="C397" t="str">
        <f>IF(IFERROR(VLOOKUP(TRIM(A397),'Full Inventory'!F:F,1,0),0)=0,"X","_")</f>
        <v>X</v>
      </c>
      <c r="D397" t="str">
        <f t="shared" si="24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F397" t="str">
        <f t="shared" si="25"/>
        <v>_</v>
      </c>
      <c r="K397" t="str">
        <f t="shared" ca="1" si="26"/>
        <v>_XX_</v>
      </c>
      <c r="L397" t="str">
        <f t="shared" ca="1" si="27"/>
        <v/>
      </c>
      <c r="M397" t="str">
        <f>IFERROR(INDEX(Inventory!A:A,MATCH(Scan!A397,Inventory!E:E,0)),"")</f>
        <v/>
      </c>
    </row>
    <row r="398" spans="2:13" x14ac:dyDescent="0.3">
      <c r="B398" t="str">
        <f>IF(IFERROR(VLOOKUP(TRIM(A398),Inventory!E:E,1,0),0)=0,"X","_")</f>
        <v>_</v>
      </c>
      <c r="C398" t="str">
        <f>IF(IFERROR(VLOOKUP(TRIM(A398),'Full Inventory'!F:F,1,0),0)=0,"X","_")</f>
        <v>X</v>
      </c>
      <c r="D398" t="str">
        <f t="shared" si="24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F398" t="str">
        <f t="shared" si="25"/>
        <v>_</v>
      </c>
      <c r="K398" t="str">
        <f t="shared" ca="1" si="26"/>
        <v>_XX_</v>
      </c>
      <c r="L398" t="str">
        <f t="shared" ca="1" si="27"/>
        <v/>
      </c>
      <c r="M398" t="str">
        <f>IFERROR(INDEX(Inventory!A:A,MATCH(Scan!A398,Inventory!E:E,0)),"")</f>
        <v/>
      </c>
    </row>
    <row r="399" spans="2:13" x14ac:dyDescent="0.3">
      <c r="B399" t="str">
        <f>IF(IFERROR(VLOOKUP(TRIM(A399),Inventory!E:E,1,0),0)=0,"X","_")</f>
        <v>_</v>
      </c>
      <c r="C399" t="str">
        <f>IF(IFERROR(VLOOKUP(TRIM(A399),'Full Inventory'!F:F,1,0),0)=0,"X","_")</f>
        <v>X</v>
      </c>
      <c r="D399" t="str">
        <f t="shared" si="24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F399" t="str">
        <f t="shared" si="25"/>
        <v>_</v>
      </c>
      <c r="K399" t="str">
        <f t="shared" ca="1" si="26"/>
        <v>_XX_</v>
      </c>
      <c r="L399" t="str">
        <f t="shared" ca="1" si="27"/>
        <v/>
      </c>
      <c r="M399" t="str">
        <f>IFERROR(INDEX(Inventory!A:A,MATCH(Scan!A399,Inventory!E:E,0)),"")</f>
        <v/>
      </c>
    </row>
    <row r="400" spans="2:13" x14ac:dyDescent="0.3">
      <c r="B400" t="str">
        <f>IF(IFERROR(VLOOKUP(TRIM(A400),Inventory!E:E,1,0),0)=0,"X","_")</f>
        <v>_</v>
      </c>
      <c r="C400" t="str">
        <f>IF(IFERROR(VLOOKUP(TRIM(A400),'Full Inventory'!F:F,1,0),0)=0,"X","_")</f>
        <v>X</v>
      </c>
      <c r="D400" t="str">
        <f t="shared" si="24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F400" t="str">
        <f t="shared" si="25"/>
        <v>_</v>
      </c>
      <c r="K400" t="str">
        <f t="shared" ca="1" si="26"/>
        <v>_XX_</v>
      </c>
      <c r="L400" t="str">
        <f t="shared" ca="1" si="27"/>
        <v/>
      </c>
      <c r="M400" t="str">
        <f>IFERROR(INDEX(Inventory!A:A,MATCH(Scan!A400,Inventory!E:E,0)),"")</f>
        <v/>
      </c>
    </row>
    <row r="401" spans="2:13" x14ac:dyDescent="0.3">
      <c r="B401" t="str">
        <f>IF(IFERROR(VLOOKUP(TRIM(A401),Inventory!E:E,1,0),0)=0,"X","_")</f>
        <v>_</v>
      </c>
      <c r="C401" t="str">
        <f>IF(IFERROR(VLOOKUP(TRIM(A401),'Full Inventory'!F:F,1,0),0)=0,"X","_")</f>
        <v>X</v>
      </c>
      <c r="D401" t="str">
        <f t="shared" si="24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F401" t="str">
        <f t="shared" si="25"/>
        <v>_</v>
      </c>
      <c r="K401" t="str">
        <f t="shared" ca="1" si="26"/>
        <v>_XX_</v>
      </c>
      <c r="L401" t="str">
        <f t="shared" ca="1" si="27"/>
        <v/>
      </c>
      <c r="M401" t="str">
        <f>IFERROR(INDEX(Inventory!A:A,MATCH(Scan!A401,Inventory!E:E,0)),"")</f>
        <v/>
      </c>
    </row>
    <row r="402" spans="2:13" x14ac:dyDescent="0.3">
      <c r="B402" t="str">
        <f>IF(IFERROR(VLOOKUP(TRIM(A402),Inventory!E:E,1,0),0)=0,"X","_")</f>
        <v>_</v>
      </c>
      <c r="C402" t="str">
        <f>IF(IFERROR(VLOOKUP(TRIM(A402),'Full Inventory'!F:F,1,0),0)=0,"X","_")</f>
        <v>X</v>
      </c>
      <c r="D402" t="str">
        <f t="shared" si="24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F402" t="str">
        <f t="shared" si="25"/>
        <v>_</v>
      </c>
      <c r="K402" t="str">
        <f t="shared" ca="1" si="26"/>
        <v>_XX_</v>
      </c>
      <c r="L402" t="str">
        <f t="shared" ca="1" si="27"/>
        <v/>
      </c>
      <c r="M402" t="str">
        <f>IFERROR(INDEX(Inventory!A:A,MATCH(Scan!A402,Inventory!E:E,0)),"")</f>
        <v/>
      </c>
    </row>
    <row r="403" spans="2:13" x14ac:dyDescent="0.3">
      <c r="B403" t="str">
        <f>IF(IFERROR(VLOOKUP(TRIM(A403),Inventory!E:E,1,0),0)=0,"X","_")</f>
        <v>_</v>
      </c>
      <c r="C403" t="str">
        <f>IF(IFERROR(VLOOKUP(TRIM(A403),'Full Inventory'!F:F,1,0),0)=0,"X","_")</f>
        <v>X</v>
      </c>
      <c r="D403" t="str">
        <f t="shared" si="24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F403" t="str">
        <f t="shared" si="25"/>
        <v>_</v>
      </c>
      <c r="K403" t="str">
        <f t="shared" ca="1" si="26"/>
        <v>_XX_</v>
      </c>
      <c r="L403" t="str">
        <f t="shared" ca="1" si="27"/>
        <v/>
      </c>
      <c r="M403" t="str">
        <f>IFERROR(INDEX(Inventory!A:A,MATCH(Scan!A403,Inventory!E:E,0)),"")</f>
        <v/>
      </c>
    </row>
    <row r="404" spans="2:13" x14ac:dyDescent="0.3">
      <c r="B404" t="str">
        <f>IF(IFERROR(VLOOKUP(TRIM(A404),Inventory!E:E,1,0),0)=0,"X","_")</f>
        <v>_</v>
      </c>
      <c r="C404" t="str">
        <f>IF(IFERROR(VLOOKUP(TRIM(A404),'Full Inventory'!F:F,1,0),0)=0,"X","_")</f>
        <v>X</v>
      </c>
      <c r="D404" t="str">
        <f t="shared" si="24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F404" t="str">
        <f t="shared" si="25"/>
        <v>_</v>
      </c>
      <c r="K404" t="str">
        <f t="shared" ca="1" si="26"/>
        <v>_XX_</v>
      </c>
      <c r="L404" t="str">
        <f t="shared" ca="1" si="27"/>
        <v/>
      </c>
      <c r="M404" t="str">
        <f>IFERROR(INDEX(Inventory!A:A,MATCH(Scan!A404,Inventory!E:E,0)),"")</f>
        <v/>
      </c>
    </row>
    <row r="405" spans="2:13" x14ac:dyDescent="0.3">
      <c r="B405" t="str">
        <f>IF(IFERROR(VLOOKUP(TRIM(A405),Inventory!E:E,1,0),0)=0,"X","_")</f>
        <v>_</v>
      </c>
      <c r="C405" t="str">
        <f>IF(IFERROR(VLOOKUP(TRIM(A405),'Full Inventory'!F:F,1,0),0)=0,"X","_")</f>
        <v>X</v>
      </c>
      <c r="D405" t="str">
        <f t="shared" si="24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F405" t="str">
        <f t="shared" si="25"/>
        <v>_</v>
      </c>
      <c r="K405" t="str">
        <f t="shared" ca="1" si="26"/>
        <v>_XX_</v>
      </c>
      <c r="L405" t="str">
        <f t="shared" ca="1" si="27"/>
        <v/>
      </c>
      <c r="M405" t="str">
        <f>IFERROR(INDEX(Inventory!A:A,MATCH(Scan!A405,Inventory!E:E,0)),"")</f>
        <v/>
      </c>
    </row>
    <row r="406" spans="2:13" x14ac:dyDescent="0.3">
      <c r="B406" t="str">
        <f>IF(IFERROR(VLOOKUP(TRIM(A406),Inventory!E:E,1,0),0)=0,"X","_")</f>
        <v>_</v>
      </c>
      <c r="C406" t="str">
        <f>IF(IFERROR(VLOOKUP(TRIM(A406),'Full Inventory'!F:F,1,0),0)=0,"X","_")</f>
        <v>X</v>
      </c>
      <c r="D406" t="str">
        <f t="shared" si="24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F406" t="str">
        <f t="shared" si="25"/>
        <v>_</v>
      </c>
      <c r="K406" t="str">
        <f t="shared" ca="1" si="26"/>
        <v>_XX_</v>
      </c>
      <c r="L406" t="str">
        <f t="shared" ca="1" si="27"/>
        <v/>
      </c>
      <c r="M406" t="str">
        <f>IFERROR(INDEX(Inventory!A:A,MATCH(Scan!A406,Inventory!E:E,0)),"")</f>
        <v/>
      </c>
    </row>
    <row r="407" spans="2:13" x14ac:dyDescent="0.3">
      <c r="B407" t="str">
        <f>IF(IFERROR(VLOOKUP(TRIM(A407),Inventory!E:E,1,0),0)=0,"X","_")</f>
        <v>_</v>
      </c>
      <c r="C407" t="str">
        <f>IF(IFERROR(VLOOKUP(TRIM(A407),'Full Inventory'!F:F,1,0),0)=0,"X","_")</f>
        <v>X</v>
      </c>
      <c r="D407" t="str">
        <f t="shared" si="24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F407" t="str">
        <f t="shared" si="25"/>
        <v>_</v>
      </c>
      <c r="K407" t="str">
        <f t="shared" ca="1" si="26"/>
        <v>_XX_</v>
      </c>
      <c r="L407" t="str">
        <f t="shared" ca="1" si="27"/>
        <v/>
      </c>
      <c r="M407" t="str">
        <f>IFERROR(INDEX(Inventory!A:A,MATCH(Scan!A407,Inventory!E:E,0)),"")</f>
        <v/>
      </c>
    </row>
    <row r="408" spans="2:13" x14ac:dyDescent="0.3">
      <c r="B408" t="str">
        <f>IF(IFERROR(VLOOKUP(TRIM(A408),Inventory!E:E,1,0),0)=0,"X","_")</f>
        <v>_</v>
      </c>
      <c r="C408" t="str">
        <f>IF(IFERROR(VLOOKUP(TRIM(A408),'Full Inventory'!F:F,1,0),0)=0,"X","_")</f>
        <v>X</v>
      </c>
      <c r="D408" t="str">
        <f t="shared" si="24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F408" t="str">
        <f t="shared" si="25"/>
        <v>_</v>
      </c>
      <c r="K408" t="str">
        <f t="shared" ca="1" si="26"/>
        <v>_XX_</v>
      </c>
      <c r="L408" t="str">
        <f t="shared" ca="1" si="27"/>
        <v/>
      </c>
      <c r="M408" t="str">
        <f>IFERROR(INDEX(Inventory!A:A,MATCH(Scan!A408,Inventory!E:E,0)),"")</f>
        <v/>
      </c>
    </row>
    <row r="409" spans="2:13" x14ac:dyDescent="0.3">
      <c r="B409" t="str">
        <f>IF(IFERROR(VLOOKUP(TRIM(A409),Inventory!E:E,1,0),0)=0,"X","_")</f>
        <v>_</v>
      </c>
      <c r="C409" t="str">
        <f>IF(IFERROR(VLOOKUP(TRIM(A409),'Full Inventory'!F:F,1,0),0)=0,"X","_")</f>
        <v>X</v>
      </c>
      <c r="D409" t="str">
        <f t="shared" si="24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F409" t="str">
        <f t="shared" si="25"/>
        <v>_</v>
      </c>
      <c r="K409" t="str">
        <f t="shared" ca="1" si="26"/>
        <v>_XX_</v>
      </c>
      <c r="L409" t="str">
        <f t="shared" ca="1" si="27"/>
        <v/>
      </c>
      <c r="M409" t="str">
        <f>IFERROR(INDEX(Inventory!A:A,MATCH(Scan!A409,Inventory!E:E,0)),"")</f>
        <v/>
      </c>
    </row>
    <row r="410" spans="2:13" x14ac:dyDescent="0.3">
      <c r="B410" t="str">
        <f>IF(IFERROR(VLOOKUP(TRIM(A410),Inventory!E:E,1,0),0)=0,"X","_")</f>
        <v>_</v>
      </c>
      <c r="C410" t="str">
        <f>IF(IFERROR(VLOOKUP(TRIM(A410),'Full Inventory'!F:F,1,0),0)=0,"X","_")</f>
        <v>X</v>
      </c>
      <c r="D410" t="str">
        <f t="shared" si="24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F410" t="str">
        <f t="shared" si="25"/>
        <v>_</v>
      </c>
      <c r="K410" t="str">
        <f t="shared" ca="1" si="26"/>
        <v>_XX_</v>
      </c>
      <c r="L410" t="str">
        <f t="shared" ca="1" si="27"/>
        <v/>
      </c>
      <c r="M410" t="str">
        <f>IFERROR(INDEX(Inventory!A:A,MATCH(Scan!A410,Inventory!E:E,0)),"")</f>
        <v/>
      </c>
    </row>
    <row r="411" spans="2:13" x14ac:dyDescent="0.3">
      <c r="B411" t="str">
        <f>IF(IFERROR(VLOOKUP(TRIM(A411),Inventory!E:E,1,0),0)=0,"X","_")</f>
        <v>_</v>
      </c>
      <c r="C411" t="str">
        <f>IF(IFERROR(VLOOKUP(TRIM(A411),'Full Inventory'!F:F,1,0),0)=0,"X","_")</f>
        <v>X</v>
      </c>
      <c r="D411" t="str">
        <f t="shared" si="24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F411" t="str">
        <f t="shared" si="25"/>
        <v>_</v>
      </c>
      <c r="K411" t="str">
        <f t="shared" ca="1" si="26"/>
        <v>_XX_</v>
      </c>
      <c r="L411" t="str">
        <f t="shared" ca="1" si="27"/>
        <v/>
      </c>
      <c r="M411" t="str">
        <f>IFERROR(INDEX(Inventory!A:A,MATCH(Scan!A411,Inventory!E:E,0)),"")</f>
        <v/>
      </c>
    </row>
    <row r="412" spans="2:13" x14ac:dyDescent="0.3">
      <c r="B412" t="str">
        <f>IF(IFERROR(VLOOKUP(TRIM(A412),Inventory!E:E,1,0),0)=0,"X","_")</f>
        <v>_</v>
      </c>
      <c r="C412" t="str">
        <f>IF(IFERROR(VLOOKUP(TRIM(A412),'Full Inventory'!F:F,1,0),0)=0,"X","_")</f>
        <v>X</v>
      </c>
      <c r="D412" t="str">
        <f t="shared" si="24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F412" t="str">
        <f t="shared" si="25"/>
        <v>_</v>
      </c>
      <c r="K412" t="str">
        <f t="shared" ca="1" si="26"/>
        <v>_XX_</v>
      </c>
      <c r="L412" t="str">
        <f t="shared" ca="1" si="27"/>
        <v/>
      </c>
      <c r="M412" t="str">
        <f>IFERROR(INDEX(Inventory!A:A,MATCH(Scan!A412,Inventory!E:E,0)),"")</f>
        <v/>
      </c>
    </row>
    <row r="413" spans="2:13" x14ac:dyDescent="0.3">
      <c r="B413" t="str">
        <f>IF(IFERROR(VLOOKUP(TRIM(A413),Inventory!E:E,1,0),0)=0,"X","_")</f>
        <v>_</v>
      </c>
      <c r="C413" t="str">
        <f>IF(IFERROR(VLOOKUP(TRIM(A413),'Full Inventory'!F:F,1,0),0)=0,"X","_")</f>
        <v>X</v>
      </c>
      <c r="D413" t="str">
        <f t="shared" si="24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F413" t="str">
        <f t="shared" si="25"/>
        <v>_</v>
      </c>
      <c r="K413" t="str">
        <f t="shared" ca="1" si="26"/>
        <v>_XX_</v>
      </c>
      <c r="L413" t="str">
        <f t="shared" ca="1" si="27"/>
        <v/>
      </c>
      <c r="M413" t="str">
        <f>IFERROR(INDEX(Inventory!A:A,MATCH(Scan!A413,Inventory!E:E,0)),"")</f>
        <v/>
      </c>
    </row>
    <row r="414" spans="2:13" x14ac:dyDescent="0.3">
      <c r="B414" t="str">
        <f>IF(IFERROR(VLOOKUP(TRIM(A414),Inventory!E:E,1,0),0)=0,"X","_")</f>
        <v>_</v>
      </c>
      <c r="C414" t="str">
        <f>IF(IFERROR(VLOOKUP(TRIM(A414),'Full Inventory'!F:F,1,0),0)=0,"X","_")</f>
        <v>X</v>
      </c>
      <c r="D414" t="str">
        <f t="shared" si="24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F414" t="str">
        <f t="shared" si="25"/>
        <v>_</v>
      </c>
      <c r="K414" t="str">
        <f t="shared" ca="1" si="26"/>
        <v>_XX_</v>
      </c>
      <c r="L414" t="str">
        <f t="shared" ca="1" si="27"/>
        <v/>
      </c>
      <c r="M414" t="str">
        <f>IFERROR(INDEX(Inventory!A:A,MATCH(Scan!A414,Inventory!E:E,0)),"")</f>
        <v/>
      </c>
    </row>
    <row r="415" spans="2:13" x14ac:dyDescent="0.3">
      <c r="B415" t="str">
        <f>IF(IFERROR(VLOOKUP(TRIM(A415),Inventory!E:E,1,0),0)=0,"X","_")</f>
        <v>_</v>
      </c>
      <c r="C415" t="str">
        <f>IF(IFERROR(VLOOKUP(TRIM(A415),'Full Inventory'!F:F,1,0),0)=0,"X","_")</f>
        <v>X</v>
      </c>
      <c r="D415" t="str">
        <f t="shared" si="24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F415" t="str">
        <f t="shared" si="25"/>
        <v>_</v>
      </c>
      <c r="K415" t="str">
        <f t="shared" ca="1" si="26"/>
        <v>_XX_</v>
      </c>
      <c r="L415" t="str">
        <f t="shared" ca="1" si="27"/>
        <v/>
      </c>
      <c r="M415" t="str">
        <f>IFERROR(INDEX(Inventory!A:A,MATCH(Scan!A415,Inventory!E:E,0)),"")</f>
        <v/>
      </c>
    </row>
    <row r="416" spans="2:13" x14ac:dyDescent="0.3">
      <c r="B416" t="str">
        <f>IF(IFERROR(VLOOKUP(TRIM(A416),Inventory!E:E,1,0),0)=0,"X","_")</f>
        <v>_</v>
      </c>
      <c r="C416" t="str">
        <f>IF(IFERROR(VLOOKUP(TRIM(A416),'Full Inventory'!F:F,1,0),0)=0,"X","_")</f>
        <v>X</v>
      </c>
      <c r="D416" t="str">
        <f t="shared" si="24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F416" t="str">
        <f t="shared" si="25"/>
        <v>_</v>
      </c>
      <c r="K416" t="str">
        <f t="shared" ca="1" si="26"/>
        <v>_XX_</v>
      </c>
      <c r="L416" t="str">
        <f t="shared" ca="1" si="27"/>
        <v/>
      </c>
      <c r="M416" t="str">
        <f>IFERROR(INDEX(Inventory!A:A,MATCH(Scan!A416,Inventory!E:E,0)),"")</f>
        <v/>
      </c>
    </row>
    <row r="417" spans="2:13" x14ac:dyDescent="0.3">
      <c r="B417" t="str">
        <f>IF(IFERROR(VLOOKUP(TRIM(A417),Inventory!E:E,1,0),0)=0,"X","_")</f>
        <v>_</v>
      </c>
      <c r="C417" t="str">
        <f>IF(IFERROR(VLOOKUP(TRIM(A417),'Full Inventory'!F:F,1,0),0)=0,"X","_")</f>
        <v>X</v>
      </c>
      <c r="D417" t="str">
        <f t="shared" si="24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F417" t="str">
        <f t="shared" si="25"/>
        <v>_</v>
      </c>
      <c r="K417" t="str">
        <f t="shared" ca="1" si="26"/>
        <v>_XX_</v>
      </c>
      <c r="L417" t="str">
        <f t="shared" ca="1" si="27"/>
        <v/>
      </c>
      <c r="M417" t="str">
        <f>IFERROR(INDEX(Inventory!A:A,MATCH(Scan!A417,Inventory!E:E,0)),"")</f>
        <v/>
      </c>
    </row>
    <row r="418" spans="2:13" x14ac:dyDescent="0.3">
      <c r="B418" t="str">
        <f>IF(IFERROR(VLOOKUP(TRIM(A418),Inventory!E:E,1,0),0)=0,"X","_")</f>
        <v>_</v>
      </c>
      <c r="C418" t="str">
        <f>IF(IFERROR(VLOOKUP(TRIM(A418),'Full Inventory'!F:F,1,0),0)=0,"X","_")</f>
        <v>X</v>
      </c>
      <c r="D418" t="str">
        <f t="shared" si="24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F418" t="str">
        <f t="shared" si="25"/>
        <v>_</v>
      </c>
      <c r="K418" t="str">
        <f t="shared" ca="1" si="26"/>
        <v>_XX_</v>
      </c>
      <c r="L418" t="str">
        <f t="shared" ca="1" si="27"/>
        <v/>
      </c>
      <c r="M418" t="str">
        <f>IFERROR(INDEX(Inventory!A:A,MATCH(Scan!A418,Inventory!E:E,0)),"")</f>
        <v/>
      </c>
    </row>
    <row r="419" spans="2:13" x14ac:dyDescent="0.3">
      <c r="B419" t="str">
        <f>IF(IFERROR(VLOOKUP(TRIM(A419),Inventory!E:E,1,0),0)=0,"X","_")</f>
        <v>_</v>
      </c>
      <c r="C419" t="str">
        <f>IF(IFERROR(VLOOKUP(TRIM(A419),'Full Inventory'!F:F,1,0),0)=0,"X","_")</f>
        <v>X</v>
      </c>
      <c r="D419" t="str">
        <f t="shared" si="24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F419" t="str">
        <f t="shared" si="25"/>
        <v>_</v>
      </c>
      <c r="K419" t="str">
        <f t="shared" ca="1" si="26"/>
        <v>_XX_</v>
      </c>
      <c r="L419" t="str">
        <f t="shared" ca="1" si="27"/>
        <v/>
      </c>
      <c r="M419" t="str">
        <f>IFERROR(INDEX(Inventory!A:A,MATCH(Scan!A419,Inventory!E:E,0)),"")</f>
        <v/>
      </c>
    </row>
    <row r="420" spans="2:13" x14ac:dyDescent="0.3">
      <c r="B420" t="str">
        <f>IF(IFERROR(VLOOKUP(TRIM(A420),Inventory!E:E,1,0),0)=0,"X","_")</f>
        <v>_</v>
      </c>
      <c r="C420" t="str">
        <f>IF(IFERROR(VLOOKUP(TRIM(A420),'Full Inventory'!F:F,1,0),0)=0,"X","_")</f>
        <v>X</v>
      </c>
      <c r="D420" t="str">
        <f t="shared" si="24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F420" t="str">
        <f t="shared" si="25"/>
        <v>_</v>
      </c>
      <c r="K420" t="str">
        <f t="shared" ca="1" si="26"/>
        <v>_XX_</v>
      </c>
      <c r="L420" t="str">
        <f t="shared" ca="1" si="27"/>
        <v/>
      </c>
      <c r="M420" t="str">
        <f>IFERROR(INDEX(Inventory!A:A,MATCH(Scan!A420,Inventory!E:E,0)),"")</f>
        <v/>
      </c>
    </row>
    <row r="421" spans="2:13" x14ac:dyDescent="0.3">
      <c r="B421" t="str">
        <f>IF(IFERROR(VLOOKUP(TRIM(A421),Inventory!E:E,1,0),0)=0,"X","_")</f>
        <v>_</v>
      </c>
      <c r="C421" t="str">
        <f>IF(IFERROR(VLOOKUP(TRIM(A421),'Full Inventory'!F:F,1,0),0)=0,"X","_")</f>
        <v>X</v>
      </c>
      <c r="D421" t="str">
        <f t="shared" si="24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F421" t="str">
        <f t="shared" si="25"/>
        <v>_</v>
      </c>
      <c r="K421" t="str">
        <f t="shared" ca="1" si="26"/>
        <v>_XX_</v>
      </c>
      <c r="L421" t="str">
        <f t="shared" ca="1" si="27"/>
        <v/>
      </c>
      <c r="M421" t="str">
        <f>IFERROR(INDEX(Inventory!A:A,MATCH(Scan!A421,Inventory!E:E,0)),"")</f>
        <v/>
      </c>
    </row>
    <row r="422" spans="2:13" x14ac:dyDescent="0.3">
      <c r="B422" t="str">
        <f>IF(IFERROR(VLOOKUP(TRIM(A422),Inventory!E:E,1,0),0)=0,"X","_")</f>
        <v>_</v>
      </c>
      <c r="C422" t="str">
        <f>IF(IFERROR(VLOOKUP(TRIM(A422),'Full Inventory'!F:F,1,0),0)=0,"X","_")</f>
        <v>X</v>
      </c>
      <c r="D422" t="str">
        <f t="shared" si="24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F422" t="str">
        <f t="shared" si="25"/>
        <v>_</v>
      </c>
      <c r="K422" t="str">
        <f t="shared" ca="1" si="26"/>
        <v>_XX_</v>
      </c>
      <c r="L422" t="str">
        <f t="shared" ca="1" si="27"/>
        <v/>
      </c>
      <c r="M422" t="str">
        <f>IFERROR(INDEX(Inventory!A:A,MATCH(Scan!A422,Inventory!E:E,0)),"")</f>
        <v/>
      </c>
    </row>
    <row r="423" spans="2:13" x14ac:dyDescent="0.3">
      <c r="B423" t="str">
        <f>IF(IFERROR(VLOOKUP(TRIM(A423),Inventory!E:E,1,0),0)=0,"X","_")</f>
        <v>_</v>
      </c>
      <c r="C423" t="str">
        <f>IF(IFERROR(VLOOKUP(TRIM(A423),'Full Inventory'!F:F,1,0),0)=0,"X","_")</f>
        <v>X</v>
      </c>
      <c r="D423" t="str">
        <f t="shared" si="24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F423" t="str">
        <f t="shared" si="25"/>
        <v>_</v>
      </c>
      <c r="K423" t="str">
        <f t="shared" ca="1" si="26"/>
        <v>_XX_</v>
      </c>
      <c r="L423" t="str">
        <f t="shared" ca="1" si="27"/>
        <v/>
      </c>
      <c r="M423" t="str">
        <f>IFERROR(INDEX(Inventory!A:A,MATCH(Scan!A423,Inventory!E:E,0)),"")</f>
        <v/>
      </c>
    </row>
    <row r="424" spans="2:13" x14ac:dyDescent="0.3">
      <c r="B424" t="str">
        <f>IF(IFERROR(VLOOKUP(TRIM(A424),Inventory!E:E,1,0),0)=0,"X","_")</f>
        <v>_</v>
      </c>
      <c r="C424" t="str">
        <f>IF(IFERROR(VLOOKUP(TRIM(A424),'Full Inventory'!F:F,1,0),0)=0,"X","_")</f>
        <v>X</v>
      </c>
      <c r="D424" t="str">
        <f t="shared" si="24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F424" t="str">
        <f t="shared" si="25"/>
        <v>_</v>
      </c>
      <c r="K424" t="str">
        <f t="shared" ca="1" si="26"/>
        <v>_XX_</v>
      </c>
      <c r="L424" t="str">
        <f t="shared" ca="1" si="27"/>
        <v/>
      </c>
      <c r="M424" t="str">
        <f>IFERROR(INDEX(Inventory!A:A,MATCH(Scan!A424,Inventory!E:E,0)),"")</f>
        <v/>
      </c>
    </row>
    <row r="425" spans="2:13" x14ac:dyDescent="0.3">
      <c r="B425" t="str">
        <f>IF(IFERROR(VLOOKUP(TRIM(A425),Inventory!E:E,1,0),0)=0,"X","_")</f>
        <v>_</v>
      </c>
      <c r="C425" t="str">
        <f>IF(IFERROR(VLOOKUP(TRIM(A425),'Full Inventory'!F:F,1,0),0)=0,"X","_")</f>
        <v>X</v>
      </c>
      <c r="D425" t="str">
        <f t="shared" si="24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F425" t="str">
        <f t="shared" si="25"/>
        <v>_</v>
      </c>
      <c r="K425" t="str">
        <f t="shared" ca="1" si="26"/>
        <v>_XX_</v>
      </c>
      <c r="L425" t="str">
        <f t="shared" ca="1" si="27"/>
        <v/>
      </c>
      <c r="M425" t="str">
        <f>IFERROR(INDEX(Inventory!A:A,MATCH(Scan!A425,Inventory!E:E,0)),"")</f>
        <v/>
      </c>
    </row>
    <row r="426" spans="2:13" x14ac:dyDescent="0.3">
      <c r="B426" t="str">
        <f>IF(IFERROR(VLOOKUP(TRIM(A426),Inventory!E:E,1,0),0)=0,"X","_")</f>
        <v>_</v>
      </c>
      <c r="C426" t="str">
        <f>IF(IFERROR(VLOOKUP(TRIM(A426),'Full Inventory'!F:F,1,0),0)=0,"X","_")</f>
        <v>X</v>
      </c>
      <c r="D426" t="str">
        <f t="shared" si="24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F426" t="str">
        <f t="shared" si="25"/>
        <v>_</v>
      </c>
      <c r="K426" t="str">
        <f t="shared" ca="1" si="26"/>
        <v>_XX_</v>
      </c>
      <c r="L426" t="str">
        <f t="shared" ca="1" si="27"/>
        <v/>
      </c>
      <c r="M426" t="str">
        <f>IFERROR(INDEX(Inventory!A:A,MATCH(Scan!A426,Inventory!E:E,0)),"")</f>
        <v/>
      </c>
    </row>
    <row r="427" spans="2:13" x14ac:dyDescent="0.3">
      <c r="B427" t="str">
        <f>IF(IFERROR(VLOOKUP(TRIM(A427),Inventory!E:E,1,0),0)=0,"X","_")</f>
        <v>_</v>
      </c>
      <c r="C427" t="str">
        <f>IF(IFERROR(VLOOKUP(TRIM(A427),'Full Inventory'!F:F,1,0),0)=0,"X","_")</f>
        <v>X</v>
      </c>
      <c r="D427" t="str">
        <f t="shared" si="24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F427" t="str">
        <f t="shared" si="25"/>
        <v>_</v>
      </c>
      <c r="K427" t="str">
        <f t="shared" ca="1" si="26"/>
        <v>_XX_</v>
      </c>
      <c r="L427" t="str">
        <f t="shared" ca="1" si="27"/>
        <v/>
      </c>
      <c r="M427" t="str">
        <f>IFERROR(INDEX(Inventory!A:A,MATCH(Scan!A427,Inventory!E:E,0)),"")</f>
        <v/>
      </c>
    </row>
    <row r="428" spans="2:13" x14ac:dyDescent="0.3">
      <c r="B428" t="str">
        <f>IF(IFERROR(VLOOKUP(TRIM(A428),Inventory!E:E,1,0),0)=0,"X","_")</f>
        <v>_</v>
      </c>
      <c r="C428" t="str">
        <f>IF(IFERROR(VLOOKUP(TRIM(A428),'Full Inventory'!F:F,1,0),0)=0,"X","_")</f>
        <v>X</v>
      </c>
      <c r="D428" t="str">
        <f t="shared" si="24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F428" t="str">
        <f t="shared" si="25"/>
        <v>_</v>
      </c>
      <c r="K428" t="str">
        <f t="shared" ca="1" si="26"/>
        <v>_XX_</v>
      </c>
      <c r="L428" t="str">
        <f t="shared" ca="1" si="27"/>
        <v/>
      </c>
      <c r="M428" t="str">
        <f>IFERROR(INDEX(Inventory!A:A,MATCH(Scan!A428,Inventory!E:E,0)),"")</f>
        <v/>
      </c>
    </row>
    <row r="429" spans="2:13" x14ac:dyDescent="0.3">
      <c r="B429" t="str">
        <f>IF(IFERROR(VLOOKUP(TRIM(A429),Inventory!E:E,1,0),0)=0,"X","_")</f>
        <v>_</v>
      </c>
      <c r="C429" t="str">
        <f>IF(IFERROR(VLOOKUP(TRIM(A429),'Full Inventory'!F:F,1,0),0)=0,"X","_")</f>
        <v>X</v>
      </c>
      <c r="D429" t="str">
        <f t="shared" si="24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F429" t="str">
        <f t="shared" si="25"/>
        <v>_</v>
      </c>
      <c r="K429" t="str">
        <f t="shared" ca="1" si="26"/>
        <v>_XX_</v>
      </c>
      <c r="L429" t="str">
        <f t="shared" ca="1" si="27"/>
        <v/>
      </c>
      <c r="M429" t="str">
        <f>IFERROR(INDEX(Inventory!A:A,MATCH(Scan!A429,Inventory!E:E,0)),"")</f>
        <v/>
      </c>
    </row>
    <row r="430" spans="2:13" x14ac:dyDescent="0.3">
      <c r="B430" t="str">
        <f>IF(IFERROR(VLOOKUP(TRIM(A430),Inventory!E:E,1,0),0)=0,"X","_")</f>
        <v>_</v>
      </c>
      <c r="C430" t="str">
        <f>IF(IFERROR(VLOOKUP(TRIM(A430),'Full Inventory'!F:F,1,0),0)=0,"X","_")</f>
        <v>X</v>
      </c>
      <c r="D430" t="str">
        <f t="shared" si="24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F430" t="str">
        <f t="shared" si="25"/>
        <v>_</v>
      </c>
      <c r="K430" t="str">
        <f t="shared" ca="1" si="26"/>
        <v>_XX_</v>
      </c>
      <c r="L430" t="str">
        <f t="shared" ca="1" si="27"/>
        <v/>
      </c>
      <c r="M430" t="str">
        <f>IFERROR(INDEX(Inventory!A:A,MATCH(Scan!A430,Inventory!E:E,0)),"")</f>
        <v/>
      </c>
    </row>
    <row r="431" spans="2:13" x14ac:dyDescent="0.3">
      <c r="B431" t="str">
        <f>IF(IFERROR(VLOOKUP(TRIM(A431),Inventory!E:E,1,0),0)=0,"X","_")</f>
        <v>_</v>
      </c>
      <c r="C431" t="str">
        <f>IF(IFERROR(VLOOKUP(TRIM(A431),'Full Inventory'!F:F,1,0),0)=0,"X","_")</f>
        <v>X</v>
      </c>
      <c r="D431" t="str">
        <f t="shared" si="24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F431" t="str">
        <f t="shared" si="25"/>
        <v>_</v>
      </c>
      <c r="K431" t="str">
        <f t="shared" ca="1" si="26"/>
        <v>_XX_</v>
      </c>
      <c r="L431" t="str">
        <f t="shared" ca="1" si="27"/>
        <v/>
      </c>
      <c r="M431" t="str">
        <f>IFERROR(INDEX(Inventory!A:A,MATCH(Scan!A431,Inventory!E:E,0)),"")</f>
        <v/>
      </c>
    </row>
    <row r="432" spans="2:13" x14ac:dyDescent="0.3">
      <c r="B432" t="str">
        <f>IF(IFERROR(VLOOKUP(TRIM(A432),Inventory!E:E,1,0),0)=0,"X","_")</f>
        <v>_</v>
      </c>
      <c r="C432" t="str">
        <f>IF(IFERROR(VLOOKUP(TRIM(A432),'Full Inventory'!F:F,1,0),0)=0,"X","_")</f>
        <v>X</v>
      </c>
      <c r="D432" t="str">
        <f t="shared" si="24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F432" t="str">
        <f t="shared" si="25"/>
        <v>_</v>
      </c>
      <c r="K432" t="str">
        <f t="shared" ca="1" si="26"/>
        <v>_XX_</v>
      </c>
      <c r="L432" t="str">
        <f t="shared" ca="1" si="27"/>
        <v/>
      </c>
      <c r="M432" t="str">
        <f>IFERROR(INDEX(Inventory!A:A,MATCH(Scan!A432,Inventory!E:E,0)),"")</f>
        <v/>
      </c>
    </row>
    <row r="433" spans="2:13" x14ac:dyDescent="0.3">
      <c r="B433" t="str">
        <f>IF(IFERROR(VLOOKUP(TRIM(A433),Inventory!E:E,1,0),0)=0,"X","_")</f>
        <v>_</v>
      </c>
      <c r="C433" t="str">
        <f>IF(IFERROR(VLOOKUP(TRIM(A433),'Full Inventory'!F:F,1,0),0)=0,"X","_")</f>
        <v>X</v>
      </c>
      <c r="D433" t="str">
        <f t="shared" si="24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F433" t="str">
        <f t="shared" si="25"/>
        <v>_</v>
      </c>
      <c r="K433" t="str">
        <f t="shared" ca="1" si="26"/>
        <v>_XX_</v>
      </c>
      <c r="L433" t="str">
        <f t="shared" ca="1" si="27"/>
        <v/>
      </c>
      <c r="M433" t="str">
        <f>IFERROR(INDEX(Inventory!A:A,MATCH(Scan!A433,Inventory!E:E,0)),"")</f>
        <v/>
      </c>
    </row>
    <row r="434" spans="2:13" x14ac:dyDescent="0.3">
      <c r="B434" t="str">
        <f>IF(IFERROR(VLOOKUP(TRIM(A434),Inventory!E:E,1,0),0)=0,"X","_")</f>
        <v>_</v>
      </c>
      <c r="C434" t="str">
        <f>IF(IFERROR(VLOOKUP(TRIM(A434),'Full Inventory'!F:F,1,0),0)=0,"X","_")</f>
        <v>X</v>
      </c>
      <c r="D434" t="str">
        <f t="shared" si="24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F434" t="str">
        <f t="shared" si="25"/>
        <v>_</v>
      </c>
      <c r="K434" t="str">
        <f t="shared" ca="1" si="26"/>
        <v>_XX_</v>
      </c>
      <c r="L434" t="str">
        <f t="shared" ca="1" si="27"/>
        <v/>
      </c>
      <c r="M434" t="str">
        <f>IFERROR(INDEX(Inventory!A:A,MATCH(Scan!A434,Inventory!E:E,0)),"")</f>
        <v/>
      </c>
    </row>
    <row r="435" spans="2:13" x14ac:dyDescent="0.3">
      <c r="B435" t="str">
        <f>IF(IFERROR(VLOOKUP(TRIM(A435),Inventory!E:E,1,0),0)=0,"X","_")</f>
        <v>_</v>
      </c>
      <c r="C435" t="str">
        <f>IF(IFERROR(VLOOKUP(TRIM(A435),'Full Inventory'!F:F,1,0),0)=0,"X","_")</f>
        <v>X</v>
      </c>
      <c r="D435" t="str">
        <f t="shared" si="24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F435" t="str">
        <f t="shared" si="25"/>
        <v>_</v>
      </c>
      <c r="K435" t="str">
        <f t="shared" ca="1" si="26"/>
        <v>_XX_</v>
      </c>
      <c r="L435" t="str">
        <f t="shared" ca="1" si="27"/>
        <v/>
      </c>
      <c r="M435" t="str">
        <f>IFERROR(INDEX(Inventory!A:A,MATCH(Scan!A435,Inventory!E:E,0)),"")</f>
        <v/>
      </c>
    </row>
    <row r="436" spans="2:13" x14ac:dyDescent="0.3">
      <c r="B436" t="str">
        <f>IF(IFERROR(VLOOKUP(TRIM(A436),Inventory!E:E,1,0),0)=0,"X","_")</f>
        <v>_</v>
      </c>
      <c r="C436" t="str">
        <f>IF(IFERROR(VLOOKUP(TRIM(A436),'Full Inventory'!F:F,1,0),0)=0,"X","_")</f>
        <v>X</v>
      </c>
      <c r="D436" t="str">
        <f t="shared" si="24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F436" t="str">
        <f t="shared" si="25"/>
        <v>_</v>
      </c>
      <c r="K436" t="str">
        <f t="shared" ca="1" si="26"/>
        <v>_XX_</v>
      </c>
      <c r="L436" t="str">
        <f t="shared" ca="1" si="27"/>
        <v/>
      </c>
      <c r="M436" t="str">
        <f>IFERROR(INDEX(Inventory!A:A,MATCH(Scan!A436,Inventory!E:E,0)),"")</f>
        <v/>
      </c>
    </row>
    <row r="437" spans="2:13" x14ac:dyDescent="0.3">
      <c r="B437" t="str">
        <f>IF(IFERROR(VLOOKUP(TRIM(A437),Inventory!E:E,1,0),0)=0,"X","_")</f>
        <v>_</v>
      </c>
      <c r="C437" t="str">
        <f>IF(IFERROR(VLOOKUP(TRIM(A437),'Full Inventory'!F:F,1,0),0)=0,"X","_")</f>
        <v>X</v>
      </c>
      <c r="D437" t="str">
        <f t="shared" si="24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F437" t="str">
        <f t="shared" si="25"/>
        <v>_</v>
      </c>
      <c r="K437" t="str">
        <f t="shared" ca="1" si="26"/>
        <v>_XX_</v>
      </c>
      <c r="L437" t="str">
        <f t="shared" ca="1" si="27"/>
        <v/>
      </c>
      <c r="M437" t="str">
        <f>IFERROR(INDEX(Inventory!A:A,MATCH(Scan!A437,Inventory!E:E,0)),"")</f>
        <v/>
      </c>
    </row>
    <row r="438" spans="2:13" x14ac:dyDescent="0.3">
      <c r="B438" t="str">
        <f>IF(IFERROR(VLOOKUP(TRIM(A438),Inventory!E:E,1,0),0)=0,"X","_")</f>
        <v>_</v>
      </c>
      <c r="C438" t="str">
        <f>IF(IFERROR(VLOOKUP(TRIM(A438),'Full Inventory'!F:F,1,0),0)=0,"X","_")</f>
        <v>X</v>
      </c>
      <c r="D438" t="str">
        <f t="shared" si="24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F438" t="str">
        <f t="shared" si="25"/>
        <v>_</v>
      </c>
      <c r="K438" t="str">
        <f t="shared" ca="1" si="26"/>
        <v>_XX_</v>
      </c>
      <c r="L438" t="str">
        <f t="shared" ca="1" si="27"/>
        <v/>
      </c>
      <c r="M438" t="str">
        <f>IFERROR(INDEX(Inventory!A:A,MATCH(Scan!A438,Inventory!E:E,0)),"")</f>
        <v/>
      </c>
    </row>
    <row r="439" spans="2:13" x14ac:dyDescent="0.3">
      <c r="B439" t="str">
        <f>IF(IFERROR(VLOOKUP(TRIM(A439),Inventory!E:E,1,0),0)=0,"X","_")</f>
        <v>_</v>
      </c>
      <c r="C439" t="str">
        <f>IF(IFERROR(VLOOKUP(TRIM(A439),'Full Inventory'!F:F,1,0),0)=0,"X","_")</f>
        <v>X</v>
      </c>
      <c r="D439" t="str">
        <f t="shared" si="24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F439" t="str">
        <f t="shared" si="25"/>
        <v>_</v>
      </c>
      <c r="K439" t="str">
        <f t="shared" ca="1" si="26"/>
        <v>_XX_</v>
      </c>
      <c r="L439" t="str">
        <f t="shared" ca="1" si="27"/>
        <v/>
      </c>
      <c r="M439" t="str">
        <f>IFERROR(INDEX(Inventory!A:A,MATCH(Scan!A439,Inventory!E:E,0)),"")</f>
        <v/>
      </c>
    </row>
    <row r="440" spans="2:13" x14ac:dyDescent="0.3">
      <c r="B440" t="str">
        <f>IF(IFERROR(VLOOKUP(TRIM(A440),Inventory!E:E,1,0),0)=0,"X","_")</f>
        <v>_</v>
      </c>
      <c r="C440" t="str">
        <f>IF(IFERROR(VLOOKUP(TRIM(A440),'Full Inventory'!F:F,1,0),0)=0,"X","_")</f>
        <v>X</v>
      </c>
      <c r="D440" t="str">
        <f t="shared" si="24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F440" t="str">
        <f t="shared" si="25"/>
        <v>_</v>
      </c>
      <c r="K440" t="str">
        <f t="shared" ca="1" si="26"/>
        <v>_XX_</v>
      </c>
      <c r="L440" t="str">
        <f t="shared" ca="1" si="27"/>
        <v/>
      </c>
      <c r="M440" t="str">
        <f>IFERROR(INDEX(Inventory!A:A,MATCH(Scan!A440,Inventory!E:E,0)),"")</f>
        <v/>
      </c>
    </row>
    <row r="441" spans="2:13" x14ac:dyDescent="0.3">
      <c r="B441" t="str">
        <f>IF(IFERROR(VLOOKUP(TRIM(A441),Inventory!E:E,1,0),0)=0,"X","_")</f>
        <v>_</v>
      </c>
      <c r="C441" t="str">
        <f>IF(IFERROR(VLOOKUP(TRIM(A441),'Full Inventory'!F:F,1,0),0)=0,"X","_")</f>
        <v>X</v>
      </c>
      <c r="D441" t="str">
        <f t="shared" si="24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F441" t="str">
        <f t="shared" si="25"/>
        <v>_</v>
      </c>
      <c r="K441" t="str">
        <f t="shared" ca="1" si="26"/>
        <v>_XX_</v>
      </c>
      <c r="L441" t="str">
        <f t="shared" ca="1" si="27"/>
        <v/>
      </c>
      <c r="M441" t="str">
        <f>IFERROR(INDEX(Inventory!A:A,MATCH(Scan!A441,Inventory!E:E,0)),"")</f>
        <v/>
      </c>
    </row>
    <row r="442" spans="2:13" x14ac:dyDescent="0.3">
      <c r="B442" t="str">
        <f>IF(IFERROR(VLOOKUP(TRIM(A442),Inventory!E:E,1,0),0)=0,"X","_")</f>
        <v>_</v>
      </c>
      <c r="C442" t="str">
        <f>IF(IFERROR(VLOOKUP(TRIM(A442),'Full Inventory'!F:F,1,0),0)=0,"X","_")</f>
        <v>X</v>
      </c>
      <c r="D442" t="str">
        <f t="shared" si="24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F442" t="str">
        <f t="shared" si="25"/>
        <v>_</v>
      </c>
      <c r="K442" t="str">
        <f t="shared" ca="1" si="26"/>
        <v>_XX_</v>
      </c>
      <c r="L442" t="str">
        <f t="shared" ca="1" si="27"/>
        <v/>
      </c>
      <c r="M442" t="str">
        <f>IFERROR(INDEX(Inventory!A:A,MATCH(Scan!A442,Inventory!E:E,0)),"")</f>
        <v/>
      </c>
    </row>
    <row r="443" spans="2:13" x14ac:dyDescent="0.3">
      <c r="B443" t="str">
        <f>IF(IFERROR(VLOOKUP(TRIM(A443),Inventory!E:E,1,0),0)=0,"X","_")</f>
        <v>_</v>
      </c>
      <c r="C443" t="str">
        <f>IF(IFERROR(VLOOKUP(TRIM(A443),'Full Inventory'!F:F,1,0),0)=0,"X","_")</f>
        <v>X</v>
      </c>
      <c r="D443" t="str">
        <f t="shared" si="24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F443" t="str">
        <f t="shared" si="25"/>
        <v>_</v>
      </c>
      <c r="K443" t="str">
        <f t="shared" ca="1" si="26"/>
        <v>_XX_</v>
      </c>
      <c r="L443" t="str">
        <f t="shared" ca="1" si="27"/>
        <v/>
      </c>
      <c r="M443" t="str">
        <f>IFERROR(INDEX(Inventory!A:A,MATCH(Scan!A443,Inventory!E:E,0)),"")</f>
        <v/>
      </c>
    </row>
    <row r="444" spans="2:13" x14ac:dyDescent="0.3">
      <c r="B444" t="str">
        <f>IF(IFERROR(VLOOKUP(TRIM(A444),Inventory!E:E,1,0),0)=0,"X","_")</f>
        <v>_</v>
      </c>
      <c r="C444" t="str">
        <f>IF(IFERROR(VLOOKUP(TRIM(A444),'Full Inventory'!F:F,1,0),0)=0,"X","_")</f>
        <v>X</v>
      </c>
      <c r="D444" t="str">
        <f t="shared" si="24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F444" t="str">
        <f t="shared" si="25"/>
        <v>_</v>
      </c>
      <c r="K444" t="str">
        <f t="shared" ca="1" si="26"/>
        <v>_XX_</v>
      </c>
      <c r="L444" t="str">
        <f t="shared" ca="1" si="27"/>
        <v/>
      </c>
      <c r="M444" t="str">
        <f>IFERROR(INDEX(Inventory!A:A,MATCH(Scan!A444,Inventory!E:E,0)),"")</f>
        <v/>
      </c>
    </row>
    <row r="445" spans="2:13" x14ac:dyDescent="0.3">
      <c r="B445" t="str">
        <f>IF(IFERROR(VLOOKUP(TRIM(A445),Inventory!E:E,1,0),0)=0,"X","_")</f>
        <v>_</v>
      </c>
      <c r="C445" t="str">
        <f>IF(IFERROR(VLOOKUP(TRIM(A445),'Full Inventory'!F:F,1,0),0)=0,"X","_")</f>
        <v>X</v>
      </c>
      <c r="D445" t="str">
        <f t="shared" si="24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F445" t="str">
        <f t="shared" si="25"/>
        <v>_</v>
      </c>
      <c r="K445" t="str">
        <f t="shared" ca="1" si="26"/>
        <v>_XX_</v>
      </c>
      <c r="L445" t="str">
        <f t="shared" ca="1" si="27"/>
        <v/>
      </c>
      <c r="M445" t="str">
        <f>IFERROR(INDEX(Inventory!A:A,MATCH(Scan!A445,Inventory!E:E,0)),"")</f>
        <v/>
      </c>
    </row>
    <row r="446" spans="2:13" x14ac:dyDescent="0.3">
      <c r="B446" t="str">
        <f>IF(IFERROR(VLOOKUP(TRIM(A446),Inventory!E:E,1,0),0)=0,"X","_")</f>
        <v>_</v>
      </c>
      <c r="C446" t="str">
        <f>IF(IFERROR(VLOOKUP(TRIM(A446),'Full Inventory'!F:F,1,0),0)=0,"X","_")</f>
        <v>X</v>
      </c>
      <c r="D446" t="str">
        <f t="shared" si="24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F446" t="str">
        <f t="shared" si="25"/>
        <v>_</v>
      </c>
      <c r="K446" t="str">
        <f t="shared" ca="1" si="26"/>
        <v>_XX_</v>
      </c>
      <c r="L446" t="str">
        <f t="shared" ca="1" si="27"/>
        <v/>
      </c>
      <c r="M446" t="str">
        <f>IFERROR(INDEX(Inventory!A:A,MATCH(Scan!A446,Inventory!E:E,0)),"")</f>
        <v/>
      </c>
    </row>
    <row r="447" spans="2:13" x14ac:dyDescent="0.3">
      <c r="B447" t="str">
        <f>IF(IFERROR(VLOOKUP(TRIM(A447),Inventory!E:E,1,0),0)=0,"X","_")</f>
        <v>_</v>
      </c>
      <c r="C447" t="str">
        <f>IF(IFERROR(VLOOKUP(TRIM(A447),'Full Inventory'!F:F,1,0),0)=0,"X","_")</f>
        <v>X</v>
      </c>
      <c r="D447" t="str">
        <f t="shared" si="24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F447" t="str">
        <f t="shared" si="25"/>
        <v>_</v>
      </c>
      <c r="K447" t="str">
        <f t="shared" ca="1" si="26"/>
        <v>_XX_</v>
      </c>
      <c r="L447" t="str">
        <f t="shared" ca="1" si="27"/>
        <v/>
      </c>
      <c r="M447" t="str">
        <f>IFERROR(INDEX(Inventory!A:A,MATCH(Scan!A447,Inventory!E:E,0)),"")</f>
        <v/>
      </c>
    </row>
    <row r="448" spans="2:13" x14ac:dyDescent="0.3">
      <c r="B448" t="str">
        <f>IF(IFERROR(VLOOKUP(TRIM(A448),Inventory!E:E,1,0),0)=0,"X","_")</f>
        <v>_</v>
      </c>
      <c r="C448" t="str">
        <f>IF(IFERROR(VLOOKUP(TRIM(A448),'Full Inventory'!F:F,1,0),0)=0,"X","_")</f>
        <v>X</v>
      </c>
      <c r="D448" t="str">
        <f t="shared" si="24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F448" t="str">
        <f t="shared" si="25"/>
        <v>_</v>
      </c>
      <c r="K448" t="str">
        <f t="shared" ca="1" si="26"/>
        <v>_XX_</v>
      </c>
      <c r="L448" t="str">
        <f t="shared" ca="1" si="27"/>
        <v/>
      </c>
      <c r="M448" t="str">
        <f>IFERROR(INDEX(Inventory!A:A,MATCH(Scan!A448,Inventory!E:E,0)),"")</f>
        <v/>
      </c>
    </row>
    <row r="449" spans="2:13" x14ac:dyDescent="0.3">
      <c r="B449" t="str">
        <f>IF(IFERROR(VLOOKUP(TRIM(A449),Inventory!E:E,1,0),0)=0,"X","_")</f>
        <v>_</v>
      </c>
      <c r="C449" t="str">
        <f>IF(IFERROR(VLOOKUP(TRIM(A449),'Full Inventory'!F:F,1,0),0)=0,"X","_")</f>
        <v>X</v>
      </c>
      <c r="D449" t="str">
        <f t="shared" si="24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F449" t="str">
        <f t="shared" si="25"/>
        <v>_</v>
      </c>
      <c r="K449" t="str">
        <f t="shared" ca="1" si="26"/>
        <v>_XX_</v>
      </c>
      <c r="L449" t="str">
        <f t="shared" ca="1" si="27"/>
        <v/>
      </c>
      <c r="M449" t="str">
        <f>IFERROR(INDEX(Inventory!A:A,MATCH(Scan!A449,Inventory!E:E,0)),"")</f>
        <v/>
      </c>
    </row>
    <row r="450" spans="2:13" x14ac:dyDescent="0.3">
      <c r="B450" t="str">
        <f>IF(IFERROR(VLOOKUP(TRIM(A450),Inventory!E:E,1,0),0)=0,"X","_")</f>
        <v>_</v>
      </c>
      <c r="C450" t="str">
        <f>IF(IFERROR(VLOOKUP(TRIM(A450),'Full Inventory'!F:F,1,0),0)=0,"X","_")</f>
        <v>X</v>
      </c>
      <c r="D450" t="str">
        <f t="shared" ref="D450:D513" si="28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F450" t="str">
        <f t="shared" si="25"/>
        <v>_</v>
      </c>
      <c r="K450" t="str">
        <f t="shared" ca="1" si="26"/>
        <v>_XX_</v>
      </c>
      <c r="L450" t="str">
        <f t="shared" ca="1" si="27"/>
        <v/>
      </c>
      <c r="M450" t="str">
        <f>IFERROR(INDEX(Inventory!A:A,MATCH(Scan!A450,Inventory!E:E,0)),"")</f>
        <v/>
      </c>
    </row>
    <row r="451" spans="2:13" x14ac:dyDescent="0.3">
      <c r="B451" t="str">
        <f>IF(IFERROR(VLOOKUP(TRIM(A451),Inventory!E:E,1,0),0)=0,"X","_")</f>
        <v>_</v>
      </c>
      <c r="C451" t="str">
        <f>IF(IFERROR(VLOOKUP(TRIM(A451),'Full Inventory'!F:F,1,0),0)=0,"X","_")</f>
        <v>X</v>
      </c>
      <c r="D451" t="str">
        <f t="shared" si="28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F451" t="str">
        <f t="shared" ref="F451:F514" si="29">IF(IFERROR(SEARCH("ö",A451),0)&gt;0,"X","_")</f>
        <v>_</v>
      </c>
      <c r="K451" t="str">
        <f t="shared" ref="K451:K514" ca="1" si="30">B451&amp;C451&amp;D451&amp;E451</f>
        <v>_XX_</v>
      </c>
      <c r="L451" t="str">
        <f t="shared" ref="L451:L514" ca="1" si="31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3">
      <c r="B452" t="str">
        <f>IF(IFERROR(VLOOKUP(TRIM(A452),Inventory!E:E,1,0),0)=0,"X","_")</f>
        <v>_</v>
      </c>
      <c r="C452" t="str">
        <f>IF(IFERROR(VLOOKUP(TRIM(A452),'Full Inventory'!F:F,1,0),0)=0,"X","_")</f>
        <v>X</v>
      </c>
      <c r="D452" t="str">
        <f t="shared" si="28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F452" t="str">
        <f t="shared" si="29"/>
        <v>_</v>
      </c>
      <c r="K452" t="str">
        <f t="shared" ca="1" si="30"/>
        <v>_XX_</v>
      </c>
      <c r="L452" t="str">
        <f t="shared" ca="1" si="31"/>
        <v/>
      </c>
      <c r="M452" t="str">
        <f>IFERROR(INDEX(Inventory!A:A,MATCH(Scan!A452,Inventory!E:E,0)),"")</f>
        <v/>
      </c>
    </row>
    <row r="453" spans="2:13" x14ac:dyDescent="0.3">
      <c r="B453" t="str">
        <f>IF(IFERROR(VLOOKUP(TRIM(A453),Inventory!E:E,1,0),0)=0,"X","_")</f>
        <v>_</v>
      </c>
      <c r="C453" t="str">
        <f>IF(IFERROR(VLOOKUP(TRIM(A453),'Full Inventory'!F:F,1,0),0)=0,"X","_")</f>
        <v>X</v>
      </c>
      <c r="D453" t="str">
        <f t="shared" si="28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F453" t="str">
        <f t="shared" si="29"/>
        <v>_</v>
      </c>
      <c r="K453" t="str">
        <f t="shared" ca="1" si="30"/>
        <v>_XX_</v>
      </c>
      <c r="L453" t="str">
        <f t="shared" ca="1" si="31"/>
        <v/>
      </c>
      <c r="M453" t="str">
        <f>IFERROR(INDEX(Inventory!A:A,MATCH(Scan!A453,Inventory!E:E,0)),"")</f>
        <v/>
      </c>
    </row>
    <row r="454" spans="2:13" x14ac:dyDescent="0.3">
      <c r="B454" t="str">
        <f>IF(IFERROR(VLOOKUP(TRIM(A454),Inventory!E:E,1,0),0)=0,"X","_")</f>
        <v>_</v>
      </c>
      <c r="C454" t="str">
        <f>IF(IFERROR(VLOOKUP(TRIM(A454),'Full Inventory'!F:F,1,0),0)=0,"X","_")</f>
        <v>X</v>
      </c>
      <c r="D454" t="str">
        <f t="shared" si="28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F454" t="str">
        <f t="shared" si="29"/>
        <v>_</v>
      </c>
      <c r="K454" t="str">
        <f t="shared" ca="1" si="30"/>
        <v>_XX_</v>
      </c>
      <c r="L454" t="str">
        <f t="shared" ca="1" si="31"/>
        <v/>
      </c>
      <c r="M454" t="str">
        <f>IFERROR(INDEX(Inventory!A:A,MATCH(Scan!A454,Inventory!E:E,0)),"")</f>
        <v/>
      </c>
    </row>
    <row r="455" spans="2:13" x14ac:dyDescent="0.3">
      <c r="B455" t="str">
        <f>IF(IFERROR(VLOOKUP(TRIM(A455),Inventory!E:E,1,0),0)=0,"X","_")</f>
        <v>_</v>
      </c>
      <c r="C455" t="str">
        <f>IF(IFERROR(VLOOKUP(TRIM(A455),'Full Inventory'!F:F,1,0),0)=0,"X","_")</f>
        <v>X</v>
      </c>
      <c r="D455" t="str">
        <f t="shared" si="28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F455" t="str">
        <f t="shared" si="29"/>
        <v>_</v>
      </c>
      <c r="K455" t="str">
        <f t="shared" ca="1" si="30"/>
        <v>_XX_</v>
      </c>
      <c r="L455" t="str">
        <f t="shared" ca="1" si="31"/>
        <v/>
      </c>
      <c r="M455" t="str">
        <f>IFERROR(INDEX(Inventory!A:A,MATCH(Scan!A455,Inventory!E:E,0)),"")</f>
        <v/>
      </c>
    </row>
    <row r="456" spans="2:13" x14ac:dyDescent="0.3">
      <c r="B456" t="str">
        <f>IF(IFERROR(VLOOKUP(TRIM(A456),Inventory!E:E,1,0),0)=0,"X","_")</f>
        <v>_</v>
      </c>
      <c r="C456" t="str">
        <f>IF(IFERROR(VLOOKUP(TRIM(A456),'Full Inventory'!F:F,1,0),0)=0,"X","_")</f>
        <v>X</v>
      </c>
      <c r="D456" t="str">
        <f t="shared" si="28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F456" t="str">
        <f t="shared" si="29"/>
        <v>_</v>
      </c>
      <c r="K456" t="str">
        <f t="shared" ca="1" si="30"/>
        <v>_XX_</v>
      </c>
      <c r="L456" t="str">
        <f t="shared" ca="1" si="31"/>
        <v/>
      </c>
      <c r="M456" t="str">
        <f>IFERROR(INDEX(Inventory!A:A,MATCH(Scan!A456,Inventory!E:E,0)),"")</f>
        <v/>
      </c>
    </row>
    <row r="457" spans="2:13" x14ac:dyDescent="0.3">
      <c r="B457" t="str">
        <f>IF(IFERROR(VLOOKUP(TRIM(A457),Inventory!E:E,1,0),0)=0,"X","_")</f>
        <v>_</v>
      </c>
      <c r="C457" t="str">
        <f>IF(IFERROR(VLOOKUP(TRIM(A457),'Full Inventory'!F:F,1,0),0)=0,"X","_")</f>
        <v>X</v>
      </c>
      <c r="D457" t="str">
        <f t="shared" si="28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F457" t="str">
        <f t="shared" si="29"/>
        <v>_</v>
      </c>
      <c r="K457" t="str">
        <f t="shared" ca="1" si="30"/>
        <v>_XX_</v>
      </c>
      <c r="L457" t="str">
        <f t="shared" ca="1" si="31"/>
        <v/>
      </c>
      <c r="M457" t="str">
        <f>IFERROR(INDEX(Inventory!A:A,MATCH(Scan!A457,Inventory!E:E,0)),"")</f>
        <v/>
      </c>
    </row>
    <row r="458" spans="2:13" x14ac:dyDescent="0.3">
      <c r="B458" t="str">
        <f>IF(IFERROR(VLOOKUP(TRIM(A458),Inventory!E:E,1,0),0)=0,"X","_")</f>
        <v>_</v>
      </c>
      <c r="C458" t="str">
        <f>IF(IFERROR(VLOOKUP(TRIM(A458),'Full Inventory'!F:F,1,0),0)=0,"X","_")</f>
        <v>X</v>
      </c>
      <c r="D458" t="str">
        <f t="shared" si="28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F458" t="str">
        <f t="shared" si="29"/>
        <v>_</v>
      </c>
      <c r="K458" t="str">
        <f t="shared" ca="1" si="30"/>
        <v>_XX_</v>
      </c>
      <c r="L458" t="str">
        <f t="shared" ca="1" si="31"/>
        <v/>
      </c>
      <c r="M458" t="str">
        <f>IFERROR(INDEX(Inventory!A:A,MATCH(Scan!A458,Inventory!E:E,0)),"")</f>
        <v/>
      </c>
    </row>
    <row r="459" spans="2:13" x14ac:dyDescent="0.3">
      <c r="B459" t="str">
        <f>IF(IFERROR(VLOOKUP(TRIM(A459),Inventory!E:E,1,0),0)=0,"X","_")</f>
        <v>_</v>
      </c>
      <c r="C459" t="str">
        <f>IF(IFERROR(VLOOKUP(TRIM(A459),'Full Inventory'!F:F,1,0),0)=0,"X","_")</f>
        <v>X</v>
      </c>
      <c r="D459" t="str">
        <f t="shared" si="28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F459" t="str">
        <f t="shared" si="29"/>
        <v>_</v>
      </c>
      <c r="K459" t="str">
        <f t="shared" ca="1" si="30"/>
        <v>_XX_</v>
      </c>
      <c r="L459" t="str">
        <f t="shared" ca="1" si="31"/>
        <v/>
      </c>
      <c r="M459" t="str">
        <f>IFERROR(INDEX(Inventory!A:A,MATCH(Scan!A459,Inventory!E:E,0)),"")</f>
        <v/>
      </c>
    </row>
    <row r="460" spans="2:13" x14ac:dyDescent="0.3">
      <c r="B460" t="str">
        <f>IF(IFERROR(VLOOKUP(TRIM(A460),Inventory!E:E,1,0),0)=0,"X","_")</f>
        <v>_</v>
      </c>
      <c r="C460" t="str">
        <f>IF(IFERROR(VLOOKUP(TRIM(A460),'Full Inventory'!F:F,1,0),0)=0,"X","_")</f>
        <v>X</v>
      </c>
      <c r="D460" t="str">
        <f t="shared" si="28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F460" t="str">
        <f t="shared" si="29"/>
        <v>_</v>
      </c>
      <c r="K460" t="str">
        <f t="shared" ca="1" si="30"/>
        <v>_XX_</v>
      </c>
      <c r="L460" t="str">
        <f t="shared" ca="1" si="31"/>
        <v/>
      </c>
      <c r="M460" t="str">
        <f>IFERROR(INDEX(Inventory!A:A,MATCH(Scan!A460,Inventory!E:E,0)),"")</f>
        <v/>
      </c>
    </row>
    <row r="461" spans="2:13" x14ac:dyDescent="0.3">
      <c r="B461" t="str">
        <f>IF(IFERROR(VLOOKUP(TRIM(A461),Inventory!E:E,1,0),0)=0,"X","_")</f>
        <v>_</v>
      </c>
      <c r="C461" t="str">
        <f>IF(IFERROR(VLOOKUP(TRIM(A461),'Full Inventory'!F:F,1,0),0)=0,"X","_")</f>
        <v>X</v>
      </c>
      <c r="D461" t="str">
        <f t="shared" si="28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F461" t="str">
        <f t="shared" si="29"/>
        <v>_</v>
      </c>
      <c r="K461" t="str">
        <f t="shared" ca="1" si="30"/>
        <v>_XX_</v>
      </c>
      <c r="L461" t="str">
        <f t="shared" ca="1" si="31"/>
        <v/>
      </c>
      <c r="M461" t="str">
        <f>IFERROR(INDEX(Inventory!A:A,MATCH(Scan!A461,Inventory!E:E,0)),"")</f>
        <v/>
      </c>
    </row>
    <row r="462" spans="2:13" x14ac:dyDescent="0.3">
      <c r="B462" t="str">
        <f>IF(IFERROR(VLOOKUP(TRIM(A462),Inventory!E:E,1,0),0)=0,"X","_")</f>
        <v>_</v>
      </c>
      <c r="C462" t="str">
        <f>IF(IFERROR(VLOOKUP(TRIM(A462),'Full Inventory'!F:F,1,0),0)=0,"X","_")</f>
        <v>X</v>
      </c>
      <c r="D462" t="str">
        <f t="shared" si="28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F462" t="str">
        <f t="shared" si="29"/>
        <v>_</v>
      </c>
      <c r="K462" t="str">
        <f t="shared" ca="1" si="30"/>
        <v>_XX_</v>
      </c>
      <c r="L462" t="str">
        <f t="shared" ca="1" si="31"/>
        <v/>
      </c>
      <c r="M462" t="str">
        <f>IFERROR(INDEX(Inventory!A:A,MATCH(Scan!A462,Inventory!E:E,0)),"")</f>
        <v/>
      </c>
    </row>
    <row r="463" spans="2:13" x14ac:dyDescent="0.3">
      <c r="B463" t="str">
        <f>IF(IFERROR(VLOOKUP(TRIM(A463),Inventory!E:E,1,0),0)=0,"X","_")</f>
        <v>_</v>
      </c>
      <c r="C463" t="str">
        <f>IF(IFERROR(VLOOKUP(TRIM(A463),'Full Inventory'!F:F,1,0),0)=0,"X","_")</f>
        <v>X</v>
      </c>
      <c r="D463" t="str">
        <f t="shared" si="28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F463" t="str">
        <f t="shared" si="29"/>
        <v>_</v>
      </c>
      <c r="K463" t="str">
        <f t="shared" ca="1" si="30"/>
        <v>_XX_</v>
      </c>
      <c r="L463" t="str">
        <f t="shared" ca="1" si="31"/>
        <v/>
      </c>
      <c r="M463" t="str">
        <f>IFERROR(INDEX(Inventory!A:A,MATCH(Scan!A463,Inventory!E:E,0)),"")</f>
        <v/>
      </c>
    </row>
    <row r="464" spans="2:13" x14ac:dyDescent="0.3">
      <c r="B464" t="str">
        <f>IF(IFERROR(VLOOKUP(TRIM(A464),Inventory!E:E,1,0),0)=0,"X","_")</f>
        <v>_</v>
      </c>
      <c r="C464" t="str">
        <f>IF(IFERROR(VLOOKUP(TRIM(A464),'Full Inventory'!F:F,1,0),0)=0,"X","_")</f>
        <v>X</v>
      </c>
      <c r="D464" t="str">
        <f t="shared" si="28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F464" t="str">
        <f t="shared" si="29"/>
        <v>_</v>
      </c>
      <c r="K464" t="str">
        <f t="shared" ca="1" si="30"/>
        <v>_XX_</v>
      </c>
      <c r="L464" t="str">
        <f t="shared" ca="1" si="31"/>
        <v/>
      </c>
      <c r="M464" t="str">
        <f>IFERROR(INDEX(Inventory!A:A,MATCH(Scan!A464,Inventory!E:E,0)),"")</f>
        <v/>
      </c>
    </row>
    <row r="465" spans="2:13" x14ac:dyDescent="0.3">
      <c r="B465" t="str">
        <f>IF(IFERROR(VLOOKUP(TRIM(A465),Inventory!E:E,1,0),0)=0,"X","_")</f>
        <v>_</v>
      </c>
      <c r="C465" t="str">
        <f>IF(IFERROR(VLOOKUP(TRIM(A465),'Full Inventory'!F:F,1,0),0)=0,"X","_")</f>
        <v>X</v>
      </c>
      <c r="D465" t="str">
        <f t="shared" si="28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F465" t="str">
        <f t="shared" si="29"/>
        <v>_</v>
      </c>
      <c r="K465" t="str">
        <f t="shared" ca="1" si="30"/>
        <v>_XX_</v>
      </c>
      <c r="L465" t="str">
        <f t="shared" ca="1" si="31"/>
        <v/>
      </c>
      <c r="M465" t="str">
        <f>IFERROR(INDEX(Inventory!A:A,MATCH(Scan!A465,Inventory!E:E,0)),"")</f>
        <v/>
      </c>
    </row>
    <row r="466" spans="2:13" x14ac:dyDescent="0.3">
      <c r="B466" t="str">
        <f>IF(IFERROR(VLOOKUP(TRIM(A466),Inventory!E:E,1,0),0)=0,"X","_")</f>
        <v>_</v>
      </c>
      <c r="C466" t="str">
        <f>IF(IFERROR(VLOOKUP(TRIM(A466),'Full Inventory'!F:F,1,0),0)=0,"X","_")</f>
        <v>X</v>
      </c>
      <c r="D466" t="str">
        <f t="shared" si="28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F466" t="str">
        <f t="shared" si="29"/>
        <v>_</v>
      </c>
      <c r="K466" t="str">
        <f t="shared" ca="1" si="30"/>
        <v>_XX_</v>
      </c>
      <c r="L466" t="str">
        <f t="shared" ca="1" si="31"/>
        <v/>
      </c>
      <c r="M466" t="str">
        <f>IFERROR(INDEX(Inventory!A:A,MATCH(Scan!A466,Inventory!E:E,0)),"")</f>
        <v/>
      </c>
    </row>
    <row r="467" spans="2:13" x14ac:dyDescent="0.3">
      <c r="B467" t="str">
        <f>IF(IFERROR(VLOOKUP(TRIM(A467),Inventory!E:E,1,0),0)=0,"X","_")</f>
        <v>_</v>
      </c>
      <c r="C467" t="str">
        <f>IF(IFERROR(VLOOKUP(TRIM(A467),'Full Inventory'!F:F,1,0),0)=0,"X","_")</f>
        <v>X</v>
      </c>
      <c r="D467" t="str">
        <f t="shared" si="28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F467" t="str">
        <f t="shared" si="29"/>
        <v>_</v>
      </c>
      <c r="K467" t="str">
        <f t="shared" ca="1" si="30"/>
        <v>_XX_</v>
      </c>
      <c r="L467" t="str">
        <f t="shared" ca="1" si="31"/>
        <v/>
      </c>
      <c r="M467" t="str">
        <f>IFERROR(INDEX(Inventory!A:A,MATCH(Scan!A467,Inventory!E:E,0)),"")</f>
        <v/>
      </c>
    </row>
    <row r="468" spans="2:13" x14ac:dyDescent="0.3">
      <c r="B468" t="str">
        <f>IF(IFERROR(VLOOKUP(TRIM(A468),Inventory!E:E,1,0),0)=0,"X","_")</f>
        <v>_</v>
      </c>
      <c r="C468" t="str">
        <f>IF(IFERROR(VLOOKUP(TRIM(A468),'Full Inventory'!F:F,1,0),0)=0,"X","_")</f>
        <v>X</v>
      </c>
      <c r="D468" t="str">
        <f t="shared" si="28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F468" t="str">
        <f t="shared" si="29"/>
        <v>_</v>
      </c>
      <c r="K468" t="str">
        <f t="shared" ca="1" si="30"/>
        <v>_XX_</v>
      </c>
      <c r="L468" t="str">
        <f t="shared" ca="1" si="31"/>
        <v/>
      </c>
      <c r="M468" t="str">
        <f>IFERROR(INDEX(Inventory!A:A,MATCH(Scan!A468,Inventory!E:E,0)),"")</f>
        <v/>
      </c>
    </row>
    <row r="469" spans="2:13" x14ac:dyDescent="0.3">
      <c r="B469" t="str">
        <f>IF(IFERROR(VLOOKUP(TRIM(A469),Inventory!E:E,1,0),0)=0,"X","_")</f>
        <v>_</v>
      </c>
      <c r="C469" t="str">
        <f>IF(IFERROR(VLOOKUP(TRIM(A469),'Full Inventory'!F:F,1,0),0)=0,"X","_")</f>
        <v>X</v>
      </c>
      <c r="D469" t="str">
        <f t="shared" si="28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F469" t="str">
        <f t="shared" si="29"/>
        <v>_</v>
      </c>
      <c r="K469" t="str">
        <f t="shared" ca="1" si="30"/>
        <v>_XX_</v>
      </c>
      <c r="L469" t="str">
        <f t="shared" ca="1" si="31"/>
        <v/>
      </c>
      <c r="M469" t="str">
        <f>IFERROR(INDEX(Inventory!A:A,MATCH(Scan!A469,Inventory!E:E,0)),"")</f>
        <v/>
      </c>
    </row>
    <row r="470" spans="2:13" x14ac:dyDescent="0.3">
      <c r="B470" t="str">
        <f>IF(IFERROR(VLOOKUP(TRIM(A470),Inventory!E:E,1,0),0)=0,"X","_")</f>
        <v>_</v>
      </c>
      <c r="C470" t="str">
        <f>IF(IFERROR(VLOOKUP(TRIM(A470),'Full Inventory'!F:F,1,0),0)=0,"X","_")</f>
        <v>X</v>
      </c>
      <c r="D470" t="str">
        <f t="shared" si="28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F470" t="str">
        <f t="shared" si="29"/>
        <v>_</v>
      </c>
      <c r="K470" t="str">
        <f t="shared" ca="1" si="30"/>
        <v>_XX_</v>
      </c>
      <c r="L470" t="str">
        <f t="shared" ca="1" si="31"/>
        <v/>
      </c>
      <c r="M470" t="str">
        <f>IFERROR(INDEX(Inventory!A:A,MATCH(Scan!A470,Inventory!E:E,0)),"")</f>
        <v/>
      </c>
    </row>
    <row r="471" spans="2:13" x14ac:dyDescent="0.3">
      <c r="B471" t="str">
        <f>IF(IFERROR(VLOOKUP(TRIM(A471),Inventory!E:E,1,0),0)=0,"X","_")</f>
        <v>_</v>
      </c>
      <c r="C471" t="str">
        <f>IF(IFERROR(VLOOKUP(TRIM(A471),'Full Inventory'!F:F,1,0),0)=0,"X","_")</f>
        <v>X</v>
      </c>
      <c r="D471" t="str">
        <f t="shared" si="28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F471" t="str">
        <f t="shared" si="29"/>
        <v>_</v>
      </c>
      <c r="K471" t="str">
        <f t="shared" ca="1" si="30"/>
        <v>_XX_</v>
      </c>
      <c r="L471" t="str">
        <f t="shared" ca="1" si="31"/>
        <v/>
      </c>
      <c r="M471" t="str">
        <f>IFERROR(INDEX(Inventory!A:A,MATCH(Scan!A471,Inventory!E:E,0)),"")</f>
        <v/>
      </c>
    </row>
    <row r="472" spans="2:13" x14ac:dyDescent="0.3">
      <c r="B472" t="str">
        <f>IF(IFERROR(VLOOKUP(TRIM(A472),Inventory!E:E,1,0),0)=0,"X","_")</f>
        <v>_</v>
      </c>
      <c r="C472" t="str">
        <f>IF(IFERROR(VLOOKUP(TRIM(A472),'Full Inventory'!F:F,1,0),0)=0,"X","_")</f>
        <v>X</v>
      </c>
      <c r="D472" t="str">
        <f t="shared" si="28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F472" t="str">
        <f t="shared" si="29"/>
        <v>_</v>
      </c>
      <c r="K472" t="str">
        <f t="shared" ca="1" si="30"/>
        <v>_XX_</v>
      </c>
      <c r="L472" t="str">
        <f t="shared" ca="1" si="31"/>
        <v/>
      </c>
      <c r="M472" t="str">
        <f>IFERROR(INDEX(Inventory!A:A,MATCH(Scan!A472,Inventory!E:E,0)),"")</f>
        <v/>
      </c>
    </row>
    <row r="473" spans="2:13" x14ac:dyDescent="0.3">
      <c r="B473" t="str">
        <f>IF(IFERROR(VLOOKUP(TRIM(A473),Inventory!E:E,1,0),0)=0,"X","_")</f>
        <v>_</v>
      </c>
      <c r="C473" t="str">
        <f>IF(IFERROR(VLOOKUP(TRIM(A473),'Full Inventory'!F:F,1,0),0)=0,"X","_")</f>
        <v>X</v>
      </c>
      <c r="D473" t="str">
        <f t="shared" si="28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F473" t="str">
        <f t="shared" si="29"/>
        <v>_</v>
      </c>
      <c r="K473" t="str">
        <f t="shared" ca="1" si="30"/>
        <v>_XX_</v>
      </c>
      <c r="L473" t="str">
        <f t="shared" ca="1" si="31"/>
        <v/>
      </c>
      <c r="M473" t="str">
        <f>IFERROR(INDEX(Inventory!A:A,MATCH(Scan!A473,Inventory!E:E,0)),"")</f>
        <v/>
      </c>
    </row>
    <row r="474" spans="2:13" x14ac:dyDescent="0.3">
      <c r="B474" t="str">
        <f>IF(IFERROR(VLOOKUP(TRIM(A474),Inventory!E:E,1,0),0)=0,"X","_")</f>
        <v>_</v>
      </c>
      <c r="C474" t="str">
        <f>IF(IFERROR(VLOOKUP(TRIM(A474),'Full Inventory'!F:F,1,0),0)=0,"X","_")</f>
        <v>X</v>
      </c>
      <c r="D474" t="str">
        <f t="shared" si="28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F474" t="str">
        <f t="shared" si="29"/>
        <v>_</v>
      </c>
      <c r="K474" t="str">
        <f t="shared" ca="1" si="30"/>
        <v>_XX_</v>
      </c>
      <c r="L474" t="str">
        <f t="shared" ca="1" si="31"/>
        <v/>
      </c>
      <c r="M474" t="str">
        <f>IFERROR(INDEX(Inventory!A:A,MATCH(Scan!A474,Inventory!E:E,0)),"")</f>
        <v/>
      </c>
    </row>
    <row r="475" spans="2:13" x14ac:dyDescent="0.3">
      <c r="B475" t="str">
        <f>IF(IFERROR(VLOOKUP(TRIM(A475),Inventory!E:E,1,0),0)=0,"X","_")</f>
        <v>_</v>
      </c>
      <c r="C475" t="str">
        <f>IF(IFERROR(VLOOKUP(TRIM(A475),'Full Inventory'!F:F,1,0),0)=0,"X","_")</f>
        <v>X</v>
      </c>
      <c r="D475" t="str">
        <f t="shared" si="28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F475" t="str">
        <f t="shared" si="29"/>
        <v>_</v>
      </c>
      <c r="K475" t="str">
        <f t="shared" ca="1" si="30"/>
        <v>_XX_</v>
      </c>
      <c r="L475" t="str">
        <f t="shared" ca="1" si="31"/>
        <v/>
      </c>
      <c r="M475" t="str">
        <f>IFERROR(INDEX(Inventory!A:A,MATCH(Scan!A475,Inventory!E:E,0)),"")</f>
        <v/>
      </c>
    </row>
    <row r="476" spans="2:13" x14ac:dyDescent="0.3">
      <c r="B476" t="str">
        <f>IF(IFERROR(VLOOKUP(TRIM(A476),Inventory!E:E,1,0),0)=0,"X","_")</f>
        <v>_</v>
      </c>
      <c r="C476" t="str">
        <f>IF(IFERROR(VLOOKUP(TRIM(A476),'Full Inventory'!F:F,1,0),0)=0,"X","_")</f>
        <v>X</v>
      </c>
      <c r="D476" t="str">
        <f t="shared" si="28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F476" t="str">
        <f t="shared" si="29"/>
        <v>_</v>
      </c>
      <c r="K476" t="str">
        <f t="shared" ca="1" si="30"/>
        <v>_XX_</v>
      </c>
      <c r="L476" t="str">
        <f t="shared" ca="1" si="31"/>
        <v/>
      </c>
      <c r="M476" t="str">
        <f>IFERROR(INDEX(Inventory!A:A,MATCH(Scan!A476,Inventory!E:E,0)),"")</f>
        <v/>
      </c>
    </row>
    <row r="477" spans="2:13" x14ac:dyDescent="0.3">
      <c r="B477" t="str">
        <f>IF(IFERROR(VLOOKUP(TRIM(A477),Inventory!E:E,1,0),0)=0,"X","_")</f>
        <v>_</v>
      </c>
      <c r="C477" t="str">
        <f>IF(IFERROR(VLOOKUP(TRIM(A477),'Full Inventory'!F:F,1,0),0)=0,"X","_")</f>
        <v>X</v>
      </c>
      <c r="D477" t="str">
        <f t="shared" si="28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F477" t="str">
        <f t="shared" si="29"/>
        <v>_</v>
      </c>
      <c r="K477" t="str">
        <f t="shared" ca="1" si="30"/>
        <v>_XX_</v>
      </c>
      <c r="L477" t="str">
        <f t="shared" ca="1" si="31"/>
        <v/>
      </c>
      <c r="M477" t="str">
        <f>IFERROR(INDEX(Inventory!A:A,MATCH(Scan!A477,Inventory!E:E,0)),"")</f>
        <v/>
      </c>
    </row>
    <row r="478" spans="2:13" x14ac:dyDescent="0.3">
      <c r="B478" t="str">
        <f>IF(IFERROR(VLOOKUP(TRIM(A478),Inventory!E:E,1,0),0)=0,"X","_")</f>
        <v>_</v>
      </c>
      <c r="C478" t="str">
        <f>IF(IFERROR(VLOOKUP(TRIM(A478),'Full Inventory'!F:F,1,0),0)=0,"X","_")</f>
        <v>X</v>
      </c>
      <c r="D478" t="str">
        <f t="shared" si="28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F478" t="str">
        <f t="shared" si="29"/>
        <v>_</v>
      </c>
      <c r="K478" t="str">
        <f t="shared" ca="1" si="30"/>
        <v>_XX_</v>
      </c>
      <c r="L478" t="str">
        <f t="shared" ca="1" si="31"/>
        <v/>
      </c>
      <c r="M478" t="str">
        <f>IFERROR(INDEX(Inventory!A:A,MATCH(Scan!A478,Inventory!E:E,0)),"")</f>
        <v/>
      </c>
    </row>
    <row r="479" spans="2:13" x14ac:dyDescent="0.3">
      <c r="B479" t="str">
        <f>IF(IFERROR(VLOOKUP(TRIM(A479),Inventory!E:E,1,0),0)=0,"X","_")</f>
        <v>_</v>
      </c>
      <c r="C479" t="str">
        <f>IF(IFERROR(VLOOKUP(TRIM(A479),'Full Inventory'!F:F,1,0),0)=0,"X","_")</f>
        <v>X</v>
      </c>
      <c r="D479" t="str">
        <f t="shared" si="28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F479" t="str">
        <f t="shared" si="29"/>
        <v>_</v>
      </c>
      <c r="K479" t="str">
        <f t="shared" ca="1" si="30"/>
        <v>_XX_</v>
      </c>
      <c r="L479" t="str">
        <f t="shared" ca="1" si="31"/>
        <v/>
      </c>
      <c r="M479" t="str">
        <f>IFERROR(INDEX(Inventory!A:A,MATCH(Scan!A479,Inventory!E:E,0)),"")</f>
        <v/>
      </c>
    </row>
    <row r="480" spans="2:13" x14ac:dyDescent="0.3">
      <c r="B480" t="str">
        <f>IF(IFERROR(VLOOKUP(TRIM(A480),Inventory!E:E,1,0),0)=0,"X","_")</f>
        <v>_</v>
      </c>
      <c r="C480" t="str">
        <f>IF(IFERROR(VLOOKUP(TRIM(A480),'Full Inventory'!F:F,1,0),0)=0,"X","_")</f>
        <v>X</v>
      </c>
      <c r="D480" t="str">
        <f t="shared" si="28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F480" t="str">
        <f t="shared" si="29"/>
        <v>_</v>
      </c>
      <c r="K480" t="str">
        <f t="shared" ca="1" si="30"/>
        <v>_XX_</v>
      </c>
      <c r="L480" t="str">
        <f t="shared" ca="1" si="31"/>
        <v/>
      </c>
      <c r="M480" t="str">
        <f>IFERROR(INDEX(Inventory!A:A,MATCH(Scan!A480,Inventory!E:E,0)),"")</f>
        <v/>
      </c>
    </row>
    <row r="481" spans="2:13" x14ac:dyDescent="0.3">
      <c r="B481" t="str">
        <f>IF(IFERROR(VLOOKUP(TRIM(A481),Inventory!E:E,1,0),0)=0,"X","_")</f>
        <v>_</v>
      </c>
      <c r="C481" t="str">
        <f>IF(IFERROR(VLOOKUP(TRIM(A481),'Full Inventory'!F:F,1,0),0)=0,"X","_")</f>
        <v>X</v>
      </c>
      <c r="D481" t="str">
        <f t="shared" si="28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F481" t="str">
        <f t="shared" si="29"/>
        <v>_</v>
      </c>
      <c r="K481" t="str">
        <f t="shared" ca="1" si="30"/>
        <v>_XX_</v>
      </c>
      <c r="L481" t="str">
        <f t="shared" ca="1" si="31"/>
        <v/>
      </c>
      <c r="M481" t="str">
        <f>IFERROR(INDEX(Inventory!A:A,MATCH(Scan!A481,Inventory!E:E,0)),"")</f>
        <v/>
      </c>
    </row>
    <row r="482" spans="2:13" x14ac:dyDescent="0.3">
      <c r="B482" t="str">
        <f>IF(IFERROR(VLOOKUP(TRIM(A482),Inventory!E:E,1,0),0)=0,"X","_")</f>
        <v>_</v>
      </c>
      <c r="C482" t="str">
        <f>IF(IFERROR(VLOOKUP(TRIM(A482),'Full Inventory'!F:F,1,0),0)=0,"X","_")</f>
        <v>X</v>
      </c>
      <c r="D482" t="str">
        <f t="shared" si="28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F482" t="str">
        <f t="shared" si="29"/>
        <v>_</v>
      </c>
      <c r="K482" t="str">
        <f t="shared" ca="1" si="30"/>
        <v>_XX_</v>
      </c>
      <c r="L482" t="str">
        <f t="shared" ca="1" si="31"/>
        <v/>
      </c>
      <c r="M482" t="str">
        <f>IFERROR(INDEX(Inventory!A:A,MATCH(Scan!A482,Inventory!E:E,0)),"")</f>
        <v/>
      </c>
    </row>
    <row r="483" spans="2:13" x14ac:dyDescent="0.3">
      <c r="B483" t="str">
        <f>IF(IFERROR(VLOOKUP(TRIM(A483),Inventory!E:E,1,0),0)=0,"X","_")</f>
        <v>_</v>
      </c>
      <c r="C483" t="str">
        <f>IF(IFERROR(VLOOKUP(TRIM(A483),'Full Inventory'!F:F,1,0),0)=0,"X","_")</f>
        <v>X</v>
      </c>
      <c r="D483" t="str">
        <f t="shared" si="28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F483" t="str">
        <f t="shared" si="29"/>
        <v>_</v>
      </c>
      <c r="K483" t="str">
        <f t="shared" ca="1" si="30"/>
        <v>_XX_</v>
      </c>
      <c r="L483" t="str">
        <f t="shared" ca="1" si="31"/>
        <v/>
      </c>
      <c r="M483" t="str">
        <f>IFERROR(INDEX(Inventory!A:A,MATCH(Scan!A483,Inventory!E:E,0)),"")</f>
        <v/>
      </c>
    </row>
    <row r="484" spans="2:13" x14ac:dyDescent="0.3">
      <c r="B484" t="str">
        <f>IF(IFERROR(VLOOKUP(TRIM(A484),Inventory!E:E,1,0),0)=0,"X","_")</f>
        <v>_</v>
      </c>
      <c r="C484" t="str">
        <f>IF(IFERROR(VLOOKUP(TRIM(A484),'Full Inventory'!F:F,1,0),0)=0,"X","_")</f>
        <v>X</v>
      </c>
      <c r="D484" t="str">
        <f t="shared" si="28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F484" t="str">
        <f t="shared" si="29"/>
        <v>_</v>
      </c>
      <c r="K484" t="str">
        <f t="shared" ca="1" si="30"/>
        <v>_XX_</v>
      </c>
      <c r="L484" t="str">
        <f t="shared" ca="1" si="31"/>
        <v/>
      </c>
      <c r="M484" t="str">
        <f>IFERROR(INDEX(Inventory!A:A,MATCH(Scan!A484,Inventory!E:E,0)),"")</f>
        <v/>
      </c>
    </row>
    <row r="485" spans="2:13" x14ac:dyDescent="0.3">
      <c r="B485" t="str">
        <f>IF(IFERROR(VLOOKUP(TRIM(A485),Inventory!E:E,1,0),0)=0,"X","_")</f>
        <v>_</v>
      </c>
      <c r="C485" t="str">
        <f>IF(IFERROR(VLOOKUP(TRIM(A485),'Full Inventory'!F:F,1,0),0)=0,"X","_")</f>
        <v>X</v>
      </c>
      <c r="D485" t="str">
        <f t="shared" si="28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F485" t="str">
        <f t="shared" si="29"/>
        <v>_</v>
      </c>
      <c r="K485" t="str">
        <f t="shared" ca="1" si="30"/>
        <v>_XX_</v>
      </c>
      <c r="L485" t="str">
        <f t="shared" ca="1" si="31"/>
        <v/>
      </c>
      <c r="M485" t="str">
        <f>IFERROR(INDEX(Inventory!A:A,MATCH(Scan!A485,Inventory!E:E,0)),"")</f>
        <v/>
      </c>
    </row>
    <row r="486" spans="2:13" x14ac:dyDescent="0.3">
      <c r="B486" t="str">
        <f>IF(IFERROR(VLOOKUP(TRIM(A486),Inventory!E:E,1,0),0)=0,"X","_")</f>
        <v>_</v>
      </c>
      <c r="C486" t="str">
        <f>IF(IFERROR(VLOOKUP(TRIM(A486),'Full Inventory'!F:F,1,0),0)=0,"X","_")</f>
        <v>X</v>
      </c>
      <c r="D486" t="str">
        <f t="shared" si="28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F486" t="str">
        <f t="shared" si="29"/>
        <v>_</v>
      </c>
      <c r="K486" t="str">
        <f t="shared" ca="1" si="30"/>
        <v>_XX_</v>
      </c>
      <c r="L486" t="str">
        <f t="shared" ca="1" si="31"/>
        <v/>
      </c>
      <c r="M486" t="str">
        <f>IFERROR(INDEX(Inventory!A:A,MATCH(Scan!A486,Inventory!E:E,0)),"")</f>
        <v/>
      </c>
    </row>
    <row r="487" spans="2:13" x14ac:dyDescent="0.3">
      <c r="B487" t="str">
        <f>IF(IFERROR(VLOOKUP(TRIM(A487),Inventory!E:E,1,0),0)=0,"X","_")</f>
        <v>_</v>
      </c>
      <c r="C487" t="str">
        <f>IF(IFERROR(VLOOKUP(TRIM(A487),'Full Inventory'!F:F,1,0),0)=0,"X","_")</f>
        <v>X</v>
      </c>
      <c r="D487" t="str">
        <f t="shared" si="28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F487" t="str">
        <f t="shared" si="29"/>
        <v>_</v>
      </c>
      <c r="K487" t="str">
        <f t="shared" ca="1" si="30"/>
        <v>_XX_</v>
      </c>
      <c r="L487" t="str">
        <f t="shared" ca="1" si="31"/>
        <v/>
      </c>
      <c r="M487" t="str">
        <f>IFERROR(INDEX(Inventory!A:A,MATCH(Scan!A487,Inventory!E:E,0)),"")</f>
        <v/>
      </c>
    </row>
    <row r="488" spans="2:13" x14ac:dyDescent="0.3">
      <c r="B488" t="str">
        <f>IF(IFERROR(VLOOKUP(TRIM(A488),Inventory!E:E,1,0),0)=0,"X","_")</f>
        <v>_</v>
      </c>
      <c r="C488" t="str">
        <f>IF(IFERROR(VLOOKUP(TRIM(A488),'Full Inventory'!F:F,1,0),0)=0,"X","_")</f>
        <v>X</v>
      </c>
      <c r="D488" t="str">
        <f t="shared" si="28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F488" t="str">
        <f t="shared" si="29"/>
        <v>_</v>
      </c>
      <c r="K488" t="str">
        <f t="shared" ca="1" si="30"/>
        <v>_XX_</v>
      </c>
      <c r="L488" t="str">
        <f t="shared" ca="1" si="31"/>
        <v/>
      </c>
      <c r="M488" t="str">
        <f>IFERROR(INDEX(Inventory!A:A,MATCH(Scan!A488,Inventory!E:E,0)),"")</f>
        <v/>
      </c>
    </row>
    <row r="489" spans="2:13" x14ac:dyDescent="0.3">
      <c r="B489" t="str">
        <f>IF(IFERROR(VLOOKUP(TRIM(A489),Inventory!E:E,1,0),0)=0,"X","_")</f>
        <v>_</v>
      </c>
      <c r="C489" t="str">
        <f>IF(IFERROR(VLOOKUP(TRIM(A489),'Full Inventory'!F:F,1,0),0)=0,"X","_")</f>
        <v>X</v>
      </c>
      <c r="D489" t="str">
        <f t="shared" si="28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F489" t="str">
        <f t="shared" si="29"/>
        <v>_</v>
      </c>
      <c r="K489" t="str">
        <f t="shared" ca="1" si="30"/>
        <v>_XX_</v>
      </c>
      <c r="L489" t="str">
        <f t="shared" ca="1" si="31"/>
        <v/>
      </c>
      <c r="M489" t="str">
        <f>IFERROR(INDEX(Inventory!A:A,MATCH(Scan!A489,Inventory!E:E,0)),"")</f>
        <v/>
      </c>
    </row>
    <row r="490" spans="2:13" x14ac:dyDescent="0.3">
      <c r="B490" t="str">
        <f>IF(IFERROR(VLOOKUP(TRIM(A490),Inventory!E:E,1,0),0)=0,"X","_")</f>
        <v>_</v>
      </c>
      <c r="C490" t="str">
        <f>IF(IFERROR(VLOOKUP(TRIM(A490),'Full Inventory'!F:F,1,0),0)=0,"X","_")</f>
        <v>X</v>
      </c>
      <c r="D490" t="str">
        <f t="shared" si="28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F490" t="str">
        <f t="shared" si="29"/>
        <v>_</v>
      </c>
      <c r="K490" t="str">
        <f t="shared" ca="1" si="30"/>
        <v>_XX_</v>
      </c>
      <c r="L490" t="str">
        <f t="shared" ca="1" si="31"/>
        <v/>
      </c>
      <c r="M490" t="str">
        <f>IFERROR(INDEX(Inventory!A:A,MATCH(Scan!A490,Inventory!E:E,0)),"")</f>
        <v/>
      </c>
    </row>
    <row r="491" spans="2:13" x14ac:dyDescent="0.3">
      <c r="B491" t="str">
        <f>IF(IFERROR(VLOOKUP(TRIM(A491),Inventory!E:E,1,0),0)=0,"X","_")</f>
        <v>_</v>
      </c>
      <c r="C491" t="str">
        <f>IF(IFERROR(VLOOKUP(TRIM(A491),'Full Inventory'!F:F,1,0),0)=0,"X","_")</f>
        <v>X</v>
      </c>
      <c r="D491" t="str">
        <f t="shared" si="28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F491" t="str">
        <f t="shared" si="29"/>
        <v>_</v>
      </c>
      <c r="K491" t="str">
        <f t="shared" ca="1" si="30"/>
        <v>_XX_</v>
      </c>
      <c r="L491" t="str">
        <f t="shared" ca="1" si="31"/>
        <v/>
      </c>
      <c r="M491" t="str">
        <f>IFERROR(INDEX(Inventory!A:A,MATCH(Scan!A491,Inventory!E:E,0)),"")</f>
        <v/>
      </c>
    </row>
    <row r="492" spans="2:13" x14ac:dyDescent="0.3">
      <c r="B492" t="str">
        <f>IF(IFERROR(VLOOKUP(TRIM(A492),Inventory!E:E,1,0),0)=0,"X","_")</f>
        <v>_</v>
      </c>
      <c r="C492" t="str">
        <f>IF(IFERROR(VLOOKUP(TRIM(A492),'Full Inventory'!F:F,1,0),0)=0,"X","_")</f>
        <v>X</v>
      </c>
      <c r="D492" t="str">
        <f t="shared" si="28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F492" t="str">
        <f t="shared" si="29"/>
        <v>_</v>
      </c>
      <c r="K492" t="str">
        <f t="shared" ca="1" si="30"/>
        <v>_XX_</v>
      </c>
      <c r="L492" t="str">
        <f t="shared" ca="1" si="31"/>
        <v/>
      </c>
      <c r="M492" t="str">
        <f>IFERROR(INDEX(Inventory!A:A,MATCH(Scan!A492,Inventory!E:E,0)),"")</f>
        <v/>
      </c>
    </row>
    <row r="493" spans="2:13" x14ac:dyDescent="0.3">
      <c r="B493" t="str">
        <f>IF(IFERROR(VLOOKUP(TRIM(A493),Inventory!E:E,1,0),0)=0,"X","_")</f>
        <v>_</v>
      </c>
      <c r="C493" t="str">
        <f>IF(IFERROR(VLOOKUP(TRIM(A493),'Full Inventory'!F:F,1,0),0)=0,"X","_")</f>
        <v>X</v>
      </c>
      <c r="D493" t="str">
        <f t="shared" si="28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F493" t="str">
        <f t="shared" si="29"/>
        <v>_</v>
      </c>
      <c r="K493" t="str">
        <f t="shared" ca="1" si="30"/>
        <v>_XX_</v>
      </c>
      <c r="L493" t="str">
        <f t="shared" ca="1" si="31"/>
        <v/>
      </c>
      <c r="M493" t="str">
        <f>IFERROR(INDEX(Inventory!A:A,MATCH(Scan!A493,Inventory!E:E,0)),"")</f>
        <v/>
      </c>
    </row>
    <row r="494" spans="2:13" x14ac:dyDescent="0.3">
      <c r="B494" t="str">
        <f>IF(IFERROR(VLOOKUP(TRIM(A494),Inventory!E:E,1,0),0)=0,"X","_")</f>
        <v>_</v>
      </c>
      <c r="C494" t="str">
        <f>IF(IFERROR(VLOOKUP(TRIM(A494),'Full Inventory'!F:F,1,0),0)=0,"X","_")</f>
        <v>X</v>
      </c>
      <c r="D494" t="str">
        <f t="shared" si="28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F494" t="str">
        <f t="shared" si="29"/>
        <v>_</v>
      </c>
      <c r="K494" t="str">
        <f t="shared" ca="1" si="30"/>
        <v>_XX_</v>
      </c>
      <c r="L494" t="str">
        <f t="shared" ca="1" si="31"/>
        <v/>
      </c>
      <c r="M494" t="str">
        <f>IFERROR(INDEX(Inventory!A:A,MATCH(Scan!A494,Inventory!E:E,0)),"")</f>
        <v/>
      </c>
    </row>
    <row r="495" spans="2:13" x14ac:dyDescent="0.3">
      <c r="B495" t="str">
        <f>IF(IFERROR(VLOOKUP(TRIM(A495),Inventory!E:E,1,0),0)=0,"X","_")</f>
        <v>_</v>
      </c>
      <c r="C495" t="str">
        <f>IF(IFERROR(VLOOKUP(TRIM(A495),'Full Inventory'!F:F,1,0),0)=0,"X","_")</f>
        <v>X</v>
      </c>
      <c r="D495" t="str">
        <f t="shared" si="28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F495" t="str">
        <f t="shared" si="29"/>
        <v>_</v>
      </c>
      <c r="K495" t="str">
        <f t="shared" ca="1" si="30"/>
        <v>_XX_</v>
      </c>
      <c r="L495" t="str">
        <f t="shared" ca="1" si="31"/>
        <v/>
      </c>
      <c r="M495" t="str">
        <f>IFERROR(INDEX(Inventory!A:A,MATCH(Scan!A495,Inventory!E:E,0)),"")</f>
        <v/>
      </c>
    </row>
    <row r="496" spans="2:13" x14ac:dyDescent="0.3">
      <c r="B496" t="str">
        <f>IF(IFERROR(VLOOKUP(TRIM(A496),Inventory!E:E,1,0),0)=0,"X","_")</f>
        <v>_</v>
      </c>
      <c r="C496" t="str">
        <f>IF(IFERROR(VLOOKUP(TRIM(A496),'Full Inventory'!F:F,1,0),0)=0,"X","_")</f>
        <v>X</v>
      </c>
      <c r="D496" t="str">
        <f t="shared" si="28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F496" t="str">
        <f t="shared" si="29"/>
        <v>_</v>
      </c>
      <c r="K496" t="str">
        <f t="shared" ca="1" si="30"/>
        <v>_XX_</v>
      </c>
      <c r="L496" t="str">
        <f t="shared" ca="1" si="31"/>
        <v/>
      </c>
      <c r="M496" t="str">
        <f>IFERROR(INDEX(Inventory!A:A,MATCH(Scan!A496,Inventory!E:E,0)),"")</f>
        <v/>
      </c>
    </row>
    <row r="497" spans="2:13" x14ac:dyDescent="0.3">
      <c r="B497" t="str">
        <f>IF(IFERROR(VLOOKUP(TRIM(A497),Inventory!E:E,1,0),0)=0,"X","_")</f>
        <v>_</v>
      </c>
      <c r="C497" t="str">
        <f>IF(IFERROR(VLOOKUP(TRIM(A497),'Full Inventory'!F:F,1,0),0)=0,"X","_")</f>
        <v>X</v>
      </c>
      <c r="D497" t="str">
        <f t="shared" si="28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F497" t="str">
        <f t="shared" si="29"/>
        <v>_</v>
      </c>
      <c r="K497" t="str">
        <f t="shared" ca="1" si="30"/>
        <v>_XX_</v>
      </c>
      <c r="L497" t="str">
        <f t="shared" ca="1" si="31"/>
        <v/>
      </c>
      <c r="M497" t="str">
        <f>IFERROR(INDEX(Inventory!A:A,MATCH(Scan!A497,Inventory!E:E,0)),"")</f>
        <v/>
      </c>
    </row>
    <row r="498" spans="2:13" x14ac:dyDescent="0.3">
      <c r="B498" t="str">
        <f>IF(IFERROR(VLOOKUP(TRIM(A498),Inventory!E:E,1,0),0)=0,"X","_")</f>
        <v>_</v>
      </c>
      <c r="C498" t="str">
        <f>IF(IFERROR(VLOOKUP(TRIM(A498),'Full Inventory'!F:F,1,0),0)=0,"X","_")</f>
        <v>X</v>
      </c>
      <c r="D498" t="str">
        <f t="shared" si="28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F498" t="str">
        <f t="shared" si="29"/>
        <v>_</v>
      </c>
      <c r="K498" t="str">
        <f t="shared" ca="1" si="30"/>
        <v>_XX_</v>
      </c>
      <c r="L498" t="str">
        <f t="shared" ca="1" si="31"/>
        <v/>
      </c>
      <c r="M498" t="str">
        <f>IFERROR(INDEX(Inventory!A:A,MATCH(Scan!A498,Inventory!E:E,0)),"")</f>
        <v/>
      </c>
    </row>
    <row r="499" spans="2:13" x14ac:dyDescent="0.3">
      <c r="B499" t="str">
        <f>IF(IFERROR(VLOOKUP(TRIM(A499),Inventory!E:E,1,0),0)=0,"X","_")</f>
        <v>_</v>
      </c>
      <c r="C499" t="str">
        <f>IF(IFERROR(VLOOKUP(TRIM(A499),'Full Inventory'!F:F,1,0),0)=0,"X","_")</f>
        <v>X</v>
      </c>
      <c r="D499" t="str">
        <f t="shared" si="28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F499" t="str">
        <f t="shared" si="29"/>
        <v>_</v>
      </c>
      <c r="K499" t="str">
        <f t="shared" ca="1" si="30"/>
        <v>_XX_</v>
      </c>
      <c r="L499" t="str">
        <f t="shared" ca="1" si="31"/>
        <v/>
      </c>
      <c r="M499" t="str">
        <f>IFERROR(INDEX(Inventory!A:A,MATCH(Scan!A499,Inventory!E:E,0)),"")</f>
        <v/>
      </c>
    </row>
    <row r="500" spans="2:13" x14ac:dyDescent="0.3">
      <c r="B500" t="str">
        <f>IF(IFERROR(VLOOKUP(TRIM(A500),Inventory!E:E,1,0),0)=0,"X","_")</f>
        <v>_</v>
      </c>
      <c r="C500" t="str">
        <f>IF(IFERROR(VLOOKUP(TRIM(A500),'Full Inventory'!F:F,1,0),0)=0,"X","_")</f>
        <v>X</v>
      </c>
      <c r="D500" t="str">
        <f t="shared" si="28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F500" t="str">
        <f t="shared" si="29"/>
        <v>_</v>
      </c>
      <c r="K500" t="str">
        <f t="shared" ca="1" si="30"/>
        <v>_XX_</v>
      </c>
      <c r="L500" t="str">
        <f t="shared" ca="1" si="31"/>
        <v/>
      </c>
      <c r="M500" t="str">
        <f>IFERROR(INDEX(Inventory!A:A,MATCH(Scan!A500,Inventory!E:E,0)),"")</f>
        <v/>
      </c>
    </row>
    <row r="501" spans="2:13" x14ac:dyDescent="0.3">
      <c r="B501" t="str">
        <f>IF(IFERROR(VLOOKUP(TRIM(A501),Inventory!E:E,1,0),0)=0,"X","_")</f>
        <v>_</v>
      </c>
      <c r="C501" t="str">
        <f>IF(IFERROR(VLOOKUP(TRIM(A501),'Full Inventory'!F:F,1,0),0)=0,"X","_")</f>
        <v>X</v>
      </c>
      <c r="D501" t="str">
        <f t="shared" si="28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F501" t="str">
        <f t="shared" si="29"/>
        <v>_</v>
      </c>
      <c r="K501" t="str">
        <f t="shared" ca="1" si="30"/>
        <v>_XX_</v>
      </c>
      <c r="L501" t="str">
        <f t="shared" ca="1" si="31"/>
        <v/>
      </c>
      <c r="M501" t="str">
        <f>IFERROR(INDEX(Inventory!A:A,MATCH(Scan!A501,Inventory!E:E,0)),"")</f>
        <v/>
      </c>
    </row>
    <row r="502" spans="2:13" x14ac:dyDescent="0.3">
      <c r="B502" t="str">
        <f>IF(IFERROR(VLOOKUP(TRIM(A502),Inventory!E:E,1,0),0)=0,"X","_")</f>
        <v>_</v>
      </c>
      <c r="C502" t="str">
        <f>IF(IFERROR(VLOOKUP(TRIM(A502),'Full Inventory'!F:F,1,0),0)=0,"X","_")</f>
        <v>X</v>
      </c>
      <c r="D502" t="str">
        <f t="shared" si="28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F502" t="str">
        <f t="shared" si="29"/>
        <v>_</v>
      </c>
      <c r="K502" t="str">
        <f t="shared" ca="1" si="30"/>
        <v>_XX_</v>
      </c>
      <c r="L502" t="str">
        <f t="shared" ca="1" si="31"/>
        <v/>
      </c>
      <c r="M502" t="str">
        <f>IFERROR(INDEX(Inventory!A:A,MATCH(Scan!A502,Inventory!E:E,0)),"")</f>
        <v/>
      </c>
    </row>
    <row r="503" spans="2:13" x14ac:dyDescent="0.3">
      <c r="B503" t="str">
        <f>IF(IFERROR(VLOOKUP(TRIM(A503),Inventory!E:E,1,0),0)=0,"X","_")</f>
        <v>_</v>
      </c>
      <c r="C503" t="str">
        <f>IF(IFERROR(VLOOKUP(TRIM(A503),'Full Inventory'!F:F,1,0),0)=0,"X","_")</f>
        <v>X</v>
      </c>
      <c r="D503" t="str">
        <f t="shared" si="28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F503" t="str">
        <f t="shared" si="29"/>
        <v>_</v>
      </c>
      <c r="K503" t="str">
        <f t="shared" ca="1" si="30"/>
        <v>_XX_</v>
      </c>
      <c r="L503" t="str">
        <f t="shared" ca="1" si="31"/>
        <v/>
      </c>
      <c r="M503" t="str">
        <f>IFERROR(INDEX(Inventory!A:A,MATCH(Scan!A503,Inventory!E:E,0)),"")</f>
        <v/>
      </c>
    </row>
    <row r="504" spans="2:13" x14ac:dyDescent="0.3">
      <c r="B504" t="str">
        <f>IF(IFERROR(VLOOKUP(TRIM(A504),Inventory!E:E,1,0),0)=0,"X","_")</f>
        <v>_</v>
      </c>
      <c r="C504" t="str">
        <f>IF(IFERROR(VLOOKUP(TRIM(A504),'Full Inventory'!F:F,1,0),0)=0,"X","_")</f>
        <v>X</v>
      </c>
      <c r="D504" t="str">
        <f t="shared" si="28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F504" t="str">
        <f t="shared" si="29"/>
        <v>_</v>
      </c>
      <c r="K504" t="str">
        <f t="shared" ca="1" si="30"/>
        <v>_XX_</v>
      </c>
      <c r="L504" t="str">
        <f t="shared" ca="1" si="31"/>
        <v/>
      </c>
      <c r="M504" t="str">
        <f>IFERROR(INDEX(Inventory!A:A,MATCH(Scan!A504,Inventory!E:E,0)),"")</f>
        <v/>
      </c>
    </row>
    <row r="505" spans="2:13" x14ac:dyDescent="0.3">
      <c r="B505" t="str">
        <f>IF(IFERROR(VLOOKUP(TRIM(A505),Inventory!E:E,1,0),0)=0,"X","_")</f>
        <v>_</v>
      </c>
      <c r="C505" t="str">
        <f>IF(IFERROR(VLOOKUP(TRIM(A505),'Full Inventory'!F:F,1,0),0)=0,"X","_")</f>
        <v>X</v>
      </c>
      <c r="D505" t="str">
        <f t="shared" si="28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F505" t="str">
        <f t="shared" si="29"/>
        <v>_</v>
      </c>
      <c r="K505" t="str">
        <f t="shared" ca="1" si="30"/>
        <v>_XX_</v>
      </c>
      <c r="L505" t="str">
        <f t="shared" ca="1" si="31"/>
        <v/>
      </c>
      <c r="M505" t="str">
        <f>IFERROR(INDEX(Inventory!A:A,MATCH(Scan!A505,Inventory!E:E,0)),"")</f>
        <v/>
      </c>
    </row>
    <row r="506" spans="2:13" x14ac:dyDescent="0.3">
      <c r="B506" t="str">
        <f>IF(IFERROR(VLOOKUP(TRIM(A506),Inventory!E:E,1,0),0)=0,"X","_")</f>
        <v>_</v>
      </c>
      <c r="C506" t="str">
        <f>IF(IFERROR(VLOOKUP(TRIM(A506),'Full Inventory'!F:F,1,0),0)=0,"X","_")</f>
        <v>X</v>
      </c>
      <c r="D506" t="str">
        <f t="shared" si="28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F506" t="str">
        <f t="shared" si="29"/>
        <v>_</v>
      </c>
      <c r="K506" t="str">
        <f t="shared" ca="1" si="30"/>
        <v>_XX_</v>
      </c>
      <c r="L506" t="str">
        <f t="shared" ca="1" si="31"/>
        <v/>
      </c>
      <c r="M506" t="str">
        <f>IFERROR(INDEX(Inventory!A:A,MATCH(Scan!A506,Inventory!E:E,0)),"")</f>
        <v/>
      </c>
    </row>
    <row r="507" spans="2:13" x14ac:dyDescent="0.3">
      <c r="B507" t="str">
        <f>IF(IFERROR(VLOOKUP(TRIM(A507),Inventory!E:E,1,0),0)=0,"X","_")</f>
        <v>_</v>
      </c>
      <c r="C507" t="str">
        <f>IF(IFERROR(VLOOKUP(TRIM(A507),'Full Inventory'!F:F,1,0),0)=0,"X","_")</f>
        <v>X</v>
      </c>
      <c r="D507" t="str">
        <f t="shared" si="28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F507" t="str">
        <f t="shared" si="29"/>
        <v>_</v>
      </c>
      <c r="K507" t="str">
        <f t="shared" ca="1" si="30"/>
        <v>_XX_</v>
      </c>
      <c r="L507" t="str">
        <f t="shared" ca="1" si="31"/>
        <v/>
      </c>
      <c r="M507" t="str">
        <f>IFERROR(INDEX(Inventory!A:A,MATCH(Scan!A507,Inventory!E:E,0)),"")</f>
        <v/>
      </c>
    </row>
    <row r="508" spans="2:13" x14ac:dyDescent="0.3">
      <c r="B508" t="str">
        <f>IF(IFERROR(VLOOKUP(TRIM(A508),Inventory!E:E,1,0),0)=0,"X","_")</f>
        <v>_</v>
      </c>
      <c r="C508" t="str">
        <f>IF(IFERROR(VLOOKUP(TRIM(A508),'Full Inventory'!F:F,1,0),0)=0,"X","_")</f>
        <v>X</v>
      </c>
      <c r="D508" t="str">
        <f t="shared" si="28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F508" t="str">
        <f t="shared" si="29"/>
        <v>_</v>
      </c>
      <c r="K508" t="str">
        <f t="shared" ca="1" si="30"/>
        <v>_XX_</v>
      </c>
      <c r="L508" t="str">
        <f t="shared" ca="1" si="31"/>
        <v/>
      </c>
      <c r="M508" t="str">
        <f>IFERROR(INDEX(Inventory!A:A,MATCH(Scan!A508,Inventory!E:E,0)),"")</f>
        <v/>
      </c>
    </row>
    <row r="509" spans="2:13" x14ac:dyDescent="0.3">
      <c r="B509" t="str">
        <f>IF(IFERROR(VLOOKUP(TRIM(A509),Inventory!E:E,1,0),0)=0,"X","_")</f>
        <v>_</v>
      </c>
      <c r="C509" t="str">
        <f>IF(IFERROR(VLOOKUP(TRIM(A509),'Full Inventory'!F:F,1,0),0)=0,"X","_")</f>
        <v>X</v>
      </c>
      <c r="D509" t="str">
        <f t="shared" si="28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F509" t="str">
        <f t="shared" si="29"/>
        <v>_</v>
      </c>
      <c r="K509" t="str">
        <f t="shared" ca="1" si="30"/>
        <v>_XX_</v>
      </c>
      <c r="L509" t="str">
        <f t="shared" ca="1" si="31"/>
        <v/>
      </c>
      <c r="M509" t="str">
        <f>IFERROR(INDEX(Inventory!A:A,MATCH(Scan!A509,Inventory!E:E,0)),"")</f>
        <v/>
      </c>
    </row>
    <row r="510" spans="2:13" x14ac:dyDescent="0.3">
      <c r="B510" t="str">
        <f>IF(IFERROR(VLOOKUP(TRIM(A510),Inventory!E:E,1,0),0)=0,"X","_")</f>
        <v>_</v>
      </c>
      <c r="C510" t="str">
        <f>IF(IFERROR(VLOOKUP(TRIM(A510),'Full Inventory'!F:F,1,0),0)=0,"X","_")</f>
        <v>X</v>
      </c>
      <c r="D510" t="str">
        <f t="shared" si="28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F510" t="str">
        <f t="shared" si="29"/>
        <v>_</v>
      </c>
      <c r="K510" t="str">
        <f t="shared" ca="1" si="30"/>
        <v>_XX_</v>
      </c>
      <c r="L510" t="str">
        <f t="shared" ca="1" si="31"/>
        <v/>
      </c>
      <c r="M510" t="str">
        <f>IFERROR(INDEX(Inventory!A:A,MATCH(Scan!A510,Inventory!E:E,0)),"")</f>
        <v/>
      </c>
    </row>
    <row r="511" spans="2:13" x14ac:dyDescent="0.3">
      <c r="B511" t="str">
        <f>IF(IFERROR(VLOOKUP(TRIM(A511),Inventory!E:E,1,0),0)=0,"X","_")</f>
        <v>_</v>
      </c>
      <c r="C511" t="str">
        <f>IF(IFERROR(VLOOKUP(TRIM(A511),'Full Inventory'!F:F,1,0),0)=0,"X","_")</f>
        <v>X</v>
      </c>
      <c r="D511" t="str">
        <f t="shared" si="28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F511" t="str">
        <f t="shared" si="29"/>
        <v>_</v>
      </c>
      <c r="K511" t="str">
        <f t="shared" ca="1" si="30"/>
        <v>_XX_</v>
      </c>
      <c r="L511" t="str">
        <f t="shared" ca="1" si="31"/>
        <v/>
      </c>
      <c r="M511" t="str">
        <f>IFERROR(INDEX(Inventory!A:A,MATCH(Scan!A511,Inventory!E:E,0)),"")</f>
        <v/>
      </c>
    </row>
    <row r="512" spans="2:13" x14ac:dyDescent="0.3">
      <c r="B512" t="str">
        <f>IF(IFERROR(VLOOKUP(TRIM(A512),Inventory!E:E,1,0),0)=0,"X","_")</f>
        <v>_</v>
      </c>
      <c r="C512" t="str">
        <f>IF(IFERROR(VLOOKUP(TRIM(A512),'Full Inventory'!F:F,1,0),0)=0,"X","_")</f>
        <v>X</v>
      </c>
      <c r="D512" t="str">
        <f t="shared" si="28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F512" t="str">
        <f t="shared" si="29"/>
        <v>_</v>
      </c>
      <c r="K512" t="str">
        <f t="shared" ca="1" si="30"/>
        <v>_XX_</v>
      </c>
      <c r="L512" t="str">
        <f t="shared" ca="1" si="31"/>
        <v/>
      </c>
      <c r="M512" t="str">
        <f>IFERROR(INDEX(Inventory!A:A,MATCH(Scan!A512,Inventory!E:E,0)),"")</f>
        <v/>
      </c>
    </row>
    <row r="513" spans="2:13" x14ac:dyDescent="0.3">
      <c r="B513" t="str">
        <f>IF(IFERROR(VLOOKUP(TRIM(A513),Inventory!E:E,1,0),0)=0,"X","_")</f>
        <v>_</v>
      </c>
      <c r="C513" t="str">
        <f>IF(IFERROR(VLOOKUP(TRIM(A513),'Full Inventory'!F:F,1,0),0)=0,"X","_")</f>
        <v>X</v>
      </c>
      <c r="D513" t="str">
        <f t="shared" si="28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F513" t="str">
        <f t="shared" si="29"/>
        <v>_</v>
      </c>
      <c r="K513" t="str">
        <f t="shared" ca="1" si="30"/>
        <v>_XX_</v>
      </c>
      <c r="L513" t="str">
        <f t="shared" ca="1" si="31"/>
        <v/>
      </c>
      <c r="M513" t="str">
        <f>IFERROR(INDEX(Inventory!A:A,MATCH(Scan!A513,Inventory!E:E,0)),"")</f>
        <v/>
      </c>
    </row>
    <row r="514" spans="2:13" x14ac:dyDescent="0.3">
      <c r="B514" t="str">
        <f>IF(IFERROR(VLOOKUP(TRIM(A514),Inventory!E:E,1,0),0)=0,"X","_")</f>
        <v>_</v>
      </c>
      <c r="C514" t="str">
        <f>IF(IFERROR(VLOOKUP(TRIM(A514),'Full Inventory'!F:F,1,0),0)=0,"X","_")</f>
        <v>X</v>
      </c>
      <c r="D514" t="str">
        <f t="shared" ref="D514:D577" si="32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F514" t="str">
        <f t="shared" si="29"/>
        <v>_</v>
      </c>
      <c r="K514" t="str">
        <f t="shared" ca="1" si="30"/>
        <v>_XX_</v>
      </c>
      <c r="L514" t="str">
        <f t="shared" ca="1" si="31"/>
        <v/>
      </c>
      <c r="M514" t="str">
        <f>IFERROR(INDEX(Inventory!A:A,MATCH(Scan!A514,Inventory!E:E,0)),"")</f>
        <v/>
      </c>
    </row>
    <row r="515" spans="2:13" x14ac:dyDescent="0.3">
      <c r="B515" t="str">
        <f>IF(IFERROR(VLOOKUP(TRIM(A515),Inventory!E:E,1,0),0)=0,"X","_")</f>
        <v>_</v>
      </c>
      <c r="C515" t="str">
        <f>IF(IFERROR(VLOOKUP(TRIM(A515),'Full Inventory'!F:F,1,0),0)=0,"X","_")</f>
        <v>X</v>
      </c>
      <c r="D515" t="str">
        <f t="shared" si="32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F515" t="str">
        <f t="shared" ref="F515:F578" si="33">IF(IFERROR(SEARCH("ö",A515),0)&gt;0,"X","_")</f>
        <v>_</v>
      </c>
      <c r="K515" t="str">
        <f t="shared" ref="K515:K578" ca="1" si="34">B515&amp;C515&amp;D515&amp;E515</f>
        <v>_XX_</v>
      </c>
      <c r="L515" t="str">
        <f t="shared" ref="L515:L578" ca="1" si="35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3">
      <c r="B516" t="str">
        <f>IF(IFERROR(VLOOKUP(TRIM(A516),Inventory!E:E,1,0),0)=0,"X","_")</f>
        <v>_</v>
      </c>
      <c r="C516" t="str">
        <f>IF(IFERROR(VLOOKUP(TRIM(A516),'Full Inventory'!F:F,1,0),0)=0,"X","_")</f>
        <v>X</v>
      </c>
      <c r="D516" t="str">
        <f t="shared" si="32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F516" t="str">
        <f t="shared" si="33"/>
        <v>_</v>
      </c>
      <c r="K516" t="str">
        <f t="shared" ca="1" si="34"/>
        <v>_XX_</v>
      </c>
      <c r="L516" t="str">
        <f t="shared" ca="1" si="35"/>
        <v/>
      </c>
      <c r="M516" t="str">
        <f>IFERROR(INDEX(Inventory!A:A,MATCH(Scan!A516,Inventory!E:E,0)),"")</f>
        <v/>
      </c>
    </row>
    <row r="517" spans="2:13" x14ac:dyDescent="0.3">
      <c r="B517" t="str">
        <f>IF(IFERROR(VLOOKUP(TRIM(A517),Inventory!E:E,1,0),0)=0,"X","_")</f>
        <v>_</v>
      </c>
      <c r="C517" t="str">
        <f>IF(IFERROR(VLOOKUP(TRIM(A517),'Full Inventory'!F:F,1,0),0)=0,"X","_")</f>
        <v>X</v>
      </c>
      <c r="D517" t="str">
        <f t="shared" si="32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F517" t="str">
        <f t="shared" si="33"/>
        <v>_</v>
      </c>
      <c r="K517" t="str">
        <f t="shared" ca="1" si="34"/>
        <v>_XX_</v>
      </c>
      <c r="L517" t="str">
        <f t="shared" ca="1" si="35"/>
        <v/>
      </c>
      <c r="M517" t="str">
        <f>IFERROR(INDEX(Inventory!A:A,MATCH(Scan!A517,Inventory!E:E,0)),"")</f>
        <v/>
      </c>
    </row>
    <row r="518" spans="2:13" x14ac:dyDescent="0.3">
      <c r="B518" t="str">
        <f>IF(IFERROR(VLOOKUP(TRIM(A518),Inventory!E:E,1,0),0)=0,"X","_")</f>
        <v>_</v>
      </c>
      <c r="C518" t="str">
        <f>IF(IFERROR(VLOOKUP(TRIM(A518),'Full Inventory'!F:F,1,0),0)=0,"X","_")</f>
        <v>X</v>
      </c>
      <c r="D518" t="str">
        <f t="shared" si="32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F518" t="str">
        <f t="shared" si="33"/>
        <v>_</v>
      </c>
      <c r="K518" t="str">
        <f t="shared" ca="1" si="34"/>
        <v>_XX_</v>
      </c>
      <c r="L518" t="str">
        <f t="shared" ca="1" si="35"/>
        <v/>
      </c>
      <c r="M518" t="str">
        <f>IFERROR(INDEX(Inventory!A:A,MATCH(Scan!A518,Inventory!E:E,0)),"")</f>
        <v/>
      </c>
    </row>
    <row r="519" spans="2:13" x14ac:dyDescent="0.3">
      <c r="B519" t="str">
        <f>IF(IFERROR(VLOOKUP(TRIM(A519),Inventory!E:E,1,0),0)=0,"X","_")</f>
        <v>_</v>
      </c>
      <c r="C519" t="str">
        <f>IF(IFERROR(VLOOKUP(TRIM(A519),'Full Inventory'!F:F,1,0),0)=0,"X","_")</f>
        <v>X</v>
      </c>
      <c r="D519" t="str">
        <f t="shared" si="32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F519" t="str">
        <f t="shared" si="33"/>
        <v>_</v>
      </c>
      <c r="K519" t="str">
        <f t="shared" ca="1" si="34"/>
        <v>_XX_</v>
      </c>
      <c r="L519" t="str">
        <f t="shared" ca="1" si="35"/>
        <v/>
      </c>
      <c r="M519" t="str">
        <f>IFERROR(INDEX(Inventory!A:A,MATCH(Scan!A519,Inventory!E:E,0)),"")</f>
        <v/>
      </c>
    </row>
    <row r="520" spans="2:13" x14ac:dyDescent="0.3">
      <c r="B520" t="str">
        <f>IF(IFERROR(VLOOKUP(TRIM(A520),Inventory!E:E,1,0),0)=0,"X","_")</f>
        <v>_</v>
      </c>
      <c r="C520" t="str">
        <f>IF(IFERROR(VLOOKUP(TRIM(A520),'Full Inventory'!F:F,1,0),0)=0,"X","_")</f>
        <v>X</v>
      </c>
      <c r="D520" t="str">
        <f t="shared" si="32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F520" t="str">
        <f t="shared" si="33"/>
        <v>_</v>
      </c>
      <c r="K520" t="str">
        <f t="shared" ca="1" si="34"/>
        <v>_XX_</v>
      </c>
      <c r="L520" t="str">
        <f t="shared" ca="1" si="35"/>
        <v/>
      </c>
      <c r="M520" t="str">
        <f>IFERROR(INDEX(Inventory!A:A,MATCH(Scan!A520,Inventory!E:E,0)),"")</f>
        <v/>
      </c>
    </row>
    <row r="521" spans="2:13" x14ac:dyDescent="0.3">
      <c r="B521" t="str">
        <f>IF(IFERROR(VLOOKUP(TRIM(A521),Inventory!E:E,1,0),0)=0,"X","_")</f>
        <v>_</v>
      </c>
      <c r="C521" t="str">
        <f>IF(IFERROR(VLOOKUP(TRIM(A521),'Full Inventory'!F:F,1,0),0)=0,"X","_")</f>
        <v>X</v>
      </c>
      <c r="D521" t="str">
        <f t="shared" si="32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F521" t="str">
        <f t="shared" si="33"/>
        <v>_</v>
      </c>
      <c r="K521" t="str">
        <f t="shared" ca="1" si="34"/>
        <v>_XX_</v>
      </c>
      <c r="L521" t="str">
        <f t="shared" ca="1" si="35"/>
        <v/>
      </c>
      <c r="M521" t="str">
        <f>IFERROR(INDEX(Inventory!A:A,MATCH(Scan!A521,Inventory!E:E,0)),"")</f>
        <v/>
      </c>
    </row>
    <row r="522" spans="2:13" x14ac:dyDescent="0.3">
      <c r="B522" t="str">
        <f>IF(IFERROR(VLOOKUP(TRIM(A522),Inventory!E:E,1,0),0)=0,"X","_")</f>
        <v>_</v>
      </c>
      <c r="C522" t="str">
        <f>IF(IFERROR(VLOOKUP(TRIM(A522),'Full Inventory'!F:F,1,0),0)=0,"X","_")</f>
        <v>X</v>
      </c>
      <c r="D522" t="str">
        <f t="shared" si="32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F522" t="str">
        <f t="shared" si="33"/>
        <v>_</v>
      </c>
      <c r="K522" t="str">
        <f t="shared" ca="1" si="34"/>
        <v>_XX_</v>
      </c>
      <c r="L522" t="str">
        <f t="shared" ca="1" si="35"/>
        <v/>
      </c>
      <c r="M522" t="str">
        <f>IFERROR(INDEX(Inventory!A:A,MATCH(Scan!A522,Inventory!E:E,0)),"")</f>
        <v/>
      </c>
    </row>
    <row r="523" spans="2:13" x14ac:dyDescent="0.3">
      <c r="B523" t="str">
        <f>IF(IFERROR(VLOOKUP(TRIM(A523),Inventory!E:E,1,0),0)=0,"X","_")</f>
        <v>_</v>
      </c>
      <c r="C523" t="str">
        <f>IF(IFERROR(VLOOKUP(TRIM(A523),'Full Inventory'!F:F,1,0),0)=0,"X","_")</f>
        <v>X</v>
      </c>
      <c r="D523" t="str">
        <f t="shared" si="32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F523" t="str">
        <f t="shared" si="33"/>
        <v>_</v>
      </c>
      <c r="K523" t="str">
        <f t="shared" ca="1" si="34"/>
        <v>_XX_</v>
      </c>
      <c r="L523" t="str">
        <f t="shared" ca="1" si="35"/>
        <v/>
      </c>
      <c r="M523" t="str">
        <f>IFERROR(INDEX(Inventory!A:A,MATCH(Scan!A523,Inventory!E:E,0)),"")</f>
        <v/>
      </c>
    </row>
    <row r="524" spans="2:13" x14ac:dyDescent="0.3">
      <c r="B524" t="str">
        <f>IF(IFERROR(VLOOKUP(TRIM(A524),Inventory!E:E,1,0),0)=0,"X","_")</f>
        <v>_</v>
      </c>
      <c r="C524" t="str">
        <f>IF(IFERROR(VLOOKUP(TRIM(A524),'Full Inventory'!F:F,1,0),0)=0,"X","_")</f>
        <v>X</v>
      </c>
      <c r="D524" t="str">
        <f t="shared" si="32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F524" t="str">
        <f t="shared" si="33"/>
        <v>_</v>
      </c>
      <c r="K524" t="str">
        <f t="shared" ca="1" si="34"/>
        <v>_XX_</v>
      </c>
      <c r="L524" t="str">
        <f t="shared" ca="1" si="35"/>
        <v/>
      </c>
      <c r="M524" t="str">
        <f>IFERROR(INDEX(Inventory!A:A,MATCH(Scan!A524,Inventory!E:E,0)),"")</f>
        <v/>
      </c>
    </row>
    <row r="525" spans="2:13" x14ac:dyDescent="0.3">
      <c r="B525" t="str">
        <f>IF(IFERROR(VLOOKUP(TRIM(A525),Inventory!E:E,1,0),0)=0,"X","_")</f>
        <v>_</v>
      </c>
      <c r="C525" t="str">
        <f>IF(IFERROR(VLOOKUP(TRIM(A525),'Full Inventory'!F:F,1,0),0)=0,"X","_")</f>
        <v>X</v>
      </c>
      <c r="D525" t="str">
        <f t="shared" si="32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F525" t="str">
        <f t="shared" si="33"/>
        <v>_</v>
      </c>
      <c r="K525" t="str">
        <f t="shared" ca="1" si="34"/>
        <v>_XX_</v>
      </c>
      <c r="L525" t="str">
        <f t="shared" ca="1" si="35"/>
        <v/>
      </c>
      <c r="M525" t="str">
        <f>IFERROR(INDEX(Inventory!A:A,MATCH(Scan!A525,Inventory!E:E,0)),"")</f>
        <v/>
      </c>
    </row>
    <row r="526" spans="2:13" x14ac:dyDescent="0.3">
      <c r="B526" t="str">
        <f>IF(IFERROR(VLOOKUP(TRIM(A526),Inventory!E:E,1,0),0)=0,"X","_")</f>
        <v>_</v>
      </c>
      <c r="C526" t="str">
        <f>IF(IFERROR(VLOOKUP(TRIM(A526),'Full Inventory'!F:F,1,0),0)=0,"X","_")</f>
        <v>X</v>
      </c>
      <c r="D526" t="str">
        <f t="shared" si="32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F526" t="str">
        <f t="shared" si="33"/>
        <v>_</v>
      </c>
      <c r="K526" t="str">
        <f t="shared" ca="1" si="34"/>
        <v>_XX_</v>
      </c>
      <c r="L526" t="str">
        <f t="shared" ca="1" si="35"/>
        <v/>
      </c>
      <c r="M526" t="str">
        <f>IFERROR(INDEX(Inventory!A:A,MATCH(Scan!A526,Inventory!E:E,0)),"")</f>
        <v/>
      </c>
    </row>
    <row r="527" spans="2:13" x14ac:dyDescent="0.3">
      <c r="B527" t="str">
        <f>IF(IFERROR(VLOOKUP(TRIM(A527),Inventory!E:E,1,0),0)=0,"X","_")</f>
        <v>_</v>
      </c>
      <c r="C527" t="str">
        <f>IF(IFERROR(VLOOKUP(TRIM(A527),'Full Inventory'!F:F,1,0),0)=0,"X","_")</f>
        <v>X</v>
      </c>
      <c r="D527" t="str">
        <f t="shared" si="32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F527" t="str">
        <f t="shared" si="33"/>
        <v>_</v>
      </c>
      <c r="K527" t="str">
        <f t="shared" ca="1" si="34"/>
        <v>_XX_</v>
      </c>
      <c r="L527" t="str">
        <f t="shared" ca="1" si="35"/>
        <v/>
      </c>
      <c r="M527" t="str">
        <f>IFERROR(INDEX(Inventory!A:A,MATCH(Scan!A527,Inventory!E:E,0)),"")</f>
        <v/>
      </c>
    </row>
    <row r="528" spans="2:13" x14ac:dyDescent="0.3">
      <c r="B528" t="str">
        <f>IF(IFERROR(VLOOKUP(TRIM(A528),Inventory!E:E,1,0),0)=0,"X","_")</f>
        <v>_</v>
      </c>
      <c r="C528" t="str">
        <f>IF(IFERROR(VLOOKUP(TRIM(A528),'Full Inventory'!F:F,1,0),0)=0,"X","_")</f>
        <v>X</v>
      </c>
      <c r="D528" t="str">
        <f t="shared" si="32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F528" t="str">
        <f t="shared" si="33"/>
        <v>_</v>
      </c>
      <c r="K528" t="str">
        <f t="shared" ca="1" si="34"/>
        <v>_XX_</v>
      </c>
      <c r="L528" t="str">
        <f t="shared" ca="1" si="35"/>
        <v/>
      </c>
      <c r="M528" t="str">
        <f>IFERROR(INDEX(Inventory!A:A,MATCH(Scan!A528,Inventory!E:E,0)),"")</f>
        <v/>
      </c>
    </row>
    <row r="529" spans="2:13" x14ac:dyDescent="0.3">
      <c r="B529" t="str">
        <f>IF(IFERROR(VLOOKUP(TRIM(A529),Inventory!E:E,1,0),0)=0,"X","_")</f>
        <v>_</v>
      </c>
      <c r="C529" t="str">
        <f>IF(IFERROR(VLOOKUP(TRIM(A529),'Full Inventory'!F:F,1,0),0)=0,"X","_")</f>
        <v>X</v>
      </c>
      <c r="D529" t="str">
        <f t="shared" si="32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F529" t="str">
        <f t="shared" si="33"/>
        <v>_</v>
      </c>
      <c r="K529" t="str">
        <f t="shared" ca="1" si="34"/>
        <v>_XX_</v>
      </c>
      <c r="L529" t="str">
        <f t="shared" ca="1" si="35"/>
        <v/>
      </c>
      <c r="M529" t="str">
        <f>IFERROR(INDEX(Inventory!A:A,MATCH(Scan!A529,Inventory!E:E,0)),"")</f>
        <v/>
      </c>
    </row>
    <row r="530" spans="2:13" x14ac:dyDescent="0.3">
      <c r="B530" t="str">
        <f>IF(IFERROR(VLOOKUP(TRIM(A530),Inventory!E:E,1,0),0)=0,"X","_")</f>
        <v>_</v>
      </c>
      <c r="C530" t="str">
        <f>IF(IFERROR(VLOOKUP(TRIM(A530),'Full Inventory'!F:F,1,0),0)=0,"X","_")</f>
        <v>X</v>
      </c>
      <c r="D530" t="str">
        <f t="shared" si="32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F530" t="str">
        <f t="shared" si="33"/>
        <v>_</v>
      </c>
      <c r="K530" t="str">
        <f t="shared" ca="1" si="34"/>
        <v>_XX_</v>
      </c>
      <c r="L530" t="str">
        <f t="shared" ca="1" si="35"/>
        <v/>
      </c>
      <c r="M530" t="str">
        <f>IFERROR(INDEX(Inventory!A:A,MATCH(Scan!A530,Inventory!E:E,0)),"")</f>
        <v/>
      </c>
    </row>
    <row r="531" spans="2:13" x14ac:dyDescent="0.3">
      <c r="B531" t="str">
        <f>IF(IFERROR(VLOOKUP(TRIM(A531),Inventory!E:E,1,0),0)=0,"X","_")</f>
        <v>_</v>
      </c>
      <c r="C531" t="str">
        <f>IF(IFERROR(VLOOKUP(TRIM(A531),'Full Inventory'!F:F,1,0),0)=0,"X","_")</f>
        <v>X</v>
      </c>
      <c r="D531" t="str">
        <f t="shared" si="32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F531" t="str">
        <f t="shared" si="33"/>
        <v>_</v>
      </c>
      <c r="K531" t="str">
        <f t="shared" ca="1" si="34"/>
        <v>_XX_</v>
      </c>
      <c r="L531" t="str">
        <f t="shared" ca="1" si="35"/>
        <v/>
      </c>
      <c r="M531" t="str">
        <f>IFERROR(INDEX(Inventory!A:A,MATCH(Scan!A531,Inventory!E:E,0)),"")</f>
        <v/>
      </c>
    </row>
    <row r="532" spans="2:13" x14ac:dyDescent="0.3">
      <c r="B532" t="str">
        <f>IF(IFERROR(VLOOKUP(TRIM(A532),Inventory!E:E,1,0),0)=0,"X","_")</f>
        <v>_</v>
      </c>
      <c r="C532" t="str">
        <f>IF(IFERROR(VLOOKUP(TRIM(A532),'Full Inventory'!F:F,1,0),0)=0,"X","_")</f>
        <v>X</v>
      </c>
      <c r="D532" t="str">
        <f t="shared" si="32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F532" t="str">
        <f t="shared" si="33"/>
        <v>_</v>
      </c>
      <c r="K532" t="str">
        <f t="shared" ca="1" si="34"/>
        <v>_XX_</v>
      </c>
      <c r="L532" t="str">
        <f t="shared" ca="1" si="35"/>
        <v/>
      </c>
      <c r="M532" t="str">
        <f>IFERROR(INDEX(Inventory!A:A,MATCH(Scan!A532,Inventory!E:E,0)),"")</f>
        <v/>
      </c>
    </row>
    <row r="533" spans="2:13" x14ac:dyDescent="0.3">
      <c r="B533" t="str">
        <f>IF(IFERROR(VLOOKUP(TRIM(A533),Inventory!E:E,1,0),0)=0,"X","_")</f>
        <v>_</v>
      </c>
      <c r="C533" t="str">
        <f>IF(IFERROR(VLOOKUP(TRIM(A533),'Full Inventory'!F:F,1,0),0)=0,"X","_")</f>
        <v>X</v>
      </c>
      <c r="D533" t="str">
        <f t="shared" si="32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F533" t="str">
        <f t="shared" si="33"/>
        <v>_</v>
      </c>
      <c r="K533" t="str">
        <f t="shared" ca="1" si="34"/>
        <v>_XX_</v>
      </c>
      <c r="L533" t="str">
        <f t="shared" ca="1" si="35"/>
        <v/>
      </c>
      <c r="M533" t="str">
        <f>IFERROR(INDEX(Inventory!A:A,MATCH(Scan!A533,Inventory!E:E,0)),"")</f>
        <v/>
      </c>
    </row>
    <row r="534" spans="2:13" x14ac:dyDescent="0.3">
      <c r="B534" t="str">
        <f>IF(IFERROR(VLOOKUP(TRIM(A534),Inventory!E:E,1,0),0)=0,"X","_")</f>
        <v>_</v>
      </c>
      <c r="C534" t="str">
        <f>IF(IFERROR(VLOOKUP(TRIM(A534),'Full Inventory'!F:F,1,0),0)=0,"X","_")</f>
        <v>X</v>
      </c>
      <c r="D534" t="str">
        <f t="shared" si="32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F534" t="str">
        <f t="shared" si="33"/>
        <v>_</v>
      </c>
      <c r="K534" t="str">
        <f t="shared" ca="1" si="34"/>
        <v>_XX_</v>
      </c>
      <c r="L534" t="str">
        <f t="shared" ca="1" si="35"/>
        <v/>
      </c>
      <c r="M534" t="str">
        <f>IFERROR(INDEX(Inventory!A:A,MATCH(Scan!A534,Inventory!E:E,0)),"")</f>
        <v/>
      </c>
    </row>
    <row r="535" spans="2:13" x14ac:dyDescent="0.3">
      <c r="B535" t="str">
        <f>IF(IFERROR(VLOOKUP(TRIM(A535),Inventory!E:E,1,0),0)=0,"X","_")</f>
        <v>_</v>
      </c>
      <c r="C535" t="str">
        <f>IF(IFERROR(VLOOKUP(TRIM(A535),'Full Inventory'!F:F,1,0),0)=0,"X","_")</f>
        <v>X</v>
      </c>
      <c r="D535" t="str">
        <f t="shared" si="32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F535" t="str">
        <f t="shared" si="33"/>
        <v>_</v>
      </c>
      <c r="K535" t="str">
        <f t="shared" ca="1" si="34"/>
        <v>_XX_</v>
      </c>
      <c r="L535" t="str">
        <f t="shared" ca="1" si="35"/>
        <v/>
      </c>
      <c r="M535" t="str">
        <f>IFERROR(INDEX(Inventory!A:A,MATCH(Scan!A535,Inventory!E:E,0)),"")</f>
        <v/>
      </c>
    </row>
    <row r="536" spans="2:13" x14ac:dyDescent="0.3">
      <c r="B536" t="str">
        <f>IF(IFERROR(VLOOKUP(TRIM(A536),Inventory!E:E,1,0),0)=0,"X","_")</f>
        <v>_</v>
      </c>
      <c r="C536" t="str">
        <f>IF(IFERROR(VLOOKUP(TRIM(A536),'Full Inventory'!F:F,1,0),0)=0,"X","_")</f>
        <v>X</v>
      </c>
      <c r="D536" t="str">
        <f t="shared" si="32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F536" t="str">
        <f t="shared" si="33"/>
        <v>_</v>
      </c>
      <c r="K536" t="str">
        <f t="shared" ca="1" si="34"/>
        <v>_XX_</v>
      </c>
      <c r="L536" t="str">
        <f t="shared" ca="1" si="35"/>
        <v/>
      </c>
      <c r="M536" t="str">
        <f>IFERROR(INDEX(Inventory!A:A,MATCH(Scan!A536,Inventory!E:E,0)),"")</f>
        <v/>
      </c>
    </row>
    <row r="537" spans="2:13" x14ac:dyDescent="0.3">
      <c r="B537" t="str">
        <f>IF(IFERROR(VLOOKUP(TRIM(A537),Inventory!E:E,1,0),0)=0,"X","_")</f>
        <v>_</v>
      </c>
      <c r="C537" t="str">
        <f>IF(IFERROR(VLOOKUP(TRIM(A537),'Full Inventory'!F:F,1,0),0)=0,"X","_")</f>
        <v>X</v>
      </c>
      <c r="D537" t="str">
        <f t="shared" si="32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F537" t="str">
        <f t="shared" si="33"/>
        <v>_</v>
      </c>
      <c r="K537" t="str">
        <f t="shared" ca="1" si="34"/>
        <v>_XX_</v>
      </c>
      <c r="L537" t="str">
        <f t="shared" ca="1" si="35"/>
        <v/>
      </c>
      <c r="M537" t="str">
        <f>IFERROR(INDEX(Inventory!A:A,MATCH(Scan!A537,Inventory!E:E,0)),"")</f>
        <v/>
      </c>
    </row>
    <row r="538" spans="2:13" x14ac:dyDescent="0.3">
      <c r="B538" t="str">
        <f>IF(IFERROR(VLOOKUP(TRIM(A538),Inventory!E:E,1,0),0)=0,"X","_")</f>
        <v>_</v>
      </c>
      <c r="C538" t="str">
        <f>IF(IFERROR(VLOOKUP(TRIM(A538),'Full Inventory'!F:F,1,0),0)=0,"X","_")</f>
        <v>X</v>
      </c>
      <c r="D538" t="str">
        <f t="shared" si="32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F538" t="str">
        <f t="shared" si="33"/>
        <v>_</v>
      </c>
      <c r="K538" t="str">
        <f t="shared" ca="1" si="34"/>
        <v>_XX_</v>
      </c>
      <c r="L538" t="str">
        <f t="shared" ca="1" si="35"/>
        <v/>
      </c>
      <c r="M538" t="str">
        <f>IFERROR(INDEX(Inventory!A:A,MATCH(Scan!A538,Inventory!E:E,0)),"")</f>
        <v/>
      </c>
    </row>
    <row r="539" spans="2:13" x14ac:dyDescent="0.3">
      <c r="B539" t="str">
        <f>IF(IFERROR(VLOOKUP(TRIM(A539),Inventory!E:E,1,0),0)=0,"X","_")</f>
        <v>_</v>
      </c>
      <c r="C539" t="str">
        <f>IF(IFERROR(VLOOKUP(TRIM(A539),'Full Inventory'!F:F,1,0),0)=0,"X","_")</f>
        <v>X</v>
      </c>
      <c r="D539" t="str">
        <f t="shared" si="32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F539" t="str">
        <f t="shared" si="33"/>
        <v>_</v>
      </c>
      <c r="K539" t="str">
        <f t="shared" ca="1" si="34"/>
        <v>_XX_</v>
      </c>
      <c r="L539" t="str">
        <f t="shared" ca="1" si="35"/>
        <v/>
      </c>
      <c r="M539" t="str">
        <f>IFERROR(INDEX(Inventory!A:A,MATCH(Scan!A539,Inventory!E:E,0)),"")</f>
        <v/>
      </c>
    </row>
    <row r="540" spans="2:13" x14ac:dyDescent="0.3">
      <c r="B540" t="str">
        <f>IF(IFERROR(VLOOKUP(TRIM(A540),Inventory!E:E,1,0),0)=0,"X","_")</f>
        <v>_</v>
      </c>
      <c r="C540" t="str">
        <f>IF(IFERROR(VLOOKUP(TRIM(A540),'Full Inventory'!F:F,1,0),0)=0,"X","_")</f>
        <v>X</v>
      </c>
      <c r="D540" t="str">
        <f t="shared" si="32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F540" t="str">
        <f t="shared" si="33"/>
        <v>_</v>
      </c>
      <c r="K540" t="str">
        <f t="shared" ca="1" si="34"/>
        <v>_XX_</v>
      </c>
      <c r="L540" t="str">
        <f t="shared" ca="1" si="35"/>
        <v/>
      </c>
      <c r="M540" t="str">
        <f>IFERROR(INDEX(Inventory!A:A,MATCH(Scan!A540,Inventory!E:E,0)),"")</f>
        <v/>
      </c>
    </row>
    <row r="541" spans="2:13" x14ac:dyDescent="0.3">
      <c r="B541" t="str">
        <f>IF(IFERROR(VLOOKUP(TRIM(A541),Inventory!E:E,1,0),0)=0,"X","_")</f>
        <v>_</v>
      </c>
      <c r="C541" t="str">
        <f>IF(IFERROR(VLOOKUP(TRIM(A541),'Full Inventory'!F:F,1,0),0)=0,"X","_")</f>
        <v>X</v>
      </c>
      <c r="D541" t="str">
        <f t="shared" si="32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F541" t="str">
        <f t="shared" si="33"/>
        <v>_</v>
      </c>
      <c r="K541" t="str">
        <f t="shared" ca="1" si="34"/>
        <v>_XX_</v>
      </c>
      <c r="L541" t="str">
        <f t="shared" ca="1" si="35"/>
        <v/>
      </c>
      <c r="M541" t="str">
        <f>IFERROR(INDEX(Inventory!A:A,MATCH(Scan!A541,Inventory!E:E,0)),"")</f>
        <v/>
      </c>
    </row>
    <row r="542" spans="2:13" x14ac:dyDescent="0.3">
      <c r="B542" t="str">
        <f>IF(IFERROR(VLOOKUP(TRIM(A542),Inventory!E:E,1,0),0)=0,"X","_")</f>
        <v>_</v>
      </c>
      <c r="C542" t="str">
        <f>IF(IFERROR(VLOOKUP(TRIM(A542),'Full Inventory'!F:F,1,0),0)=0,"X","_")</f>
        <v>X</v>
      </c>
      <c r="D542" t="str">
        <f t="shared" si="32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F542" t="str">
        <f t="shared" si="33"/>
        <v>_</v>
      </c>
      <c r="K542" t="str">
        <f t="shared" ca="1" si="34"/>
        <v>_XX_</v>
      </c>
      <c r="L542" t="str">
        <f t="shared" ca="1" si="35"/>
        <v/>
      </c>
      <c r="M542" t="str">
        <f>IFERROR(INDEX(Inventory!A:A,MATCH(Scan!A542,Inventory!E:E,0)),"")</f>
        <v/>
      </c>
    </row>
    <row r="543" spans="2:13" x14ac:dyDescent="0.3">
      <c r="B543" t="str">
        <f>IF(IFERROR(VLOOKUP(TRIM(A543),Inventory!E:E,1,0),0)=0,"X","_")</f>
        <v>_</v>
      </c>
      <c r="C543" t="str">
        <f>IF(IFERROR(VLOOKUP(TRIM(A543),'Full Inventory'!F:F,1,0),0)=0,"X","_")</f>
        <v>X</v>
      </c>
      <c r="D543" t="str">
        <f t="shared" si="32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F543" t="str">
        <f t="shared" si="33"/>
        <v>_</v>
      </c>
      <c r="K543" t="str">
        <f t="shared" ca="1" si="34"/>
        <v>_XX_</v>
      </c>
      <c r="L543" t="str">
        <f t="shared" ca="1" si="35"/>
        <v/>
      </c>
      <c r="M543" t="str">
        <f>IFERROR(INDEX(Inventory!A:A,MATCH(Scan!A543,Inventory!E:E,0)),"")</f>
        <v/>
      </c>
    </row>
    <row r="544" spans="2:13" x14ac:dyDescent="0.3">
      <c r="B544" t="str">
        <f>IF(IFERROR(VLOOKUP(TRIM(A544),Inventory!E:E,1,0),0)=0,"X","_")</f>
        <v>_</v>
      </c>
      <c r="C544" t="str">
        <f>IF(IFERROR(VLOOKUP(TRIM(A544),'Full Inventory'!F:F,1,0),0)=0,"X","_")</f>
        <v>X</v>
      </c>
      <c r="D544" t="str">
        <f t="shared" si="32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F544" t="str">
        <f t="shared" si="33"/>
        <v>_</v>
      </c>
      <c r="K544" t="str">
        <f t="shared" ca="1" si="34"/>
        <v>_XX_</v>
      </c>
      <c r="L544" t="str">
        <f t="shared" ca="1" si="35"/>
        <v/>
      </c>
      <c r="M544" t="str">
        <f>IFERROR(INDEX(Inventory!A:A,MATCH(Scan!A544,Inventory!E:E,0)),"")</f>
        <v/>
      </c>
    </row>
    <row r="545" spans="2:13" x14ac:dyDescent="0.3">
      <c r="B545" t="str">
        <f>IF(IFERROR(VLOOKUP(TRIM(A545),Inventory!E:E,1,0),0)=0,"X","_")</f>
        <v>_</v>
      </c>
      <c r="C545" t="str">
        <f>IF(IFERROR(VLOOKUP(TRIM(A545),'Full Inventory'!F:F,1,0),0)=0,"X","_")</f>
        <v>X</v>
      </c>
      <c r="D545" t="str">
        <f t="shared" si="32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F545" t="str">
        <f t="shared" si="33"/>
        <v>_</v>
      </c>
      <c r="K545" t="str">
        <f t="shared" ca="1" si="34"/>
        <v>_XX_</v>
      </c>
      <c r="L545" t="str">
        <f t="shared" ca="1" si="35"/>
        <v/>
      </c>
      <c r="M545" t="str">
        <f>IFERROR(INDEX(Inventory!A:A,MATCH(Scan!A545,Inventory!E:E,0)),"")</f>
        <v/>
      </c>
    </row>
    <row r="546" spans="2:13" x14ac:dyDescent="0.3">
      <c r="B546" t="str">
        <f>IF(IFERROR(VLOOKUP(TRIM(A546),Inventory!E:E,1,0),0)=0,"X","_")</f>
        <v>_</v>
      </c>
      <c r="C546" t="str">
        <f>IF(IFERROR(VLOOKUP(TRIM(A546),'Full Inventory'!F:F,1,0),0)=0,"X","_")</f>
        <v>X</v>
      </c>
      <c r="D546" t="str">
        <f t="shared" si="32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F546" t="str">
        <f t="shared" si="33"/>
        <v>_</v>
      </c>
      <c r="K546" t="str">
        <f t="shared" ca="1" si="34"/>
        <v>_XX_</v>
      </c>
      <c r="L546" t="str">
        <f t="shared" ca="1" si="35"/>
        <v/>
      </c>
      <c r="M546" t="str">
        <f>IFERROR(INDEX(Inventory!A:A,MATCH(Scan!A546,Inventory!E:E,0)),"")</f>
        <v/>
      </c>
    </row>
    <row r="547" spans="2:13" x14ac:dyDescent="0.3">
      <c r="B547" t="str">
        <f>IF(IFERROR(VLOOKUP(TRIM(A547),Inventory!E:E,1,0),0)=0,"X","_")</f>
        <v>_</v>
      </c>
      <c r="C547" t="str">
        <f>IF(IFERROR(VLOOKUP(TRIM(A547),'Full Inventory'!F:F,1,0),0)=0,"X","_")</f>
        <v>X</v>
      </c>
      <c r="D547" t="str">
        <f t="shared" si="32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F547" t="str">
        <f t="shared" si="33"/>
        <v>_</v>
      </c>
      <c r="K547" t="str">
        <f t="shared" ca="1" si="34"/>
        <v>_XX_</v>
      </c>
      <c r="L547" t="str">
        <f t="shared" ca="1" si="35"/>
        <v/>
      </c>
      <c r="M547" t="str">
        <f>IFERROR(INDEX(Inventory!A:A,MATCH(Scan!A547,Inventory!E:E,0)),"")</f>
        <v/>
      </c>
    </row>
    <row r="548" spans="2:13" x14ac:dyDescent="0.3">
      <c r="B548" t="str">
        <f>IF(IFERROR(VLOOKUP(TRIM(A548),Inventory!E:E,1,0),0)=0,"X","_")</f>
        <v>_</v>
      </c>
      <c r="C548" t="str">
        <f>IF(IFERROR(VLOOKUP(TRIM(A548),'Full Inventory'!F:F,1,0),0)=0,"X","_")</f>
        <v>X</v>
      </c>
      <c r="D548" t="str">
        <f t="shared" si="32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F548" t="str">
        <f t="shared" si="33"/>
        <v>_</v>
      </c>
      <c r="K548" t="str">
        <f t="shared" ca="1" si="34"/>
        <v>_XX_</v>
      </c>
      <c r="L548" t="str">
        <f t="shared" ca="1" si="35"/>
        <v/>
      </c>
      <c r="M548" t="str">
        <f>IFERROR(INDEX(Inventory!A:A,MATCH(Scan!A548,Inventory!E:E,0)),"")</f>
        <v/>
      </c>
    </row>
    <row r="549" spans="2:13" x14ac:dyDescent="0.3">
      <c r="B549" t="str">
        <f>IF(IFERROR(VLOOKUP(TRIM(A549),Inventory!E:E,1,0),0)=0,"X","_")</f>
        <v>_</v>
      </c>
      <c r="C549" t="str">
        <f>IF(IFERROR(VLOOKUP(TRIM(A549),'Full Inventory'!F:F,1,0),0)=0,"X","_")</f>
        <v>X</v>
      </c>
      <c r="D549" t="str">
        <f t="shared" si="32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F549" t="str">
        <f t="shared" si="33"/>
        <v>_</v>
      </c>
      <c r="K549" t="str">
        <f t="shared" ca="1" si="34"/>
        <v>_XX_</v>
      </c>
      <c r="L549" t="str">
        <f t="shared" ca="1" si="35"/>
        <v/>
      </c>
      <c r="M549" t="str">
        <f>IFERROR(INDEX(Inventory!A:A,MATCH(Scan!A549,Inventory!E:E,0)),"")</f>
        <v/>
      </c>
    </row>
    <row r="550" spans="2:13" x14ac:dyDescent="0.3">
      <c r="B550" t="str">
        <f>IF(IFERROR(VLOOKUP(TRIM(A550),Inventory!E:E,1,0),0)=0,"X","_")</f>
        <v>_</v>
      </c>
      <c r="C550" t="str">
        <f>IF(IFERROR(VLOOKUP(TRIM(A550),'Full Inventory'!F:F,1,0),0)=0,"X","_")</f>
        <v>X</v>
      </c>
      <c r="D550" t="str">
        <f t="shared" si="32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F550" t="str">
        <f t="shared" si="33"/>
        <v>_</v>
      </c>
      <c r="K550" t="str">
        <f t="shared" ca="1" si="34"/>
        <v>_XX_</v>
      </c>
      <c r="L550" t="str">
        <f t="shared" ca="1" si="35"/>
        <v/>
      </c>
      <c r="M550" t="str">
        <f>IFERROR(INDEX(Inventory!A:A,MATCH(Scan!A550,Inventory!E:E,0)),"")</f>
        <v/>
      </c>
    </row>
    <row r="551" spans="2:13" x14ac:dyDescent="0.3">
      <c r="B551" t="str">
        <f>IF(IFERROR(VLOOKUP(TRIM(A551),Inventory!E:E,1,0),0)=0,"X","_")</f>
        <v>_</v>
      </c>
      <c r="C551" t="str">
        <f>IF(IFERROR(VLOOKUP(TRIM(A551),'Full Inventory'!F:F,1,0),0)=0,"X","_")</f>
        <v>X</v>
      </c>
      <c r="D551" t="str">
        <f t="shared" si="32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F551" t="str">
        <f t="shared" si="33"/>
        <v>_</v>
      </c>
      <c r="K551" t="str">
        <f t="shared" ca="1" si="34"/>
        <v>_XX_</v>
      </c>
      <c r="L551" t="str">
        <f t="shared" ca="1" si="35"/>
        <v/>
      </c>
      <c r="M551" t="str">
        <f>IFERROR(INDEX(Inventory!A:A,MATCH(Scan!A551,Inventory!E:E,0)),"")</f>
        <v/>
      </c>
    </row>
    <row r="552" spans="2:13" x14ac:dyDescent="0.3">
      <c r="B552" t="str">
        <f>IF(IFERROR(VLOOKUP(TRIM(A552),Inventory!E:E,1,0),0)=0,"X","_")</f>
        <v>_</v>
      </c>
      <c r="C552" t="str">
        <f>IF(IFERROR(VLOOKUP(TRIM(A552),'Full Inventory'!F:F,1,0),0)=0,"X","_")</f>
        <v>X</v>
      </c>
      <c r="D552" t="str">
        <f t="shared" si="32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F552" t="str">
        <f t="shared" si="33"/>
        <v>_</v>
      </c>
      <c r="K552" t="str">
        <f t="shared" ca="1" si="34"/>
        <v>_XX_</v>
      </c>
      <c r="L552" t="str">
        <f t="shared" ca="1" si="35"/>
        <v/>
      </c>
      <c r="M552" t="str">
        <f>IFERROR(INDEX(Inventory!A:A,MATCH(Scan!A552,Inventory!E:E,0)),"")</f>
        <v/>
      </c>
    </row>
    <row r="553" spans="2:13" x14ac:dyDescent="0.3">
      <c r="B553" t="str">
        <f>IF(IFERROR(VLOOKUP(TRIM(A553),Inventory!E:E,1,0),0)=0,"X","_")</f>
        <v>_</v>
      </c>
      <c r="C553" t="str">
        <f>IF(IFERROR(VLOOKUP(TRIM(A553),'Full Inventory'!F:F,1,0),0)=0,"X","_")</f>
        <v>X</v>
      </c>
      <c r="D553" t="str">
        <f t="shared" si="32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F553" t="str">
        <f t="shared" si="33"/>
        <v>_</v>
      </c>
      <c r="K553" t="str">
        <f t="shared" ca="1" si="34"/>
        <v>_XX_</v>
      </c>
      <c r="L553" t="str">
        <f t="shared" ca="1" si="35"/>
        <v/>
      </c>
      <c r="M553" t="str">
        <f>IFERROR(INDEX(Inventory!A:A,MATCH(Scan!A553,Inventory!E:E,0)),"")</f>
        <v/>
      </c>
    </row>
    <row r="554" spans="2:13" x14ac:dyDescent="0.3">
      <c r="B554" t="str">
        <f>IF(IFERROR(VLOOKUP(TRIM(A554),Inventory!E:E,1,0),0)=0,"X","_")</f>
        <v>_</v>
      </c>
      <c r="C554" t="str">
        <f>IF(IFERROR(VLOOKUP(TRIM(A554),'Full Inventory'!F:F,1,0),0)=0,"X","_")</f>
        <v>X</v>
      </c>
      <c r="D554" t="str">
        <f t="shared" si="32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F554" t="str">
        <f t="shared" si="33"/>
        <v>_</v>
      </c>
      <c r="K554" t="str">
        <f t="shared" ca="1" si="34"/>
        <v>_XX_</v>
      </c>
      <c r="L554" t="str">
        <f t="shared" ca="1" si="35"/>
        <v/>
      </c>
      <c r="M554" t="str">
        <f>IFERROR(INDEX(Inventory!A:A,MATCH(Scan!A554,Inventory!E:E,0)),"")</f>
        <v/>
      </c>
    </row>
    <row r="555" spans="2:13" x14ac:dyDescent="0.3">
      <c r="B555" t="str">
        <f>IF(IFERROR(VLOOKUP(TRIM(A555),Inventory!E:E,1,0),0)=0,"X","_")</f>
        <v>_</v>
      </c>
      <c r="C555" t="str">
        <f>IF(IFERROR(VLOOKUP(TRIM(A555),'Full Inventory'!F:F,1,0),0)=0,"X","_")</f>
        <v>X</v>
      </c>
      <c r="D555" t="str">
        <f t="shared" si="32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F555" t="str">
        <f t="shared" si="33"/>
        <v>_</v>
      </c>
      <c r="K555" t="str">
        <f t="shared" ca="1" si="34"/>
        <v>_XX_</v>
      </c>
      <c r="L555" t="str">
        <f t="shared" ca="1" si="35"/>
        <v/>
      </c>
      <c r="M555" t="str">
        <f>IFERROR(INDEX(Inventory!A:A,MATCH(Scan!A555,Inventory!E:E,0)),"")</f>
        <v/>
      </c>
    </row>
    <row r="556" spans="2:13" x14ac:dyDescent="0.3">
      <c r="B556" t="str">
        <f>IF(IFERROR(VLOOKUP(TRIM(A556),Inventory!E:E,1,0),0)=0,"X","_")</f>
        <v>_</v>
      </c>
      <c r="C556" t="str">
        <f>IF(IFERROR(VLOOKUP(TRIM(A556),'Full Inventory'!F:F,1,0),0)=0,"X","_")</f>
        <v>X</v>
      </c>
      <c r="D556" t="str">
        <f t="shared" si="32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F556" t="str">
        <f t="shared" si="33"/>
        <v>_</v>
      </c>
      <c r="K556" t="str">
        <f t="shared" ca="1" si="34"/>
        <v>_XX_</v>
      </c>
      <c r="L556" t="str">
        <f t="shared" ca="1" si="35"/>
        <v/>
      </c>
      <c r="M556" t="str">
        <f>IFERROR(INDEX(Inventory!A:A,MATCH(Scan!A556,Inventory!E:E,0)),"")</f>
        <v/>
      </c>
    </row>
    <row r="557" spans="2:13" x14ac:dyDescent="0.3">
      <c r="B557" t="str">
        <f>IF(IFERROR(VLOOKUP(TRIM(A557),Inventory!E:E,1,0),0)=0,"X","_")</f>
        <v>_</v>
      </c>
      <c r="C557" t="str">
        <f>IF(IFERROR(VLOOKUP(TRIM(A557),'Full Inventory'!F:F,1,0),0)=0,"X","_")</f>
        <v>X</v>
      </c>
      <c r="D557" t="str">
        <f t="shared" si="32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F557" t="str">
        <f t="shared" si="33"/>
        <v>_</v>
      </c>
      <c r="K557" t="str">
        <f t="shared" ca="1" si="34"/>
        <v>_XX_</v>
      </c>
      <c r="L557" t="str">
        <f t="shared" ca="1" si="35"/>
        <v/>
      </c>
      <c r="M557" t="str">
        <f>IFERROR(INDEX(Inventory!A:A,MATCH(Scan!A557,Inventory!E:E,0)),"")</f>
        <v/>
      </c>
    </row>
    <row r="558" spans="2:13" x14ac:dyDescent="0.3">
      <c r="B558" t="str">
        <f>IF(IFERROR(VLOOKUP(TRIM(A558),Inventory!E:E,1,0),0)=0,"X","_")</f>
        <v>_</v>
      </c>
      <c r="C558" t="str">
        <f>IF(IFERROR(VLOOKUP(TRIM(A558),'Full Inventory'!F:F,1,0),0)=0,"X","_")</f>
        <v>X</v>
      </c>
      <c r="D558" t="str">
        <f t="shared" si="32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F558" t="str">
        <f t="shared" si="33"/>
        <v>_</v>
      </c>
      <c r="K558" t="str">
        <f t="shared" ca="1" si="34"/>
        <v>_XX_</v>
      </c>
      <c r="L558" t="str">
        <f t="shared" ca="1" si="35"/>
        <v/>
      </c>
      <c r="M558" t="str">
        <f>IFERROR(INDEX(Inventory!A:A,MATCH(Scan!A558,Inventory!E:E,0)),"")</f>
        <v/>
      </c>
    </row>
    <row r="559" spans="2:13" x14ac:dyDescent="0.3">
      <c r="B559" t="str">
        <f>IF(IFERROR(VLOOKUP(TRIM(A559),Inventory!E:E,1,0),0)=0,"X","_")</f>
        <v>_</v>
      </c>
      <c r="C559" t="str">
        <f>IF(IFERROR(VLOOKUP(TRIM(A559),'Full Inventory'!F:F,1,0),0)=0,"X","_")</f>
        <v>X</v>
      </c>
      <c r="D559" t="str">
        <f t="shared" si="32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F559" t="str">
        <f t="shared" si="33"/>
        <v>_</v>
      </c>
      <c r="K559" t="str">
        <f t="shared" ca="1" si="34"/>
        <v>_XX_</v>
      </c>
      <c r="L559" t="str">
        <f t="shared" ca="1" si="35"/>
        <v/>
      </c>
      <c r="M559" t="str">
        <f>IFERROR(INDEX(Inventory!A:A,MATCH(Scan!A559,Inventory!E:E,0)),"")</f>
        <v/>
      </c>
    </row>
    <row r="560" spans="2:13" x14ac:dyDescent="0.3">
      <c r="B560" t="str">
        <f>IF(IFERROR(VLOOKUP(TRIM(A560),Inventory!E:E,1,0),0)=0,"X","_")</f>
        <v>_</v>
      </c>
      <c r="C560" t="str">
        <f>IF(IFERROR(VLOOKUP(TRIM(A560),'Full Inventory'!F:F,1,0),0)=0,"X","_")</f>
        <v>X</v>
      </c>
      <c r="D560" t="str">
        <f t="shared" si="32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F560" t="str">
        <f t="shared" si="33"/>
        <v>_</v>
      </c>
      <c r="K560" t="str">
        <f t="shared" ca="1" si="34"/>
        <v>_XX_</v>
      </c>
      <c r="L560" t="str">
        <f t="shared" ca="1" si="35"/>
        <v/>
      </c>
      <c r="M560" t="str">
        <f>IFERROR(INDEX(Inventory!A:A,MATCH(Scan!A560,Inventory!E:E,0)),"")</f>
        <v/>
      </c>
    </row>
    <row r="561" spans="2:13" x14ac:dyDescent="0.3">
      <c r="B561" t="str">
        <f>IF(IFERROR(VLOOKUP(TRIM(A561),Inventory!E:E,1,0),0)=0,"X","_")</f>
        <v>_</v>
      </c>
      <c r="C561" t="str">
        <f>IF(IFERROR(VLOOKUP(TRIM(A561),'Full Inventory'!F:F,1,0),0)=0,"X","_")</f>
        <v>X</v>
      </c>
      <c r="D561" t="str">
        <f t="shared" si="32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F561" t="str">
        <f t="shared" si="33"/>
        <v>_</v>
      </c>
      <c r="K561" t="str">
        <f t="shared" ca="1" si="34"/>
        <v>_XX_</v>
      </c>
      <c r="L561" t="str">
        <f t="shared" ca="1" si="35"/>
        <v/>
      </c>
      <c r="M561" t="str">
        <f>IFERROR(INDEX(Inventory!A:A,MATCH(Scan!A561,Inventory!E:E,0)),"")</f>
        <v/>
      </c>
    </row>
    <row r="562" spans="2:13" x14ac:dyDescent="0.3">
      <c r="B562" t="str">
        <f>IF(IFERROR(VLOOKUP(TRIM(A562),Inventory!E:E,1,0),0)=0,"X","_")</f>
        <v>_</v>
      </c>
      <c r="C562" t="str">
        <f>IF(IFERROR(VLOOKUP(TRIM(A562),'Full Inventory'!F:F,1,0),0)=0,"X","_")</f>
        <v>X</v>
      </c>
      <c r="D562" t="str">
        <f t="shared" si="32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F562" t="str">
        <f t="shared" si="33"/>
        <v>_</v>
      </c>
      <c r="K562" t="str">
        <f t="shared" ca="1" si="34"/>
        <v>_XX_</v>
      </c>
      <c r="L562" t="str">
        <f t="shared" ca="1" si="35"/>
        <v/>
      </c>
      <c r="M562" t="str">
        <f>IFERROR(INDEX(Inventory!A:A,MATCH(Scan!A562,Inventory!E:E,0)),"")</f>
        <v/>
      </c>
    </row>
    <row r="563" spans="2:13" x14ac:dyDescent="0.3">
      <c r="B563" t="str">
        <f>IF(IFERROR(VLOOKUP(TRIM(A563),Inventory!E:E,1,0),0)=0,"X","_")</f>
        <v>_</v>
      </c>
      <c r="C563" t="str">
        <f>IF(IFERROR(VLOOKUP(TRIM(A563),'Full Inventory'!F:F,1,0),0)=0,"X","_")</f>
        <v>X</v>
      </c>
      <c r="D563" t="str">
        <f t="shared" si="32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F563" t="str">
        <f t="shared" si="33"/>
        <v>_</v>
      </c>
      <c r="K563" t="str">
        <f t="shared" ca="1" si="34"/>
        <v>_XX_</v>
      </c>
      <c r="L563" t="str">
        <f t="shared" ca="1" si="35"/>
        <v/>
      </c>
      <c r="M563" t="str">
        <f>IFERROR(INDEX(Inventory!A:A,MATCH(Scan!A563,Inventory!E:E,0)),"")</f>
        <v/>
      </c>
    </row>
    <row r="564" spans="2:13" x14ac:dyDescent="0.3">
      <c r="B564" t="str">
        <f>IF(IFERROR(VLOOKUP(TRIM(A564),Inventory!E:E,1,0),0)=0,"X","_")</f>
        <v>_</v>
      </c>
      <c r="C564" t="str">
        <f>IF(IFERROR(VLOOKUP(TRIM(A564),'Full Inventory'!F:F,1,0),0)=0,"X","_")</f>
        <v>X</v>
      </c>
      <c r="D564" t="str">
        <f t="shared" si="32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F564" t="str">
        <f t="shared" si="33"/>
        <v>_</v>
      </c>
      <c r="K564" t="str">
        <f t="shared" ca="1" si="34"/>
        <v>_XX_</v>
      </c>
      <c r="L564" t="str">
        <f t="shared" ca="1" si="35"/>
        <v/>
      </c>
      <c r="M564" t="str">
        <f>IFERROR(INDEX(Inventory!A:A,MATCH(Scan!A564,Inventory!E:E,0)),"")</f>
        <v/>
      </c>
    </row>
    <row r="565" spans="2:13" x14ac:dyDescent="0.3">
      <c r="B565" t="str">
        <f>IF(IFERROR(VLOOKUP(TRIM(A565),Inventory!E:E,1,0),0)=0,"X","_")</f>
        <v>_</v>
      </c>
      <c r="C565" t="str">
        <f>IF(IFERROR(VLOOKUP(TRIM(A565),'Full Inventory'!F:F,1,0),0)=0,"X","_")</f>
        <v>X</v>
      </c>
      <c r="D565" t="str">
        <f t="shared" si="32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F565" t="str">
        <f t="shared" si="33"/>
        <v>_</v>
      </c>
      <c r="K565" t="str">
        <f t="shared" ca="1" si="34"/>
        <v>_XX_</v>
      </c>
      <c r="L565" t="str">
        <f t="shared" ca="1" si="35"/>
        <v/>
      </c>
      <c r="M565" t="str">
        <f>IFERROR(INDEX(Inventory!A:A,MATCH(Scan!A565,Inventory!E:E,0)),"")</f>
        <v/>
      </c>
    </row>
    <row r="566" spans="2:13" x14ac:dyDescent="0.3">
      <c r="B566" t="str">
        <f>IF(IFERROR(VLOOKUP(TRIM(A566),Inventory!E:E,1,0),0)=0,"X","_")</f>
        <v>_</v>
      </c>
      <c r="C566" t="str">
        <f>IF(IFERROR(VLOOKUP(TRIM(A566),'Full Inventory'!F:F,1,0),0)=0,"X","_")</f>
        <v>X</v>
      </c>
      <c r="D566" t="str">
        <f t="shared" si="32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F566" t="str">
        <f t="shared" si="33"/>
        <v>_</v>
      </c>
      <c r="K566" t="str">
        <f t="shared" ca="1" si="34"/>
        <v>_XX_</v>
      </c>
      <c r="L566" t="str">
        <f t="shared" ca="1" si="35"/>
        <v/>
      </c>
      <c r="M566" t="str">
        <f>IFERROR(INDEX(Inventory!A:A,MATCH(Scan!A566,Inventory!E:E,0)),"")</f>
        <v/>
      </c>
    </row>
    <row r="567" spans="2:13" x14ac:dyDescent="0.3">
      <c r="B567" t="str">
        <f>IF(IFERROR(VLOOKUP(TRIM(A567),Inventory!E:E,1,0),0)=0,"X","_")</f>
        <v>_</v>
      </c>
      <c r="C567" t="str">
        <f>IF(IFERROR(VLOOKUP(TRIM(A567),'Full Inventory'!F:F,1,0),0)=0,"X","_")</f>
        <v>X</v>
      </c>
      <c r="D567" t="str">
        <f t="shared" si="32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F567" t="str">
        <f t="shared" si="33"/>
        <v>_</v>
      </c>
      <c r="K567" t="str">
        <f t="shared" ca="1" si="34"/>
        <v>_XX_</v>
      </c>
      <c r="L567" t="str">
        <f t="shared" ca="1" si="35"/>
        <v/>
      </c>
      <c r="M567" t="str">
        <f>IFERROR(INDEX(Inventory!A:A,MATCH(Scan!A567,Inventory!E:E,0)),"")</f>
        <v/>
      </c>
    </row>
    <row r="568" spans="2:13" x14ac:dyDescent="0.3">
      <c r="B568" t="str">
        <f>IF(IFERROR(VLOOKUP(TRIM(A568),Inventory!E:E,1,0),0)=0,"X","_")</f>
        <v>_</v>
      </c>
      <c r="C568" t="str">
        <f>IF(IFERROR(VLOOKUP(TRIM(A568),'Full Inventory'!F:F,1,0),0)=0,"X","_")</f>
        <v>X</v>
      </c>
      <c r="D568" t="str">
        <f t="shared" si="32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F568" t="str">
        <f t="shared" si="33"/>
        <v>_</v>
      </c>
      <c r="K568" t="str">
        <f t="shared" ca="1" si="34"/>
        <v>_XX_</v>
      </c>
      <c r="L568" t="str">
        <f t="shared" ca="1" si="35"/>
        <v/>
      </c>
      <c r="M568" t="str">
        <f>IFERROR(INDEX(Inventory!A:A,MATCH(Scan!A568,Inventory!E:E,0)),"")</f>
        <v/>
      </c>
    </row>
    <row r="569" spans="2:13" x14ac:dyDescent="0.3">
      <c r="B569" t="str">
        <f>IF(IFERROR(VLOOKUP(TRIM(A569),Inventory!E:E,1,0),0)=0,"X","_")</f>
        <v>_</v>
      </c>
      <c r="C569" t="str">
        <f>IF(IFERROR(VLOOKUP(TRIM(A569),'Full Inventory'!F:F,1,0),0)=0,"X","_")</f>
        <v>X</v>
      </c>
      <c r="D569" t="str">
        <f t="shared" si="32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F569" t="str">
        <f t="shared" si="33"/>
        <v>_</v>
      </c>
      <c r="K569" t="str">
        <f t="shared" ca="1" si="34"/>
        <v>_XX_</v>
      </c>
      <c r="L569" t="str">
        <f t="shared" ca="1" si="35"/>
        <v/>
      </c>
      <c r="M569" t="str">
        <f>IFERROR(INDEX(Inventory!A:A,MATCH(Scan!A569,Inventory!E:E,0)),"")</f>
        <v/>
      </c>
    </row>
    <row r="570" spans="2:13" x14ac:dyDescent="0.3">
      <c r="B570" t="str">
        <f>IF(IFERROR(VLOOKUP(TRIM(A570),Inventory!E:E,1,0),0)=0,"X","_")</f>
        <v>_</v>
      </c>
      <c r="C570" t="str">
        <f>IF(IFERROR(VLOOKUP(TRIM(A570),'Full Inventory'!F:F,1,0),0)=0,"X","_")</f>
        <v>X</v>
      </c>
      <c r="D570" t="str">
        <f t="shared" si="32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F570" t="str">
        <f t="shared" si="33"/>
        <v>_</v>
      </c>
      <c r="K570" t="str">
        <f t="shared" ca="1" si="34"/>
        <v>_XX_</v>
      </c>
      <c r="L570" t="str">
        <f t="shared" ca="1" si="35"/>
        <v/>
      </c>
      <c r="M570" t="str">
        <f>IFERROR(INDEX(Inventory!A:A,MATCH(Scan!A570,Inventory!E:E,0)),"")</f>
        <v/>
      </c>
    </row>
    <row r="571" spans="2:13" x14ac:dyDescent="0.3">
      <c r="B571" t="str">
        <f>IF(IFERROR(VLOOKUP(TRIM(A571),Inventory!E:E,1,0),0)=0,"X","_")</f>
        <v>_</v>
      </c>
      <c r="C571" t="str">
        <f>IF(IFERROR(VLOOKUP(TRIM(A571),'Full Inventory'!F:F,1,0),0)=0,"X","_")</f>
        <v>X</v>
      </c>
      <c r="D571" t="str">
        <f t="shared" si="32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F571" t="str">
        <f t="shared" si="33"/>
        <v>_</v>
      </c>
      <c r="K571" t="str">
        <f t="shared" ca="1" si="34"/>
        <v>_XX_</v>
      </c>
      <c r="L571" t="str">
        <f t="shared" ca="1" si="35"/>
        <v/>
      </c>
      <c r="M571" t="str">
        <f>IFERROR(INDEX(Inventory!A:A,MATCH(Scan!A571,Inventory!E:E,0)),"")</f>
        <v/>
      </c>
    </row>
    <row r="572" spans="2:13" x14ac:dyDescent="0.3">
      <c r="B572" t="str">
        <f>IF(IFERROR(VLOOKUP(TRIM(A572),Inventory!E:E,1,0),0)=0,"X","_")</f>
        <v>_</v>
      </c>
      <c r="C572" t="str">
        <f>IF(IFERROR(VLOOKUP(TRIM(A572),'Full Inventory'!F:F,1,0),0)=0,"X","_")</f>
        <v>X</v>
      </c>
      <c r="D572" t="str">
        <f t="shared" si="32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F572" t="str">
        <f t="shared" si="33"/>
        <v>_</v>
      </c>
      <c r="K572" t="str">
        <f t="shared" ca="1" si="34"/>
        <v>_XX_</v>
      </c>
      <c r="L572" t="str">
        <f t="shared" ca="1" si="35"/>
        <v/>
      </c>
      <c r="M572" t="str">
        <f>IFERROR(INDEX(Inventory!A:A,MATCH(Scan!A572,Inventory!E:E,0)),"")</f>
        <v/>
      </c>
    </row>
    <row r="573" spans="2:13" x14ac:dyDescent="0.3">
      <c r="B573" t="str">
        <f>IF(IFERROR(VLOOKUP(TRIM(A573),Inventory!E:E,1,0),0)=0,"X","_")</f>
        <v>_</v>
      </c>
      <c r="C573" t="str">
        <f>IF(IFERROR(VLOOKUP(TRIM(A573),'Full Inventory'!F:F,1,0),0)=0,"X","_")</f>
        <v>X</v>
      </c>
      <c r="D573" t="str">
        <f t="shared" si="32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F573" t="str">
        <f t="shared" si="33"/>
        <v>_</v>
      </c>
      <c r="K573" t="str">
        <f t="shared" ca="1" si="34"/>
        <v>_XX_</v>
      </c>
      <c r="L573" t="str">
        <f t="shared" ca="1" si="35"/>
        <v/>
      </c>
      <c r="M573" t="str">
        <f>IFERROR(INDEX(Inventory!A:A,MATCH(Scan!A573,Inventory!E:E,0)),"")</f>
        <v/>
      </c>
    </row>
    <row r="574" spans="2:13" x14ac:dyDescent="0.3">
      <c r="B574" t="str">
        <f>IF(IFERROR(VLOOKUP(TRIM(A574),Inventory!E:E,1,0),0)=0,"X","_")</f>
        <v>_</v>
      </c>
      <c r="C574" t="str">
        <f>IF(IFERROR(VLOOKUP(TRIM(A574),'Full Inventory'!F:F,1,0),0)=0,"X","_")</f>
        <v>X</v>
      </c>
      <c r="D574" t="str">
        <f t="shared" si="32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F574" t="str">
        <f t="shared" si="33"/>
        <v>_</v>
      </c>
      <c r="K574" t="str">
        <f t="shared" ca="1" si="34"/>
        <v>_XX_</v>
      </c>
      <c r="L574" t="str">
        <f t="shared" ca="1" si="35"/>
        <v/>
      </c>
      <c r="M574" t="str">
        <f>IFERROR(INDEX(Inventory!A:A,MATCH(Scan!A574,Inventory!E:E,0)),"")</f>
        <v/>
      </c>
    </row>
    <row r="575" spans="2:13" x14ac:dyDescent="0.3">
      <c r="B575" t="str">
        <f>IF(IFERROR(VLOOKUP(TRIM(A575),Inventory!E:E,1,0),0)=0,"X","_")</f>
        <v>_</v>
      </c>
      <c r="C575" t="str">
        <f>IF(IFERROR(VLOOKUP(TRIM(A575),'Full Inventory'!F:F,1,0),0)=0,"X","_")</f>
        <v>X</v>
      </c>
      <c r="D575" t="str">
        <f t="shared" si="32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F575" t="str">
        <f t="shared" si="33"/>
        <v>_</v>
      </c>
      <c r="K575" t="str">
        <f t="shared" ca="1" si="34"/>
        <v>_XX_</v>
      </c>
      <c r="L575" t="str">
        <f t="shared" ca="1" si="35"/>
        <v/>
      </c>
      <c r="M575" t="str">
        <f>IFERROR(INDEX(Inventory!A:A,MATCH(Scan!A575,Inventory!E:E,0)),"")</f>
        <v/>
      </c>
    </row>
    <row r="576" spans="2:13" x14ac:dyDescent="0.3">
      <c r="B576" t="str">
        <f>IF(IFERROR(VLOOKUP(TRIM(A576),Inventory!E:E,1,0),0)=0,"X","_")</f>
        <v>_</v>
      </c>
      <c r="C576" t="str">
        <f>IF(IFERROR(VLOOKUP(TRIM(A576),'Full Inventory'!F:F,1,0),0)=0,"X","_")</f>
        <v>X</v>
      </c>
      <c r="D576" t="str">
        <f t="shared" si="32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F576" t="str">
        <f t="shared" si="33"/>
        <v>_</v>
      </c>
      <c r="K576" t="str">
        <f t="shared" ca="1" si="34"/>
        <v>_XX_</v>
      </c>
      <c r="L576" t="str">
        <f t="shared" ca="1" si="35"/>
        <v/>
      </c>
      <c r="M576" t="str">
        <f>IFERROR(INDEX(Inventory!A:A,MATCH(Scan!A576,Inventory!E:E,0)),"")</f>
        <v/>
      </c>
    </row>
    <row r="577" spans="2:13" x14ac:dyDescent="0.3">
      <c r="B577" t="str">
        <f>IF(IFERROR(VLOOKUP(TRIM(A577),Inventory!E:E,1,0),0)=0,"X","_")</f>
        <v>_</v>
      </c>
      <c r="C577" t="str">
        <f>IF(IFERROR(VLOOKUP(TRIM(A577),'Full Inventory'!F:F,1,0),0)=0,"X","_")</f>
        <v>X</v>
      </c>
      <c r="D577" t="str">
        <f t="shared" si="32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F577" t="str">
        <f t="shared" si="33"/>
        <v>_</v>
      </c>
      <c r="K577" t="str">
        <f t="shared" ca="1" si="34"/>
        <v>_XX_</v>
      </c>
      <c r="L577" t="str">
        <f t="shared" ca="1" si="35"/>
        <v/>
      </c>
      <c r="M577" t="str">
        <f>IFERROR(INDEX(Inventory!A:A,MATCH(Scan!A577,Inventory!E:E,0)),"")</f>
        <v/>
      </c>
    </row>
    <row r="578" spans="2:13" x14ac:dyDescent="0.3">
      <c r="B578" t="str">
        <f>IF(IFERROR(VLOOKUP(TRIM(A578),Inventory!E:E,1,0),0)=0,"X","_")</f>
        <v>_</v>
      </c>
      <c r="C578" t="str">
        <f>IF(IFERROR(VLOOKUP(TRIM(A578),'Full Inventory'!F:F,1,0),0)=0,"X","_")</f>
        <v>X</v>
      </c>
      <c r="D578" t="str">
        <f t="shared" ref="D578:D641" si="36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F578" t="str">
        <f t="shared" si="33"/>
        <v>_</v>
      </c>
      <c r="K578" t="str">
        <f t="shared" ca="1" si="34"/>
        <v>_XX_</v>
      </c>
      <c r="L578" t="str">
        <f t="shared" ca="1" si="35"/>
        <v/>
      </c>
      <c r="M578" t="str">
        <f>IFERROR(INDEX(Inventory!A:A,MATCH(Scan!A578,Inventory!E:E,0)),"")</f>
        <v/>
      </c>
    </row>
    <row r="579" spans="2:13" x14ac:dyDescent="0.3">
      <c r="B579" t="str">
        <f>IF(IFERROR(VLOOKUP(TRIM(A579),Inventory!E:E,1,0),0)=0,"X","_")</f>
        <v>_</v>
      </c>
      <c r="C579" t="str">
        <f>IF(IFERROR(VLOOKUP(TRIM(A579),'Full Inventory'!F:F,1,0),0)=0,"X","_")</f>
        <v>X</v>
      </c>
      <c r="D579" t="str">
        <f t="shared" si="36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F579" t="str">
        <f t="shared" ref="F579:F642" si="37">IF(IFERROR(SEARCH("ö",A579),0)&gt;0,"X","_")</f>
        <v>_</v>
      </c>
      <c r="K579" t="str">
        <f t="shared" ref="K579:K642" ca="1" si="38">B579&amp;C579&amp;D579&amp;E579</f>
        <v>_XX_</v>
      </c>
      <c r="L579" t="str">
        <f t="shared" ref="L579:L642" ca="1" si="3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3">
      <c r="B580" t="str">
        <f>IF(IFERROR(VLOOKUP(TRIM(A580),Inventory!E:E,1,0),0)=0,"X","_")</f>
        <v>_</v>
      </c>
      <c r="C580" t="str">
        <f>IF(IFERROR(VLOOKUP(TRIM(A580),'Full Inventory'!F:F,1,0),0)=0,"X","_")</f>
        <v>X</v>
      </c>
      <c r="D580" t="str">
        <f t="shared" si="36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F580" t="str">
        <f t="shared" si="37"/>
        <v>_</v>
      </c>
      <c r="K580" t="str">
        <f t="shared" ca="1" si="38"/>
        <v>_XX_</v>
      </c>
      <c r="L580" t="str">
        <f t="shared" ca="1" si="39"/>
        <v/>
      </c>
      <c r="M580" t="str">
        <f>IFERROR(INDEX(Inventory!A:A,MATCH(Scan!A580,Inventory!E:E,0)),"")</f>
        <v/>
      </c>
    </row>
    <row r="581" spans="2:13" x14ac:dyDescent="0.3">
      <c r="B581" t="str">
        <f>IF(IFERROR(VLOOKUP(TRIM(A581),Inventory!E:E,1,0),0)=0,"X","_")</f>
        <v>_</v>
      </c>
      <c r="C581" t="str">
        <f>IF(IFERROR(VLOOKUP(TRIM(A581),'Full Inventory'!F:F,1,0),0)=0,"X","_")</f>
        <v>X</v>
      </c>
      <c r="D581" t="str">
        <f t="shared" si="36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F581" t="str">
        <f t="shared" si="37"/>
        <v>_</v>
      </c>
      <c r="K581" t="str">
        <f t="shared" ca="1" si="38"/>
        <v>_XX_</v>
      </c>
      <c r="L581" t="str">
        <f t="shared" ca="1" si="39"/>
        <v/>
      </c>
      <c r="M581" t="str">
        <f>IFERROR(INDEX(Inventory!A:A,MATCH(Scan!A581,Inventory!E:E,0)),"")</f>
        <v/>
      </c>
    </row>
    <row r="582" spans="2:13" x14ac:dyDescent="0.3">
      <c r="B582" t="str">
        <f>IF(IFERROR(VLOOKUP(TRIM(A582),Inventory!E:E,1,0),0)=0,"X","_")</f>
        <v>_</v>
      </c>
      <c r="C582" t="str">
        <f>IF(IFERROR(VLOOKUP(TRIM(A582),'Full Inventory'!F:F,1,0),0)=0,"X","_")</f>
        <v>X</v>
      </c>
      <c r="D582" t="str">
        <f t="shared" si="36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F582" t="str">
        <f t="shared" si="37"/>
        <v>_</v>
      </c>
      <c r="K582" t="str">
        <f t="shared" ca="1" si="38"/>
        <v>_XX_</v>
      </c>
      <c r="L582" t="str">
        <f t="shared" ca="1" si="39"/>
        <v/>
      </c>
      <c r="M582" t="str">
        <f>IFERROR(INDEX(Inventory!A:A,MATCH(Scan!A582,Inventory!E:E,0)),"")</f>
        <v/>
      </c>
    </row>
    <row r="583" spans="2:13" x14ac:dyDescent="0.3">
      <c r="B583" t="str">
        <f>IF(IFERROR(VLOOKUP(TRIM(A583),Inventory!E:E,1,0),0)=0,"X","_")</f>
        <v>_</v>
      </c>
      <c r="C583" t="str">
        <f>IF(IFERROR(VLOOKUP(TRIM(A583),'Full Inventory'!F:F,1,0),0)=0,"X","_")</f>
        <v>X</v>
      </c>
      <c r="D583" t="str">
        <f t="shared" si="36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F583" t="str">
        <f t="shared" si="37"/>
        <v>_</v>
      </c>
      <c r="K583" t="str">
        <f t="shared" ca="1" si="38"/>
        <v>_XX_</v>
      </c>
      <c r="L583" t="str">
        <f t="shared" ca="1" si="39"/>
        <v/>
      </c>
      <c r="M583" t="str">
        <f>IFERROR(INDEX(Inventory!A:A,MATCH(Scan!A583,Inventory!E:E,0)),"")</f>
        <v/>
      </c>
    </row>
    <row r="584" spans="2:13" x14ac:dyDescent="0.3">
      <c r="B584" t="str">
        <f>IF(IFERROR(VLOOKUP(TRIM(A584),Inventory!E:E,1,0),0)=0,"X","_")</f>
        <v>_</v>
      </c>
      <c r="C584" t="str">
        <f>IF(IFERROR(VLOOKUP(TRIM(A584),'Full Inventory'!F:F,1,0),0)=0,"X","_")</f>
        <v>X</v>
      </c>
      <c r="D584" t="str">
        <f t="shared" si="36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F584" t="str">
        <f t="shared" si="37"/>
        <v>_</v>
      </c>
      <c r="K584" t="str">
        <f t="shared" ca="1" si="38"/>
        <v>_XX_</v>
      </c>
      <c r="L584" t="str">
        <f t="shared" ca="1" si="39"/>
        <v/>
      </c>
      <c r="M584" t="str">
        <f>IFERROR(INDEX(Inventory!A:A,MATCH(Scan!A584,Inventory!E:E,0)),"")</f>
        <v/>
      </c>
    </row>
    <row r="585" spans="2:13" x14ac:dyDescent="0.3">
      <c r="B585" t="str">
        <f>IF(IFERROR(VLOOKUP(TRIM(A585),Inventory!E:E,1,0),0)=0,"X","_")</f>
        <v>_</v>
      </c>
      <c r="C585" t="str">
        <f>IF(IFERROR(VLOOKUP(TRIM(A585),'Full Inventory'!F:F,1,0),0)=0,"X","_")</f>
        <v>X</v>
      </c>
      <c r="D585" t="str">
        <f t="shared" si="36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F585" t="str">
        <f t="shared" si="37"/>
        <v>_</v>
      </c>
      <c r="K585" t="str">
        <f t="shared" ca="1" si="38"/>
        <v>_XX_</v>
      </c>
      <c r="L585" t="str">
        <f t="shared" ca="1" si="39"/>
        <v/>
      </c>
      <c r="M585" t="str">
        <f>IFERROR(INDEX(Inventory!A:A,MATCH(Scan!A585,Inventory!E:E,0)),"")</f>
        <v/>
      </c>
    </row>
    <row r="586" spans="2:13" x14ac:dyDescent="0.3">
      <c r="B586" t="str">
        <f>IF(IFERROR(VLOOKUP(TRIM(A586),Inventory!E:E,1,0),0)=0,"X","_")</f>
        <v>_</v>
      </c>
      <c r="C586" t="str">
        <f>IF(IFERROR(VLOOKUP(TRIM(A586),'Full Inventory'!F:F,1,0),0)=0,"X","_")</f>
        <v>X</v>
      </c>
      <c r="D586" t="str">
        <f t="shared" si="36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F586" t="str">
        <f t="shared" si="37"/>
        <v>_</v>
      </c>
      <c r="K586" t="str">
        <f t="shared" ca="1" si="38"/>
        <v>_XX_</v>
      </c>
      <c r="L586" t="str">
        <f t="shared" ca="1" si="39"/>
        <v/>
      </c>
      <c r="M586" t="str">
        <f>IFERROR(INDEX(Inventory!A:A,MATCH(Scan!A586,Inventory!E:E,0)),"")</f>
        <v/>
      </c>
    </row>
    <row r="587" spans="2:13" x14ac:dyDescent="0.3">
      <c r="B587" t="str">
        <f>IF(IFERROR(VLOOKUP(TRIM(A587),Inventory!E:E,1,0),0)=0,"X","_")</f>
        <v>_</v>
      </c>
      <c r="C587" t="str">
        <f>IF(IFERROR(VLOOKUP(TRIM(A587),'Full Inventory'!F:F,1,0),0)=0,"X","_")</f>
        <v>X</v>
      </c>
      <c r="D587" t="str">
        <f t="shared" si="36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F587" t="str">
        <f t="shared" si="37"/>
        <v>_</v>
      </c>
      <c r="K587" t="str">
        <f t="shared" ca="1" si="38"/>
        <v>_XX_</v>
      </c>
      <c r="L587" t="str">
        <f t="shared" ca="1" si="39"/>
        <v/>
      </c>
      <c r="M587" t="str">
        <f>IFERROR(INDEX(Inventory!A:A,MATCH(Scan!A587,Inventory!E:E,0)),"")</f>
        <v/>
      </c>
    </row>
    <row r="588" spans="2:13" x14ac:dyDescent="0.3">
      <c r="B588" t="str">
        <f>IF(IFERROR(VLOOKUP(TRIM(A588),Inventory!E:E,1,0),0)=0,"X","_")</f>
        <v>_</v>
      </c>
      <c r="C588" t="str">
        <f>IF(IFERROR(VLOOKUP(TRIM(A588),'Full Inventory'!F:F,1,0),0)=0,"X","_")</f>
        <v>X</v>
      </c>
      <c r="D588" t="str">
        <f t="shared" si="36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F588" t="str">
        <f t="shared" si="37"/>
        <v>_</v>
      </c>
      <c r="K588" t="str">
        <f t="shared" ca="1" si="38"/>
        <v>_XX_</v>
      </c>
      <c r="L588" t="str">
        <f t="shared" ca="1" si="39"/>
        <v/>
      </c>
      <c r="M588" t="str">
        <f>IFERROR(INDEX(Inventory!A:A,MATCH(Scan!A588,Inventory!E:E,0)),"")</f>
        <v/>
      </c>
    </row>
    <row r="589" spans="2:13" x14ac:dyDescent="0.3">
      <c r="B589" t="str">
        <f>IF(IFERROR(VLOOKUP(TRIM(A589),Inventory!E:E,1,0),0)=0,"X","_")</f>
        <v>_</v>
      </c>
      <c r="C589" t="str">
        <f>IF(IFERROR(VLOOKUP(TRIM(A589),'Full Inventory'!F:F,1,0),0)=0,"X","_")</f>
        <v>X</v>
      </c>
      <c r="D589" t="str">
        <f t="shared" si="36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F589" t="str">
        <f t="shared" si="37"/>
        <v>_</v>
      </c>
      <c r="K589" t="str">
        <f t="shared" ca="1" si="38"/>
        <v>_XX_</v>
      </c>
      <c r="L589" t="str">
        <f t="shared" ca="1" si="39"/>
        <v/>
      </c>
      <c r="M589" t="str">
        <f>IFERROR(INDEX(Inventory!A:A,MATCH(Scan!A589,Inventory!E:E,0)),"")</f>
        <v/>
      </c>
    </row>
    <row r="590" spans="2:13" x14ac:dyDescent="0.3">
      <c r="B590" t="str">
        <f>IF(IFERROR(VLOOKUP(TRIM(A590),Inventory!E:E,1,0),0)=0,"X","_")</f>
        <v>_</v>
      </c>
      <c r="C590" t="str">
        <f>IF(IFERROR(VLOOKUP(TRIM(A590),'Full Inventory'!F:F,1,0),0)=0,"X","_")</f>
        <v>X</v>
      </c>
      <c r="D590" t="str">
        <f t="shared" si="36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F590" t="str">
        <f t="shared" si="37"/>
        <v>_</v>
      </c>
      <c r="K590" t="str">
        <f t="shared" ca="1" si="38"/>
        <v>_XX_</v>
      </c>
      <c r="L590" t="str">
        <f t="shared" ca="1" si="39"/>
        <v/>
      </c>
      <c r="M590" t="str">
        <f>IFERROR(INDEX(Inventory!A:A,MATCH(Scan!A590,Inventory!E:E,0)),"")</f>
        <v/>
      </c>
    </row>
    <row r="591" spans="2:13" x14ac:dyDescent="0.3">
      <c r="B591" t="str">
        <f>IF(IFERROR(VLOOKUP(TRIM(A591),Inventory!E:E,1,0),0)=0,"X","_")</f>
        <v>_</v>
      </c>
      <c r="C591" t="str">
        <f>IF(IFERROR(VLOOKUP(TRIM(A591),'Full Inventory'!F:F,1,0),0)=0,"X","_")</f>
        <v>X</v>
      </c>
      <c r="D591" t="str">
        <f t="shared" si="36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F591" t="str">
        <f t="shared" si="37"/>
        <v>_</v>
      </c>
      <c r="K591" t="str">
        <f t="shared" ca="1" si="38"/>
        <v>_XX_</v>
      </c>
      <c r="L591" t="str">
        <f t="shared" ca="1" si="39"/>
        <v/>
      </c>
      <c r="M591" t="str">
        <f>IFERROR(INDEX(Inventory!A:A,MATCH(Scan!A591,Inventory!E:E,0)),"")</f>
        <v/>
      </c>
    </row>
    <row r="592" spans="2:13" x14ac:dyDescent="0.3">
      <c r="B592" t="str">
        <f>IF(IFERROR(VLOOKUP(TRIM(A592),Inventory!E:E,1,0),0)=0,"X","_")</f>
        <v>_</v>
      </c>
      <c r="C592" t="str">
        <f>IF(IFERROR(VLOOKUP(TRIM(A592),'Full Inventory'!F:F,1,0),0)=0,"X","_")</f>
        <v>X</v>
      </c>
      <c r="D592" t="str">
        <f t="shared" si="36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F592" t="str">
        <f t="shared" si="37"/>
        <v>_</v>
      </c>
      <c r="K592" t="str">
        <f t="shared" ca="1" si="38"/>
        <v>_XX_</v>
      </c>
      <c r="L592" t="str">
        <f t="shared" ca="1" si="39"/>
        <v/>
      </c>
      <c r="M592" t="str">
        <f>IFERROR(INDEX(Inventory!A:A,MATCH(Scan!A592,Inventory!E:E,0)),"")</f>
        <v/>
      </c>
    </row>
    <row r="593" spans="2:13" x14ac:dyDescent="0.3">
      <c r="B593" t="str">
        <f>IF(IFERROR(VLOOKUP(TRIM(A593),Inventory!E:E,1,0),0)=0,"X","_")</f>
        <v>_</v>
      </c>
      <c r="C593" t="str">
        <f>IF(IFERROR(VLOOKUP(TRIM(A593),'Full Inventory'!F:F,1,0),0)=0,"X","_")</f>
        <v>X</v>
      </c>
      <c r="D593" t="str">
        <f t="shared" si="36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F593" t="str">
        <f t="shared" si="37"/>
        <v>_</v>
      </c>
      <c r="K593" t="str">
        <f t="shared" ca="1" si="38"/>
        <v>_XX_</v>
      </c>
      <c r="L593" t="str">
        <f t="shared" ca="1" si="39"/>
        <v/>
      </c>
      <c r="M593" t="str">
        <f>IFERROR(INDEX(Inventory!A:A,MATCH(Scan!A593,Inventory!E:E,0)),"")</f>
        <v/>
      </c>
    </row>
    <row r="594" spans="2:13" x14ac:dyDescent="0.3">
      <c r="B594" t="str">
        <f>IF(IFERROR(VLOOKUP(TRIM(A594),Inventory!E:E,1,0),0)=0,"X","_")</f>
        <v>_</v>
      </c>
      <c r="C594" t="str">
        <f>IF(IFERROR(VLOOKUP(TRIM(A594),'Full Inventory'!F:F,1,0),0)=0,"X","_")</f>
        <v>X</v>
      </c>
      <c r="D594" t="str">
        <f t="shared" si="36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F594" t="str">
        <f t="shared" si="37"/>
        <v>_</v>
      </c>
      <c r="K594" t="str">
        <f t="shared" ca="1" si="38"/>
        <v>_XX_</v>
      </c>
      <c r="L594" t="str">
        <f t="shared" ca="1" si="39"/>
        <v/>
      </c>
      <c r="M594" t="str">
        <f>IFERROR(INDEX(Inventory!A:A,MATCH(Scan!A594,Inventory!E:E,0)),"")</f>
        <v/>
      </c>
    </row>
    <row r="595" spans="2:13" x14ac:dyDescent="0.3">
      <c r="B595" t="str">
        <f>IF(IFERROR(VLOOKUP(TRIM(A595),Inventory!E:E,1,0),0)=0,"X","_")</f>
        <v>_</v>
      </c>
      <c r="C595" t="str">
        <f>IF(IFERROR(VLOOKUP(TRIM(A595),'Full Inventory'!F:F,1,0),0)=0,"X","_")</f>
        <v>X</v>
      </c>
      <c r="D595" t="str">
        <f t="shared" si="36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F595" t="str">
        <f t="shared" si="37"/>
        <v>_</v>
      </c>
      <c r="K595" t="str">
        <f t="shared" ca="1" si="38"/>
        <v>_XX_</v>
      </c>
      <c r="L595" t="str">
        <f t="shared" ca="1" si="39"/>
        <v/>
      </c>
      <c r="M595" t="str">
        <f>IFERROR(INDEX(Inventory!A:A,MATCH(Scan!A595,Inventory!E:E,0)),"")</f>
        <v/>
      </c>
    </row>
    <row r="596" spans="2:13" x14ac:dyDescent="0.3">
      <c r="B596" t="str">
        <f>IF(IFERROR(VLOOKUP(TRIM(A596),Inventory!E:E,1,0),0)=0,"X","_")</f>
        <v>_</v>
      </c>
      <c r="C596" t="str">
        <f>IF(IFERROR(VLOOKUP(TRIM(A596),'Full Inventory'!F:F,1,0),0)=0,"X","_")</f>
        <v>X</v>
      </c>
      <c r="D596" t="str">
        <f t="shared" si="36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F596" t="str">
        <f t="shared" si="37"/>
        <v>_</v>
      </c>
      <c r="K596" t="str">
        <f t="shared" ca="1" si="38"/>
        <v>_XX_</v>
      </c>
      <c r="L596" t="str">
        <f t="shared" ca="1" si="39"/>
        <v/>
      </c>
      <c r="M596" t="str">
        <f>IFERROR(INDEX(Inventory!A:A,MATCH(Scan!A596,Inventory!E:E,0)),"")</f>
        <v/>
      </c>
    </row>
    <row r="597" spans="2:13" x14ac:dyDescent="0.3">
      <c r="B597" t="str">
        <f>IF(IFERROR(VLOOKUP(TRIM(A597),Inventory!E:E,1,0),0)=0,"X","_")</f>
        <v>_</v>
      </c>
      <c r="C597" t="str">
        <f>IF(IFERROR(VLOOKUP(TRIM(A597),'Full Inventory'!F:F,1,0),0)=0,"X","_")</f>
        <v>X</v>
      </c>
      <c r="D597" t="str">
        <f t="shared" si="36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F597" t="str">
        <f t="shared" si="37"/>
        <v>_</v>
      </c>
      <c r="K597" t="str">
        <f t="shared" ca="1" si="38"/>
        <v>_XX_</v>
      </c>
      <c r="L597" t="str">
        <f t="shared" ca="1" si="39"/>
        <v/>
      </c>
      <c r="M597" t="str">
        <f>IFERROR(INDEX(Inventory!A:A,MATCH(Scan!A597,Inventory!E:E,0)),"")</f>
        <v/>
      </c>
    </row>
    <row r="598" spans="2:13" x14ac:dyDescent="0.3">
      <c r="B598" t="str">
        <f>IF(IFERROR(VLOOKUP(TRIM(A598),Inventory!E:E,1,0),0)=0,"X","_")</f>
        <v>_</v>
      </c>
      <c r="C598" t="str">
        <f>IF(IFERROR(VLOOKUP(TRIM(A598),'Full Inventory'!F:F,1,0),0)=0,"X","_")</f>
        <v>X</v>
      </c>
      <c r="D598" t="str">
        <f t="shared" si="36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F598" t="str">
        <f t="shared" si="37"/>
        <v>_</v>
      </c>
      <c r="K598" t="str">
        <f t="shared" ca="1" si="38"/>
        <v>_XX_</v>
      </c>
      <c r="L598" t="str">
        <f t="shared" ca="1" si="39"/>
        <v/>
      </c>
      <c r="M598" t="str">
        <f>IFERROR(INDEX(Inventory!A:A,MATCH(Scan!A598,Inventory!E:E,0)),"")</f>
        <v/>
      </c>
    </row>
    <row r="599" spans="2:13" x14ac:dyDescent="0.3">
      <c r="B599" t="str">
        <f>IF(IFERROR(VLOOKUP(TRIM(A599),Inventory!E:E,1,0),0)=0,"X","_")</f>
        <v>_</v>
      </c>
      <c r="C599" t="str">
        <f>IF(IFERROR(VLOOKUP(TRIM(A599),'Full Inventory'!F:F,1,0),0)=0,"X","_")</f>
        <v>X</v>
      </c>
      <c r="D599" t="str">
        <f t="shared" si="36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F599" t="str">
        <f t="shared" si="37"/>
        <v>_</v>
      </c>
      <c r="K599" t="str">
        <f t="shared" ca="1" si="38"/>
        <v>_XX_</v>
      </c>
      <c r="L599" t="str">
        <f t="shared" ca="1" si="39"/>
        <v/>
      </c>
      <c r="M599" t="str">
        <f>IFERROR(INDEX(Inventory!A:A,MATCH(Scan!A599,Inventory!E:E,0)),"")</f>
        <v/>
      </c>
    </row>
    <row r="600" spans="2:13" x14ac:dyDescent="0.3">
      <c r="B600" t="str">
        <f>IF(IFERROR(VLOOKUP(TRIM(A600),Inventory!E:E,1,0),0)=0,"X","_")</f>
        <v>_</v>
      </c>
      <c r="C600" t="str">
        <f>IF(IFERROR(VLOOKUP(TRIM(A600),'Full Inventory'!F:F,1,0),0)=0,"X","_")</f>
        <v>X</v>
      </c>
      <c r="D600" t="str">
        <f t="shared" si="36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F600" t="str">
        <f t="shared" si="37"/>
        <v>_</v>
      </c>
      <c r="K600" t="str">
        <f t="shared" ca="1" si="38"/>
        <v>_XX_</v>
      </c>
      <c r="L600" t="str">
        <f t="shared" ca="1" si="39"/>
        <v/>
      </c>
      <c r="M600" t="str">
        <f>IFERROR(INDEX(Inventory!A:A,MATCH(Scan!A600,Inventory!E:E,0)),"")</f>
        <v/>
      </c>
    </row>
    <row r="601" spans="2:13" x14ac:dyDescent="0.3">
      <c r="B601" t="str">
        <f>IF(IFERROR(VLOOKUP(TRIM(A601),Inventory!E:E,1,0),0)=0,"X","_")</f>
        <v>_</v>
      </c>
      <c r="C601" t="str">
        <f>IF(IFERROR(VLOOKUP(TRIM(A601),'Full Inventory'!F:F,1,0),0)=0,"X","_")</f>
        <v>X</v>
      </c>
      <c r="D601" t="str">
        <f t="shared" si="36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F601" t="str">
        <f t="shared" si="37"/>
        <v>_</v>
      </c>
      <c r="K601" t="str">
        <f t="shared" ca="1" si="38"/>
        <v>_XX_</v>
      </c>
      <c r="L601" t="str">
        <f t="shared" ca="1" si="39"/>
        <v/>
      </c>
      <c r="M601" t="str">
        <f>IFERROR(INDEX(Inventory!A:A,MATCH(Scan!A601,Inventory!E:E,0)),"")</f>
        <v/>
      </c>
    </row>
    <row r="602" spans="2:13" x14ac:dyDescent="0.3">
      <c r="B602" t="str">
        <f>IF(IFERROR(VLOOKUP(TRIM(A602),Inventory!E:E,1,0),0)=0,"X","_")</f>
        <v>_</v>
      </c>
      <c r="C602" t="str">
        <f>IF(IFERROR(VLOOKUP(TRIM(A602),'Full Inventory'!F:F,1,0),0)=0,"X","_")</f>
        <v>X</v>
      </c>
      <c r="D602" t="str">
        <f t="shared" si="36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F602" t="str">
        <f t="shared" si="37"/>
        <v>_</v>
      </c>
      <c r="K602" t="str">
        <f t="shared" ca="1" si="38"/>
        <v>_XX_</v>
      </c>
      <c r="L602" t="str">
        <f t="shared" ca="1" si="39"/>
        <v/>
      </c>
      <c r="M602" t="str">
        <f>IFERROR(INDEX(Inventory!A:A,MATCH(Scan!A602,Inventory!E:E,0)),"")</f>
        <v/>
      </c>
    </row>
    <row r="603" spans="2:13" x14ac:dyDescent="0.3">
      <c r="B603" t="str">
        <f>IF(IFERROR(VLOOKUP(TRIM(A603),Inventory!E:E,1,0),0)=0,"X","_")</f>
        <v>_</v>
      </c>
      <c r="C603" t="str">
        <f>IF(IFERROR(VLOOKUP(TRIM(A603),'Full Inventory'!F:F,1,0),0)=0,"X","_")</f>
        <v>X</v>
      </c>
      <c r="D603" t="str">
        <f t="shared" si="36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F603" t="str">
        <f t="shared" si="37"/>
        <v>_</v>
      </c>
      <c r="K603" t="str">
        <f t="shared" ca="1" si="38"/>
        <v>_XX_</v>
      </c>
      <c r="L603" t="str">
        <f t="shared" ca="1" si="39"/>
        <v/>
      </c>
      <c r="M603" t="str">
        <f>IFERROR(INDEX(Inventory!A:A,MATCH(Scan!A603,Inventory!E:E,0)),"")</f>
        <v/>
      </c>
    </row>
    <row r="604" spans="2:13" x14ac:dyDescent="0.3">
      <c r="B604" t="str">
        <f>IF(IFERROR(VLOOKUP(TRIM(A604),Inventory!E:E,1,0),0)=0,"X","_")</f>
        <v>_</v>
      </c>
      <c r="C604" t="str">
        <f>IF(IFERROR(VLOOKUP(TRIM(A604),'Full Inventory'!F:F,1,0),0)=0,"X","_")</f>
        <v>X</v>
      </c>
      <c r="D604" t="str">
        <f t="shared" si="36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F604" t="str">
        <f t="shared" si="37"/>
        <v>_</v>
      </c>
      <c r="K604" t="str">
        <f t="shared" ca="1" si="38"/>
        <v>_XX_</v>
      </c>
      <c r="L604" t="str">
        <f t="shared" ca="1" si="39"/>
        <v/>
      </c>
      <c r="M604" t="str">
        <f>IFERROR(INDEX(Inventory!A:A,MATCH(Scan!A604,Inventory!E:E,0)),"")</f>
        <v/>
      </c>
    </row>
    <row r="605" spans="2:13" x14ac:dyDescent="0.3">
      <c r="B605" t="str">
        <f>IF(IFERROR(VLOOKUP(TRIM(A605),Inventory!E:E,1,0),0)=0,"X","_")</f>
        <v>_</v>
      </c>
      <c r="C605" t="str">
        <f>IF(IFERROR(VLOOKUP(TRIM(A605),'Full Inventory'!F:F,1,0),0)=0,"X","_")</f>
        <v>X</v>
      </c>
      <c r="D605" t="str">
        <f t="shared" si="36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F605" t="str">
        <f t="shared" si="37"/>
        <v>_</v>
      </c>
      <c r="K605" t="str">
        <f t="shared" ca="1" si="38"/>
        <v>_XX_</v>
      </c>
      <c r="L605" t="str">
        <f t="shared" ca="1" si="39"/>
        <v/>
      </c>
      <c r="M605" t="str">
        <f>IFERROR(INDEX(Inventory!A:A,MATCH(Scan!A605,Inventory!E:E,0)),"")</f>
        <v/>
      </c>
    </row>
    <row r="606" spans="2:13" x14ac:dyDescent="0.3">
      <c r="B606" t="str">
        <f>IF(IFERROR(VLOOKUP(TRIM(A606),Inventory!E:E,1,0),0)=0,"X","_")</f>
        <v>_</v>
      </c>
      <c r="C606" t="str">
        <f>IF(IFERROR(VLOOKUP(TRIM(A606),'Full Inventory'!F:F,1,0),0)=0,"X","_")</f>
        <v>X</v>
      </c>
      <c r="D606" t="str">
        <f t="shared" si="36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F606" t="str">
        <f t="shared" si="37"/>
        <v>_</v>
      </c>
      <c r="K606" t="str">
        <f t="shared" ca="1" si="38"/>
        <v>_XX_</v>
      </c>
      <c r="L606" t="str">
        <f t="shared" ca="1" si="39"/>
        <v/>
      </c>
      <c r="M606" t="str">
        <f>IFERROR(INDEX(Inventory!A:A,MATCH(Scan!A606,Inventory!E:E,0)),"")</f>
        <v/>
      </c>
    </row>
    <row r="607" spans="2:13" x14ac:dyDescent="0.3">
      <c r="B607" t="str">
        <f>IF(IFERROR(VLOOKUP(TRIM(A607),Inventory!E:E,1,0),0)=0,"X","_")</f>
        <v>_</v>
      </c>
      <c r="C607" t="str">
        <f>IF(IFERROR(VLOOKUP(TRIM(A607),'Full Inventory'!F:F,1,0),0)=0,"X","_")</f>
        <v>X</v>
      </c>
      <c r="D607" t="str">
        <f t="shared" si="36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F607" t="str">
        <f t="shared" si="37"/>
        <v>_</v>
      </c>
      <c r="K607" t="str">
        <f t="shared" ca="1" si="38"/>
        <v>_XX_</v>
      </c>
      <c r="L607" t="str">
        <f t="shared" ca="1" si="39"/>
        <v/>
      </c>
      <c r="M607" t="str">
        <f>IFERROR(INDEX(Inventory!A:A,MATCH(Scan!A607,Inventory!E:E,0)),"")</f>
        <v/>
      </c>
    </row>
    <row r="608" spans="2:13" x14ac:dyDescent="0.3">
      <c r="B608" t="str">
        <f>IF(IFERROR(VLOOKUP(TRIM(A608),Inventory!E:E,1,0),0)=0,"X","_")</f>
        <v>_</v>
      </c>
      <c r="C608" t="str">
        <f>IF(IFERROR(VLOOKUP(TRIM(A608),'Full Inventory'!F:F,1,0),0)=0,"X","_")</f>
        <v>X</v>
      </c>
      <c r="D608" t="str">
        <f t="shared" si="36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F608" t="str">
        <f t="shared" si="37"/>
        <v>_</v>
      </c>
      <c r="K608" t="str">
        <f t="shared" ca="1" si="38"/>
        <v>_XX_</v>
      </c>
      <c r="L608" t="str">
        <f t="shared" ca="1" si="39"/>
        <v/>
      </c>
      <c r="M608" t="str">
        <f>IFERROR(INDEX(Inventory!A:A,MATCH(Scan!A608,Inventory!E:E,0)),"")</f>
        <v/>
      </c>
    </row>
    <row r="609" spans="2:13" x14ac:dyDescent="0.3">
      <c r="B609" t="str">
        <f>IF(IFERROR(VLOOKUP(TRIM(A609),Inventory!E:E,1,0),0)=0,"X","_")</f>
        <v>_</v>
      </c>
      <c r="C609" t="str">
        <f>IF(IFERROR(VLOOKUP(TRIM(A609),'Full Inventory'!F:F,1,0),0)=0,"X","_")</f>
        <v>X</v>
      </c>
      <c r="D609" t="str">
        <f t="shared" si="36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F609" t="str">
        <f t="shared" si="37"/>
        <v>_</v>
      </c>
      <c r="K609" t="str">
        <f t="shared" ca="1" si="38"/>
        <v>_XX_</v>
      </c>
      <c r="L609" t="str">
        <f t="shared" ca="1" si="39"/>
        <v/>
      </c>
      <c r="M609" t="str">
        <f>IFERROR(INDEX(Inventory!A:A,MATCH(Scan!A609,Inventory!E:E,0)),"")</f>
        <v/>
      </c>
    </row>
    <row r="610" spans="2:13" x14ac:dyDescent="0.3">
      <c r="B610" t="str">
        <f>IF(IFERROR(VLOOKUP(TRIM(A610),Inventory!E:E,1,0),0)=0,"X","_")</f>
        <v>_</v>
      </c>
      <c r="C610" t="str">
        <f>IF(IFERROR(VLOOKUP(TRIM(A610),'Full Inventory'!F:F,1,0),0)=0,"X","_")</f>
        <v>X</v>
      </c>
      <c r="D610" t="str">
        <f t="shared" si="36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F610" t="str">
        <f t="shared" si="37"/>
        <v>_</v>
      </c>
      <c r="K610" t="str">
        <f t="shared" ca="1" si="38"/>
        <v>_XX_</v>
      </c>
      <c r="L610" t="str">
        <f t="shared" ca="1" si="39"/>
        <v/>
      </c>
      <c r="M610" t="str">
        <f>IFERROR(INDEX(Inventory!A:A,MATCH(Scan!A610,Inventory!E:E,0)),"")</f>
        <v/>
      </c>
    </row>
    <row r="611" spans="2:13" x14ac:dyDescent="0.3">
      <c r="B611" t="str">
        <f>IF(IFERROR(VLOOKUP(TRIM(A611),Inventory!E:E,1,0),0)=0,"X","_")</f>
        <v>_</v>
      </c>
      <c r="C611" t="str">
        <f>IF(IFERROR(VLOOKUP(TRIM(A611),'Full Inventory'!F:F,1,0),0)=0,"X","_")</f>
        <v>X</v>
      </c>
      <c r="D611" t="str">
        <f t="shared" si="36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F611" t="str">
        <f t="shared" si="37"/>
        <v>_</v>
      </c>
      <c r="K611" t="str">
        <f t="shared" ca="1" si="38"/>
        <v>_XX_</v>
      </c>
      <c r="L611" t="str">
        <f t="shared" ca="1" si="39"/>
        <v/>
      </c>
      <c r="M611" t="str">
        <f>IFERROR(INDEX(Inventory!A:A,MATCH(Scan!A611,Inventory!E:E,0)),"")</f>
        <v/>
      </c>
    </row>
    <row r="612" spans="2:13" x14ac:dyDescent="0.3">
      <c r="B612" t="str">
        <f>IF(IFERROR(VLOOKUP(TRIM(A612),Inventory!E:E,1,0),0)=0,"X","_")</f>
        <v>_</v>
      </c>
      <c r="C612" t="str">
        <f>IF(IFERROR(VLOOKUP(TRIM(A612),'Full Inventory'!F:F,1,0),0)=0,"X","_")</f>
        <v>X</v>
      </c>
      <c r="D612" t="str">
        <f t="shared" si="36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F612" t="str">
        <f t="shared" si="37"/>
        <v>_</v>
      </c>
      <c r="K612" t="str">
        <f t="shared" ca="1" si="38"/>
        <v>_XX_</v>
      </c>
      <c r="L612" t="str">
        <f t="shared" ca="1" si="39"/>
        <v/>
      </c>
      <c r="M612" t="str">
        <f>IFERROR(INDEX(Inventory!A:A,MATCH(Scan!A612,Inventory!E:E,0)),"")</f>
        <v/>
      </c>
    </row>
    <row r="613" spans="2:13" x14ac:dyDescent="0.3">
      <c r="B613" t="str">
        <f>IF(IFERROR(VLOOKUP(TRIM(A613),Inventory!E:E,1,0),0)=0,"X","_")</f>
        <v>_</v>
      </c>
      <c r="C613" t="str">
        <f>IF(IFERROR(VLOOKUP(TRIM(A613),'Full Inventory'!F:F,1,0),0)=0,"X","_")</f>
        <v>X</v>
      </c>
      <c r="D613" t="str">
        <f t="shared" si="36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F613" t="str">
        <f t="shared" si="37"/>
        <v>_</v>
      </c>
      <c r="K613" t="str">
        <f t="shared" ca="1" si="38"/>
        <v>_XX_</v>
      </c>
      <c r="L613" t="str">
        <f t="shared" ca="1" si="39"/>
        <v/>
      </c>
      <c r="M613" t="str">
        <f>IFERROR(INDEX(Inventory!A:A,MATCH(Scan!A613,Inventory!E:E,0)),"")</f>
        <v/>
      </c>
    </row>
    <row r="614" spans="2:13" x14ac:dyDescent="0.3">
      <c r="B614" t="str">
        <f>IF(IFERROR(VLOOKUP(TRIM(A614),Inventory!E:E,1,0),0)=0,"X","_")</f>
        <v>_</v>
      </c>
      <c r="C614" t="str">
        <f>IF(IFERROR(VLOOKUP(TRIM(A614),'Full Inventory'!F:F,1,0),0)=0,"X","_")</f>
        <v>X</v>
      </c>
      <c r="D614" t="str">
        <f t="shared" si="36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F614" t="str">
        <f t="shared" si="37"/>
        <v>_</v>
      </c>
      <c r="K614" t="str">
        <f t="shared" ca="1" si="38"/>
        <v>_XX_</v>
      </c>
      <c r="L614" t="str">
        <f t="shared" ca="1" si="39"/>
        <v/>
      </c>
      <c r="M614" t="str">
        <f>IFERROR(INDEX(Inventory!A:A,MATCH(Scan!A614,Inventory!E:E,0)),"")</f>
        <v/>
      </c>
    </row>
    <row r="615" spans="2:13" x14ac:dyDescent="0.3">
      <c r="B615" t="str">
        <f>IF(IFERROR(VLOOKUP(TRIM(A615),Inventory!E:E,1,0),0)=0,"X","_")</f>
        <v>_</v>
      </c>
      <c r="C615" t="str">
        <f>IF(IFERROR(VLOOKUP(TRIM(A615),'Full Inventory'!F:F,1,0),0)=0,"X","_")</f>
        <v>X</v>
      </c>
      <c r="D615" t="str">
        <f t="shared" si="36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F615" t="str">
        <f t="shared" si="37"/>
        <v>_</v>
      </c>
      <c r="K615" t="str">
        <f t="shared" ca="1" si="38"/>
        <v>_XX_</v>
      </c>
      <c r="L615" t="str">
        <f t="shared" ca="1" si="39"/>
        <v/>
      </c>
      <c r="M615" t="str">
        <f>IFERROR(INDEX(Inventory!A:A,MATCH(Scan!A615,Inventory!E:E,0)),"")</f>
        <v/>
      </c>
    </row>
    <row r="616" spans="2:13" x14ac:dyDescent="0.3">
      <c r="B616" t="str">
        <f>IF(IFERROR(VLOOKUP(TRIM(A616),Inventory!E:E,1,0),0)=0,"X","_")</f>
        <v>_</v>
      </c>
      <c r="C616" t="str">
        <f>IF(IFERROR(VLOOKUP(TRIM(A616),'Full Inventory'!F:F,1,0),0)=0,"X","_")</f>
        <v>X</v>
      </c>
      <c r="D616" t="str">
        <f t="shared" si="36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F616" t="str">
        <f t="shared" si="37"/>
        <v>_</v>
      </c>
      <c r="K616" t="str">
        <f t="shared" ca="1" si="38"/>
        <v>_XX_</v>
      </c>
      <c r="L616" t="str">
        <f t="shared" ca="1" si="39"/>
        <v/>
      </c>
      <c r="M616" t="str">
        <f>IFERROR(INDEX(Inventory!A:A,MATCH(Scan!A616,Inventory!E:E,0)),"")</f>
        <v/>
      </c>
    </row>
    <row r="617" spans="2:13" x14ac:dyDescent="0.3">
      <c r="B617" t="str">
        <f>IF(IFERROR(VLOOKUP(TRIM(A617),Inventory!E:E,1,0),0)=0,"X","_")</f>
        <v>_</v>
      </c>
      <c r="C617" t="str">
        <f>IF(IFERROR(VLOOKUP(TRIM(A617),'Full Inventory'!F:F,1,0),0)=0,"X","_")</f>
        <v>X</v>
      </c>
      <c r="D617" t="str">
        <f t="shared" si="36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F617" t="str">
        <f t="shared" si="37"/>
        <v>_</v>
      </c>
      <c r="K617" t="str">
        <f t="shared" ca="1" si="38"/>
        <v>_XX_</v>
      </c>
      <c r="L617" t="str">
        <f t="shared" ca="1" si="39"/>
        <v/>
      </c>
      <c r="M617" t="str">
        <f>IFERROR(INDEX(Inventory!A:A,MATCH(Scan!A617,Inventory!E:E,0)),"")</f>
        <v/>
      </c>
    </row>
    <row r="618" spans="2:13" x14ac:dyDescent="0.3">
      <c r="B618" t="str">
        <f>IF(IFERROR(VLOOKUP(TRIM(A618),Inventory!E:E,1,0),0)=0,"X","_")</f>
        <v>_</v>
      </c>
      <c r="C618" t="str">
        <f>IF(IFERROR(VLOOKUP(TRIM(A618),'Full Inventory'!F:F,1,0),0)=0,"X","_")</f>
        <v>X</v>
      </c>
      <c r="D618" t="str">
        <f t="shared" si="36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F618" t="str">
        <f t="shared" si="37"/>
        <v>_</v>
      </c>
      <c r="K618" t="str">
        <f t="shared" ca="1" si="38"/>
        <v>_XX_</v>
      </c>
      <c r="L618" t="str">
        <f t="shared" ca="1" si="39"/>
        <v/>
      </c>
      <c r="M618" t="str">
        <f>IFERROR(INDEX(Inventory!A:A,MATCH(Scan!A618,Inventory!E:E,0)),"")</f>
        <v/>
      </c>
    </row>
    <row r="619" spans="2:13" x14ac:dyDescent="0.3">
      <c r="B619" t="str">
        <f>IF(IFERROR(VLOOKUP(TRIM(A619),Inventory!E:E,1,0),0)=0,"X","_")</f>
        <v>_</v>
      </c>
      <c r="C619" t="str">
        <f>IF(IFERROR(VLOOKUP(TRIM(A619),'Full Inventory'!F:F,1,0),0)=0,"X","_")</f>
        <v>X</v>
      </c>
      <c r="D619" t="str">
        <f t="shared" si="36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F619" t="str">
        <f t="shared" si="37"/>
        <v>_</v>
      </c>
      <c r="K619" t="str">
        <f t="shared" ca="1" si="38"/>
        <v>_XX_</v>
      </c>
      <c r="L619" t="str">
        <f t="shared" ca="1" si="39"/>
        <v/>
      </c>
      <c r="M619" t="str">
        <f>IFERROR(INDEX(Inventory!A:A,MATCH(Scan!A619,Inventory!E:E,0)),"")</f>
        <v/>
      </c>
    </row>
    <row r="620" spans="2:13" x14ac:dyDescent="0.3">
      <c r="B620" t="str">
        <f>IF(IFERROR(VLOOKUP(TRIM(A620),Inventory!E:E,1,0),0)=0,"X","_")</f>
        <v>_</v>
      </c>
      <c r="C620" t="str">
        <f>IF(IFERROR(VLOOKUP(TRIM(A620),'Full Inventory'!F:F,1,0),0)=0,"X","_")</f>
        <v>X</v>
      </c>
      <c r="D620" t="str">
        <f t="shared" si="36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F620" t="str">
        <f t="shared" si="37"/>
        <v>_</v>
      </c>
      <c r="K620" t="str">
        <f t="shared" ca="1" si="38"/>
        <v>_XX_</v>
      </c>
      <c r="L620" t="str">
        <f t="shared" ca="1" si="39"/>
        <v/>
      </c>
      <c r="M620" t="str">
        <f>IFERROR(INDEX(Inventory!A:A,MATCH(Scan!A620,Inventory!E:E,0)),"")</f>
        <v/>
      </c>
    </row>
    <row r="621" spans="2:13" x14ac:dyDescent="0.3">
      <c r="B621" t="str">
        <f>IF(IFERROR(VLOOKUP(TRIM(A621),Inventory!E:E,1,0),0)=0,"X","_")</f>
        <v>_</v>
      </c>
      <c r="C621" t="str">
        <f>IF(IFERROR(VLOOKUP(TRIM(A621),'Full Inventory'!F:F,1,0),0)=0,"X","_")</f>
        <v>X</v>
      </c>
      <c r="D621" t="str">
        <f t="shared" si="36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F621" t="str">
        <f t="shared" si="37"/>
        <v>_</v>
      </c>
      <c r="K621" t="str">
        <f t="shared" ca="1" si="38"/>
        <v>_XX_</v>
      </c>
      <c r="L621" t="str">
        <f t="shared" ca="1" si="39"/>
        <v/>
      </c>
      <c r="M621" t="str">
        <f>IFERROR(INDEX(Inventory!A:A,MATCH(Scan!A621,Inventory!E:E,0)),"")</f>
        <v/>
      </c>
    </row>
    <row r="622" spans="2:13" x14ac:dyDescent="0.3">
      <c r="B622" t="str">
        <f>IF(IFERROR(VLOOKUP(TRIM(A622),Inventory!E:E,1,0),0)=0,"X","_")</f>
        <v>_</v>
      </c>
      <c r="C622" t="str">
        <f>IF(IFERROR(VLOOKUP(TRIM(A622),'Full Inventory'!F:F,1,0),0)=0,"X","_")</f>
        <v>X</v>
      </c>
      <c r="D622" t="str">
        <f t="shared" si="36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F622" t="str">
        <f t="shared" si="37"/>
        <v>_</v>
      </c>
      <c r="K622" t="str">
        <f t="shared" ca="1" si="38"/>
        <v>_XX_</v>
      </c>
      <c r="L622" t="str">
        <f t="shared" ca="1" si="39"/>
        <v/>
      </c>
      <c r="M622" t="str">
        <f>IFERROR(INDEX(Inventory!A:A,MATCH(Scan!A622,Inventory!E:E,0)),"")</f>
        <v/>
      </c>
    </row>
    <row r="623" spans="2:13" x14ac:dyDescent="0.3">
      <c r="B623" t="str">
        <f>IF(IFERROR(VLOOKUP(TRIM(A623),Inventory!E:E,1,0),0)=0,"X","_")</f>
        <v>_</v>
      </c>
      <c r="C623" t="str">
        <f>IF(IFERROR(VLOOKUP(TRIM(A623),'Full Inventory'!F:F,1,0),0)=0,"X","_")</f>
        <v>X</v>
      </c>
      <c r="D623" t="str">
        <f t="shared" si="36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F623" t="str">
        <f t="shared" si="37"/>
        <v>_</v>
      </c>
      <c r="K623" t="str">
        <f t="shared" ca="1" si="38"/>
        <v>_XX_</v>
      </c>
      <c r="L623" t="str">
        <f t="shared" ca="1" si="39"/>
        <v/>
      </c>
      <c r="M623" t="str">
        <f>IFERROR(INDEX(Inventory!A:A,MATCH(Scan!A623,Inventory!E:E,0)),"")</f>
        <v/>
      </c>
    </row>
    <row r="624" spans="2:13" x14ac:dyDescent="0.3">
      <c r="B624" t="str">
        <f>IF(IFERROR(VLOOKUP(TRIM(A624),Inventory!E:E,1,0),0)=0,"X","_")</f>
        <v>_</v>
      </c>
      <c r="C624" t="str">
        <f>IF(IFERROR(VLOOKUP(TRIM(A624),'Full Inventory'!F:F,1,0),0)=0,"X","_")</f>
        <v>X</v>
      </c>
      <c r="D624" t="str">
        <f t="shared" si="36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F624" t="str">
        <f t="shared" si="37"/>
        <v>_</v>
      </c>
      <c r="K624" t="str">
        <f t="shared" ca="1" si="38"/>
        <v>_XX_</v>
      </c>
      <c r="L624" t="str">
        <f t="shared" ca="1" si="39"/>
        <v/>
      </c>
      <c r="M624" t="str">
        <f>IFERROR(INDEX(Inventory!A:A,MATCH(Scan!A624,Inventory!E:E,0)),"")</f>
        <v/>
      </c>
    </row>
    <row r="625" spans="2:13" x14ac:dyDescent="0.3">
      <c r="B625" t="str">
        <f>IF(IFERROR(VLOOKUP(TRIM(A625),Inventory!E:E,1,0),0)=0,"X","_")</f>
        <v>_</v>
      </c>
      <c r="C625" t="str">
        <f>IF(IFERROR(VLOOKUP(TRIM(A625),'Full Inventory'!F:F,1,0),0)=0,"X","_")</f>
        <v>X</v>
      </c>
      <c r="D625" t="str">
        <f t="shared" si="36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F625" t="str">
        <f t="shared" si="37"/>
        <v>_</v>
      </c>
      <c r="K625" t="str">
        <f t="shared" ca="1" si="38"/>
        <v>_XX_</v>
      </c>
      <c r="L625" t="str">
        <f t="shared" ca="1" si="39"/>
        <v/>
      </c>
      <c r="M625" t="str">
        <f>IFERROR(INDEX(Inventory!A:A,MATCH(Scan!A625,Inventory!E:E,0)),"")</f>
        <v/>
      </c>
    </row>
    <row r="626" spans="2:13" x14ac:dyDescent="0.3">
      <c r="B626" t="str">
        <f>IF(IFERROR(VLOOKUP(TRIM(A626),Inventory!E:E,1,0),0)=0,"X","_")</f>
        <v>_</v>
      </c>
      <c r="C626" t="str">
        <f>IF(IFERROR(VLOOKUP(TRIM(A626),'Full Inventory'!F:F,1,0),0)=0,"X","_")</f>
        <v>X</v>
      </c>
      <c r="D626" t="str">
        <f t="shared" si="36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F626" t="str">
        <f t="shared" si="37"/>
        <v>_</v>
      </c>
      <c r="K626" t="str">
        <f t="shared" ca="1" si="38"/>
        <v>_XX_</v>
      </c>
      <c r="L626" t="str">
        <f t="shared" ca="1" si="39"/>
        <v/>
      </c>
      <c r="M626" t="str">
        <f>IFERROR(INDEX(Inventory!A:A,MATCH(Scan!A626,Inventory!E:E,0)),"")</f>
        <v/>
      </c>
    </row>
    <row r="627" spans="2:13" x14ac:dyDescent="0.3">
      <c r="B627" t="str">
        <f>IF(IFERROR(VLOOKUP(TRIM(A627),Inventory!E:E,1,0),0)=0,"X","_")</f>
        <v>_</v>
      </c>
      <c r="C627" t="str">
        <f>IF(IFERROR(VLOOKUP(TRIM(A627),'Full Inventory'!F:F,1,0),0)=0,"X","_")</f>
        <v>X</v>
      </c>
      <c r="D627" t="str">
        <f t="shared" si="36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F627" t="str">
        <f t="shared" si="37"/>
        <v>_</v>
      </c>
      <c r="K627" t="str">
        <f t="shared" ca="1" si="38"/>
        <v>_XX_</v>
      </c>
      <c r="L627" t="str">
        <f t="shared" ca="1" si="39"/>
        <v/>
      </c>
      <c r="M627" t="str">
        <f>IFERROR(INDEX(Inventory!A:A,MATCH(Scan!A627,Inventory!E:E,0)),"")</f>
        <v/>
      </c>
    </row>
    <row r="628" spans="2:13" x14ac:dyDescent="0.3">
      <c r="B628" t="str">
        <f>IF(IFERROR(VLOOKUP(TRIM(A628),Inventory!E:E,1,0),0)=0,"X","_")</f>
        <v>_</v>
      </c>
      <c r="C628" t="str">
        <f>IF(IFERROR(VLOOKUP(TRIM(A628),'Full Inventory'!F:F,1,0),0)=0,"X","_")</f>
        <v>X</v>
      </c>
      <c r="D628" t="str">
        <f t="shared" si="36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F628" t="str">
        <f t="shared" si="37"/>
        <v>_</v>
      </c>
      <c r="K628" t="str">
        <f t="shared" ca="1" si="38"/>
        <v>_XX_</v>
      </c>
      <c r="L628" t="str">
        <f t="shared" ca="1" si="39"/>
        <v/>
      </c>
      <c r="M628" t="str">
        <f>IFERROR(INDEX(Inventory!A:A,MATCH(Scan!A628,Inventory!E:E,0)),"")</f>
        <v/>
      </c>
    </row>
    <row r="629" spans="2:13" x14ac:dyDescent="0.3">
      <c r="B629" t="str">
        <f>IF(IFERROR(VLOOKUP(TRIM(A629),Inventory!E:E,1,0),0)=0,"X","_")</f>
        <v>_</v>
      </c>
      <c r="C629" t="str">
        <f>IF(IFERROR(VLOOKUP(TRIM(A629),'Full Inventory'!F:F,1,0),0)=0,"X","_")</f>
        <v>X</v>
      </c>
      <c r="D629" t="str">
        <f t="shared" si="36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F629" t="str">
        <f t="shared" si="37"/>
        <v>_</v>
      </c>
      <c r="K629" t="str">
        <f t="shared" ca="1" si="38"/>
        <v>_XX_</v>
      </c>
      <c r="L629" t="str">
        <f t="shared" ca="1" si="39"/>
        <v/>
      </c>
      <c r="M629" t="str">
        <f>IFERROR(INDEX(Inventory!A:A,MATCH(Scan!A629,Inventory!E:E,0)),"")</f>
        <v/>
      </c>
    </row>
    <row r="630" spans="2:13" x14ac:dyDescent="0.3">
      <c r="B630" t="str">
        <f>IF(IFERROR(VLOOKUP(TRIM(A630),Inventory!E:E,1,0),0)=0,"X","_")</f>
        <v>_</v>
      </c>
      <c r="C630" t="str">
        <f>IF(IFERROR(VLOOKUP(TRIM(A630),'Full Inventory'!F:F,1,0),0)=0,"X","_")</f>
        <v>X</v>
      </c>
      <c r="D630" t="str">
        <f t="shared" si="36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F630" t="str">
        <f t="shared" si="37"/>
        <v>_</v>
      </c>
      <c r="K630" t="str">
        <f t="shared" ca="1" si="38"/>
        <v>_XX_</v>
      </c>
      <c r="L630" t="str">
        <f t="shared" ca="1" si="39"/>
        <v/>
      </c>
      <c r="M630" t="str">
        <f>IFERROR(INDEX(Inventory!A:A,MATCH(Scan!A630,Inventory!E:E,0)),"")</f>
        <v/>
      </c>
    </row>
    <row r="631" spans="2:13" x14ac:dyDescent="0.3">
      <c r="B631" t="str">
        <f>IF(IFERROR(VLOOKUP(TRIM(A631),Inventory!E:E,1,0),0)=0,"X","_")</f>
        <v>_</v>
      </c>
      <c r="C631" t="str">
        <f>IF(IFERROR(VLOOKUP(TRIM(A631),'Full Inventory'!F:F,1,0),0)=0,"X","_")</f>
        <v>X</v>
      </c>
      <c r="D631" t="str">
        <f t="shared" si="36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F631" t="str">
        <f t="shared" si="37"/>
        <v>_</v>
      </c>
      <c r="K631" t="str">
        <f t="shared" ca="1" si="38"/>
        <v>_XX_</v>
      </c>
      <c r="L631" t="str">
        <f t="shared" ca="1" si="39"/>
        <v/>
      </c>
      <c r="M631" t="str">
        <f>IFERROR(INDEX(Inventory!A:A,MATCH(Scan!A631,Inventory!E:E,0)),"")</f>
        <v/>
      </c>
    </row>
    <row r="632" spans="2:13" x14ac:dyDescent="0.3">
      <c r="B632" t="str">
        <f>IF(IFERROR(VLOOKUP(TRIM(A632),Inventory!E:E,1,0),0)=0,"X","_")</f>
        <v>_</v>
      </c>
      <c r="C632" t="str">
        <f>IF(IFERROR(VLOOKUP(TRIM(A632),'Full Inventory'!F:F,1,0),0)=0,"X","_")</f>
        <v>X</v>
      </c>
      <c r="D632" t="str">
        <f t="shared" si="36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F632" t="str">
        <f t="shared" si="37"/>
        <v>_</v>
      </c>
      <c r="K632" t="str">
        <f t="shared" ca="1" si="38"/>
        <v>_XX_</v>
      </c>
      <c r="L632" t="str">
        <f t="shared" ca="1" si="39"/>
        <v/>
      </c>
      <c r="M632" t="str">
        <f>IFERROR(INDEX(Inventory!A:A,MATCH(Scan!A632,Inventory!E:E,0)),"")</f>
        <v/>
      </c>
    </row>
    <row r="633" spans="2:13" x14ac:dyDescent="0.3">
      <c r="B633" t="str">
        <f>IF(IFERROR(VLOOKUP(TRIM(A633),Inventory!E:E,1,0),0)=0,"X","_")</f>
        <v>_</v>
      </c>
      <c r="C633" t="str">
        <f>IF(IFERROR(VLOOKUP(TRIM(A633),'Full Inventory'!F:F,1,0),0)=0,"X","_")</f>
        <v>X</v>
      </c>
      <c r="D633" t="str">
        <f t="shared" si="36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F633" t="str">
        <f t="shared" si="37"/>
        <v>_</v>
      </c>
      <c r="K633" t="str">
        <f t="shared" ca="1" si="38"/>
        <v>_XX_</v>
      </c>
      <c r="L633" t="str">
        <f t="shared" ca="1" si="39"/>
        <v/>
      </c>
      <c r="M633" t="str">
        <f>IFERROR(INDEX(Inventory!A:A,MATCH(Scan!A633,Inventory!E:E,0)),"")</f>
        <v/>
      </c>
    </row>
    <row r="634" spans="2:13" x14ac:dyDescent="0.3">
      <c r="B634" t="str">
        <f>IF(IFERROR(VLOOKUP(TRIM(A634),Inventory!E:E,1,0),0)=0,"X","_")</f>
        <v>_</v>
      </c>
      <c r="C634" t="str">
        <f>IF(IFERROR(VLOOKUP(TRIM(A634),'Full Inventory'!F:F,1,0),0)=0,"X","_")</f>
        <v>X</v>
      </c>
      <c r="D634" t="str">
        <f t="shared" si="36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F634" t="str">
        <f t="shared" si="37"/>
        <v>_</v>
      </c>
      <c r="K634" t="str">
        <f t="shared" ca="1" si="38"/>
        <v>_XX_</v>
      </c>
      <c r="L634" t="str">
        <f t="shared" ca="1" si="39"/>
        <v/>
      </c>
      <c r="M634" t="str">
        <f>IFERROR(INDEX(Inventory!A:A,MATCH(Scan!A634,Inventory!E:E,0)),"")</f>
        <v/>
      </c>
    </row>
    <row r="635" spans="2:13" x14ac:dyDescent="0.3">
      <c r="B635" t="str">
        <f>IF(IFERROR(VLOOKUP(TRIM(A635),Inventory!E:E,1,0),0)=0,"X","_")</f>
        <v>_</v>
      </c>
      <c r="C635" t="str">
        <f>IF(IFERROR(VLOOKUP(TRIM(A635),'Full Inventory'!F:F,1,0),0)=0,"X","_")</f>
        <v>X</v>
      </c>
      <c r="D635" t="str">
        <f t="shared" si="36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F635" t="str">
        <f t="shared" si="37"/>
        <v>_</v>
      </c>
      <c r="K635" t="str">
        <f t="shared" ca="1" si="38"/>
        <v>_XX_</v>
      </c>
      <c r="L635" t="str">
        <f t="shared" ca="1" si="39"/>
        <v/>
      </c>
      <c r="M635" t="str">
        <f>IFERROR(INDEX(Inventory!A:A,MATCH(Scan!A635,Inventory!E:E,0)),"")</f>
        <v/>
      </c>
    </row>
    <row r="636" spans="2:13" x14ac:dyDescent="0.3">
      <c r="B636" t="str">
        <f>IF(IFERROR(VLOOKUP(TRIM(A636),Inventory!E:E,1,0),0)=0,"X","_")</f>
        <v>_</v>
      </c>
      <c r="C636" t="str">
        <f>IF(IFERROR(VLOOKUP(TRIM(A636),'Full Inventory'!F:F,1,0),0)=0,"X","_")</f>
        <v>X</v>
      </c>
      <c r="D636" t="str">
        <f t="shared" si="36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F636" t="str">
        <f t="shared" si="37"/>
        <v>_</v>
      </c>
      <c r="K636" t="str">
        <f t="shared" ca="1" si="38"/>
        <v>_XX_</v>
      </c>
      <c r="L636" t="str">
        <f t="shared" ca="1" si="39"/>
        <v/>
      </c>
      <c r="M636" t="str">
        <f>IFERROR(INDEX(Inventory!A:A,MATCH(Scan!A636,Inventory!E:E,0)),"")</f>
        <v/>
      </c>
    </row>
    <row r="637" spans="2:13" x14ac:dyDescent="0.3">
      <c r="B637" t="str">
        <f>IF(IFERROR(VLOOKUP(TRIM(A637),Inventory!E:E,1,0),0)=0,"X","_")</f>
        <v>_</v>
      </c>
      <c r="C637" t="str">
        <f>IF(IFERROR(VLOOKUP(TRIM(A637),'Full Inventory'!F:F,1,0),0)=0,"X","_")</f>
        <v>X</v>
      </c>
      <c r="D637" t="str">
        <f t="shared" si="36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F637" t="str">
        <f t="shared" si="37"/>
        <v>_</v>
      </c>
      <c r="K637" t="str">
        <f t="shared" ca="1" si="38"/>
        <v>_XX_</v>
      </c>
      <c r="L637" t="str">
        <f t="shared" ca="1" si="39"/>
        <v/>
      </c>
      <c r="M637" t="str">
        <f>IFERROR(INDEX(Inventory!A:A,MATCH(Scan!A637,Inventory!E:E,0)),"")</f>
        <v/>
      </c>
    </row>
    <row r="638" spans="2:13" x14ac:dyDescent="0.3">
      <c r="B638" t="str">
        <f>IF(IFERROR(VLOOKUP(TRIM(A638),Inventory!E:E,1,0),0)=0,"X","_")</f>
        <v>_</v>
      </c>
      <c r="C638" t="str">
        <f>IF(IFERROR(VLOOKUP(TRIM(A638),'Full Inventory'!F:F,1,0),0)=0,"X","_")</f>
        <v>X</v>
      </c>
      <c r="D638" t="str">
        <f t="shared" si="36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F638" t="str">
        <f t="shared" si="37"/>
        <v>_</v>
      </c>
      <c r="K638" t="str">
        <f t="shared" ca="1" si="38"/>
        <v>_XX_</v>
      </c>
      <c r="L638" t="str">
        <f t="shared" ca="1" si="39"/>
        <v/>
      </c>
      <c r="M638" t="str">
        <f>IFERROR(INDEX(Inventory!A:A,MATCH(Scan!A638,Inventory!E:E,0)),"")</f>
        <v/>
      </c>
    </row>
    <row r="639" spans="2:13" x14ac:dyDescent="0.3">
      <c r="B639" t="str">
        <f>IF(IFERROR(VLOOKUP(TRIM(A639),Inventory!E:E,1,0),0)=0,"X","_")</f>
        <v>_</v>
      </c>
      <c r="C639" t="str">
        <f>IF(IFERROR(VLOOKUP(TRIM(A639),'Full Inventory'!F:F,1,0),0)=0,"X","_")</f>
        <v>X</v>
      </c>
      <c r="D639" t="str">
        <f t="shared" si="36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F639" t="str">
        <f t="shared" si="37"/>
        <v>_</v>
      </c>
      <c r="K639" t="str">
        <f t="shared" ca="1" si="38"/>
        <v>_XX_</v>
      </c>
      <c r="L639" t="str">
        <f t="shared" ca="1" si="39"/>
        <v/>
      </c>
      <c r="M639" t="str">
        <f>IFERROR(INDEX(Inventory!A:A,MATCH(Scan!A639,Inventory!E:E,0)),"")</f>
        <v/>
      </c>
    </row>
    <row r="640" spans="2:13" x14ac:dyDescent="0.3">
      <c r="B640" t="str">
        <f>IF(IFERROR(VLOOKUP(TRIM(A640),Inventory!E:E,1,0),0)=0,"X","_")</f>
        <v>_</v>
      </c>
      <c r="C640" t="str">
        <f>IF(IFERROR(VLOOKUP(TRIM(A640),'Full Inventory'!F:F,1,0),0)=0,"X","_")</f>
        <v>X</v>
      </c>
      <c r="D640" t="str">
        <f t="shared" si="36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F640" t="str">
        <f t="shared" si="37"/>
        <v>_</v>
      </c>
      <c r="K640" t="str">
        <f t="shared" ca="1" si="38"/>
        <v>_XX_</v>
      </c>
      <c r="L640" t="str">
        <f t="shared" ca="1" si="39"/>
        <v/>
      </c>
      <c r="M640" t="str">
        <f>IFERROR(INDEX(Inventory!A:A,MATCH(Scan!A640,Inventory!E:E,0)),"")</f>
        <v/>
      </c>
    </row>
    <row r="641" spans="2:13" x14ac:dyDescent="0.3">
      <c r="B641" t="str">
        <f>IF(IFERROR(VLOOKUP(TRIM(A641),Inventory!E:E,1,0),0)=0,"X","_")</f>
        <v>_</v>
      </c>
      <c r="C641" t="str">
        <f>IF(IFERROR(VLOOKUP(TRIM(A641),'Full Inventory'!F:F,1,0),0)=0,"X","_")</f>
        <v>X</v>
      </c>
      <c r="D641" t="str">
        <f t="shared" si="36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F641" t="str">
        <f t="shared" si="37"/>
        <v>_</v>
      </c>
      <c r="K641" t="str">
        <f t="shared" ca="1" si="38"/>
        <v>_XX_</v>
      </c>
      <c r="L641" t="str">
        <f t="shared" ca="1" si="39"/>
        <v/>
      </c>
      <c r="M641" t="str">
        <f>IFERROR(INDEX(Inventory!A:A,MATCH(Scan!A641,Inventory!E:E,0)),"")</f>
        <v/>
      </c>
    </row>
    <row r="642" spans="2:13" x14ac:dyDescent="0.3">
      <c r="B642" t="str">
        <f>IF(IFERROR(VLOOKUP(TRIM(A642),Inventory!E:E,1,0),0)=0,"X","_")</f>
        <v>_</v>
      </c>
      <c r="C642" t="str">
        <f>IF(IFERROR(VLOOKUP(TRIM(A642),'Full Inventory'!F:F,1,0),0)=0,"X","_")</f>
        <v>X</v>
      </c>
      <c r="D642" t="str">
        <f t="shared" ref="D642:D705" si="4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F642" t="str">
        <f t="shared" si="37"/>
        <v>_</v>
      </c>
      <c r="K642" t="str">
        <f t="shared" ca="1" si="38"/>
        <v>_XX_</v>
      </c>
      <c r="L642" t="str">
        <f t="shared" ca="1" si="39"/>
        <v/>
      </c>
      <c r="M642" t="str">
        <f>IFERROR(INDEX(Inventory!A:A,MATCH(Scan!A642,Inventory!E:E,0)),"")</f>
        <v/>
      </c>
    </row>
    <row r="643" spans="2:13" x14ac:dyDescent="0.3">
      <c r="B643" t="str">
        <f>IF(IFERROR(VLOOKUP(TRIM(A643),Inventory!E:E,1,0),0)=0,"X","_")</f>
        <v>_</v>
      </c>
      <c r="C643" t="str">
        <f>IF(IFERROR(VLOOKUP(TRIM(A643),'Full Inventory'!F:F,1,0),0)=0,"X","_")</f>
        <v>X</v>
      </c>
      <c r="D643" t="str">
        <f t="shared" si="4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F643" t="str">
        <f t="shared" ref="F643:F706" si="41">IF(IFERROR(SEARCH("ö",A643),0)&gt;0,"X","_")</f>
        <v>_</v>
      </c>
      <c r="K643" t="str">
        <f t="shared" ref="K643:K706" ca="1" si="42">B643&amp;C643&amp;D643&amp;E643</f>
        <v>_XX_</v>
      </c>
      <c r="L643" t="str">
        <f t="shared" ref="L643:L706" ca="1" si="43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3">
      <c r="B644" t="str">
        <f>IF(IFERROR(VLOOKUP(TRIM(A644),Inventory!E:E,1,0),0)=0,"X","_")</f>
        <v>_</v>
      </c>
      <c r="C644" t="str">
        <f>IF(IFERROR(VLOOKUP(TRIM(A644),'Full Inventory'!F:F,1,0),0)=0,"X","_")</f>
        <v>X</v>
      </c>
      <c r="D644" t="str">
        <f t="shared" si="4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F644" t="str">
        <f t="shared" si="41"/>
        <v>_</v>
      </c>
      <c r="K644" t="str">
        <f t="shared" ca="1" si="42"/>
        <v>_XX_</v>
      </c>
      <c r="L644" t="str">
        <f t="shared" ca="1" si="43"/>
        <v/>
      </c>
      <c r="M644" t="str">
        <f>IFERROR(INDEX(Inventory!A:A,MATCH(Scan!A644,Inventory!E:E,0)),"")</f>
        <v/>
      </c>
    </row>
    <row r="645" spans="2:13" x14ac:dyDescent="0.3">
      <c r="B645" t="str">
        <f>IF(IFERROR(VLOOKUP(TRIM(A645),Inventory!E:E,1,0),0)=0,"X","_")</f>
        <v>_</v>
      </c>
      <c r="C645" t="str">
        <f>IF(IFERROR(VLOOKUP(TRIM(A645),'Full Inventory'!F:F,1,0),0)=0,"X","_")</f>
        <v>X</v>
      </c>
      <c r="D645" t="str">
        <f t="shared" si="4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F645" t="str">
        <f t="shared" si="41"/>
        <v>_</v>
      </c>
      <c r="K645" t="str">
        <f t="shared" ca="1" si="42"/>
        <v>_XX_</v>
      </c>
      <c r="L645" t="str">
        <f t="shared" ca="1" si="43"/>
        <v/>
      </c>
      <c r="M645" t="str">
        <f>IFERROR(INDEX(Inventory!A:A,MATCH(Scan!A645,Inventory!E:E,0)),"")</f>
        <v/>
      </c>
    </row>
    <row r="646" spans="2:13" x14ac:dyDescent="0.3">
      <c r="B646" t="str">
        <f>IF(IFERROR(VLOOKUP(TRIM(A646),Inventory!E:E,1,0),0)=0,"X","_")</f>
        <v>_</v>
      </c>
      <c r="C646" t="str">
        <f>IF(IFERROR(VLOOKUP(TRIM(A646),'Full Inventory'!F:F,1,0),0)=0,"X","_")</f>
        <v>X</v>
      </c>
      <c r="D646" t="str">
        <f t="shared" si="4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F646" t="str">
        <f t="shared" si="41"/>
        <v>_</v>
      </c>
      <c r="K646" t="str">
        <f t="shared" ca="1" si="42"/>
        <v>_XX_</v>
      </c>
      <c r="L646" t="str">
        <f t="shared" ca="1" si="43"/>
        <v/>
      </c>
      <c r="M646" t="str">
        <f>IFERROR(INDEX(Inventory!A:A,MATCH(Scan!A646,Inventory!E:E,0)),"")</f>
        <v/>
      </c>
    </row>
    <row r="647" spans="2:13" x14ac:dyDescent="0.3">
      <c r="B647" t="str">
        <f>IF(IFERROR(VLOOKUP(TRIM(A647),Inventory!E:E,1,0),0)=0,"X","_")</f>
        <v>_</v>
      </c>
      <c r="C647" t="str">
        <f>IF(IFERROR(VLOOKUP(TRIM(A647),'Full Inventory'!F:F,1,0),0)=0,"X","_")</f>
        <v>X</v>
      </c>
      <c r="D647" t="str">
        <f t="shared" si="4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F647" t="str">
        <f t="shared" si="41"/>
        <v>_</v>
      </c>
      <c r="K647" t="str">
        <f t="shared" ca="1" si="42"/>
        <v>_XX_</v>
      </c>
      <c r="L647" t="str">
        <f t="shared" ca="1" si="43"/>
        <v/>
      </c>
      <c r="M647" t="str">
        <f>IFERROR(INDEX(Inventory!A:A,MATCH(Scan!A647,Inventory!E:E,0)),"")</f>
        <v/>
      </c>
    </row>
    <row r="648" spans="2:13" x14ac:dyDescent="0.3">
      <c r="B648" t="str">
        <f>IF(IFERROR(VLOOKUP(TRIM(A648),Inventory!E:E,1,0),0)=0,"X","_")</f>
        <v>_</v>
      </c>
      <c r="C648" t="str">
        <f>IF(IFERROR(VLOOKUP(TRIM(A648),'Full Inventory'!F:F,1,0),0)=0,"X","_")</f>
        <v>X</v>
      </c>
      <c r="D648" t="str">
        <f t="shared" si="4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F648" t="str">
        <f t="shared" si="41"/>
        <v>_</v>
      </c>
      <c r="K648" t="str">
        <f t="shared" ca="1" si="42"/>
        <v>_XX_</v>
      </c>
      <c r="L648" t="str">
        <f t="shared" ca="1" si="43"/>
        <v/>
      </c>
      <c r="M648" t="str">
        <f>IFERROR(INDEX(Inventory!A:A,MATCH(Scan!A648,Inventory!E:E,0)),"")</f>
        <v/>
      </c>
    </row>
    <row r="649" spans="2:13" x14ac:dyDescent="0.3">
      <c r="B649" t="str">
        <f>IF(IFERROR(VLOOKUP(TRIM(A649),Inventory!E:E,1,0),0)=0,"X","_")</f>
        <v>_</v>
      </c>
      <c r="C649" t="str">
        <f>IF(IFERROR(VLOOKUP(TRIM(A649),'Full Inventory'!F:F,1,0),0)=0,"X","_")</f>
        <v>X</v>
      </c>
      <c r="D649" t="str">
        <f t="shared" si="4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F649" t="str">
        <f t="shared" si="41"/>
        <v>_</v>
      </c>
      <c r="K649" t="str">
        <f t="shared" ca="1" si="42"/>
        <v>_XX_</v>
      </c>
      <c r="L649" t="str">
        <f t="shared" ca="1" si="43"/>
        <v/>
      </c>
      <c r="M649" t="str">
        <f>IFERROR(INDEX(Inventory!A:A,MATCH(Scan!A649,Inventory!E:E,0)),"")</f>
        <v/>
      </c>
    </row>
    <row r="650" spans="2:13" x14ac:dyDescent="0.3">
      <c r="B650" t="str">
        <f>IF(IFERROR(VLOOKUP(TRIM(A650),Inventory!E:E,1,0),0)=0,"X","_")</f>
        <v>_</v>
      </c>
      <c r="C650" t="str">
        <f>IF(IFERROR(VLOOKUP(TRIM(A650),'Full Inventory'!F:F,1,0),0)=0,"X","_")</f>
        <v>X</v>
      </c>
      <c r="D650" t="str">
        <f t="shared" si="4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F650" t="str">
        <f t="shared" si="41"/>
        <v>_</v>
      </c>
      <c r="K650" t="str">
        <f t="shared" ca="1" si="42"/>
        <v>_XX_</v>
      </c>
      <c r="L650" t="str">
        <f t="shared" ca="1" si="43"/>
        <v/>
      </c>
      <c r="M650" t="str">
        <f>IFERROR(INDEX(Inventory!A:A,MATCH(Scan!A650,Inventory!E:E,0)),"")</f>
        <v/>
      </c>
    </row>
    <row r="651" spans="2:13" x14ac:dyDescent="0.3">
      <c r="B651" t="str">
        <f>IF(IFERROR(VLOOKUP(TRIM(A651),Inventory!E:E,1,0),0)=0,"X","_")</f>
        <v>_</v>
      </c>
      <c r="C651" t="str">
        <f>IF(IFERROR(VLOOKUP(TRIM(A651),'Full Inventory'!F:F,1,0),0)=0,"X","_")</f>
        <v>X</v>
      </c>
      <c r="D651" t="str">
        <f t="shared" si="4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F651" t="str">
        <f t="shared" si="41"/>
        <v>_</v>
      </c>
      <c r="K651" t="str">
        <f t="shared" ca="1" si="42"/>
        <v>_XX_</v>
      </c>
      <c r="L651" t="str">
        <f t="shared" ca="1" si="43"/>
        <v/>
      </c>
      <c r="M651" t="str">
        <f>IFERROR(INDEX(Inventory!A:A,MATCH(Scan!A651,Inventory!E:E,0)),"")</f>
        <v/>
      </c>
    </row>
    <row r="652" spans="2:13" x14ac:dyDescent="0.3">
      <c r="B652" t="str">
        <f>IF(IFERROR(VLOOKUP(TRIM(A652),Inventory!E:E,1,0),0)=0,"X","_")</f>
        <v>_</v>
      </c>
      <c r="C652" t="str">
        <f>IF(IFERROR(VLOOKUP(TRIM(A652),'Full Inventory'!F:F,1,0),0)=0,"X","_")</f>
        <v>X</v>
      </c>
      <c r="D652" t="str">
        <f t="shared" si="4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F652" t="str">
        <f t="shared" si="41"/>
        <v>_</v>
      </c>
      <c r="K652" t="str">
        <f t="shared" ca="1" si="42"/>
        <v>_XX_</v>
      </c>
      <c r="L652" t="str">
        <f t="shared" ca="1" si="43"/>
        <v/>
      </c>
      <c r="M652" t="str">
        <f>IFERROR(INDEX(Inventory!A:A,MATCH(Scan!A652,Inventory!E:E,0)),"")</f>
        <v/>
      </c>
    </row>
    <row r="653" spans="2:13" x14ac:dyDescent="0.3">
      <c r="B653" t="str">
        <f>IF(IFERROR(VLOOKUP(TRIM(A653),Inventory!E:E,1,0),0)=0,"X","_")</f>
        <v>_</v>
      </c>
      <c r="C653" t="str">
        <f>IF(IFERROR(VLOOKUP(TRIM(A653),'Full Inventory'!F:F,1,0),0)=0,"X","_")</f>
        <v>X</v>
      </c>
      <c r="D653" t="str">
        <f t="shared" si="4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F653" t="str">
        <f t="shared" si="41"/>
        <v>_</v>
      </c>
      <c r="K653" t="str">
        <f t="shared" ca="1" si="42"/>
        <v>_XX_</v>
      </c>
      <c r="L653" t="str">
        <f t="shared" ca="1" si="43"/>
        <v/>
      </c>
      <c r="M653" t="str">
        <f>IFERROR(INDEX(Inventory!A:A,MATCH(Scan!A653,Inventory!E:E,0)),"")</f>
        <v/>
      </c>
    </row>
    <row r="654" spans="2:13" x14ac:dyDescent="0.3">
      <c r="B654" t="str">
        <f>IF(IFERROR(VLOOKUP(TRIM(A654),Inventory!E:E,1,0),0)=0,"X","_")</f>
        <v>_</v>
      </c>
      <c r="C654" t="str">
        <f>IF(IFERROR(VLOOKUP(TRIM(A654),'Full Inventory'!F:F,1,0),0)=0,"X","_")</f>
        <v>X</v>
      </c>
      <c r="D654" t="str">
        <f t="shared" si="4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F654" t="str">
        <f t="shared" si="41"/>
        <v>_</v>
      </c>
      <c r="K654" t="str">
        <f t="shared" ca="1" si="42"/>
        <v>_XX_</v>
      </c>
      <c r="L654" t="str">
        <f t="shared" ca="1" si="43"/>
        <v/>
      </c>
      <c r="M654" t="str">
        <f>IFERROR(INDEX(Inventory!A:A,MATCH(Scan!A654,Inventory!E:E,0)),"")</f>
        <v/>
      </c>
    </row>
    <row r="655" spans="2:13" x14ac:dyDescent="0.3">
      <c r="B655" t="str">
        <f>IF(IFERROR(VLOOKUP(TRIM(A655),Inventory!E:E,1,0),0)=0,"X","_")</f>
        <v>_</v>
      </c>
      <c r="C655" t="str">
        <f>IF(IFERROR(VLOOKUP(TRIM(A655),'Full Inventory'!F:F,1,0),0)=0,"X","_")</f>
        <v>X</v>
      </c>
      <c r="D655" t="str">
        <f t="shared" si="4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F655" t="str">
        <f t="shared" si="41"/>
        <v>_</v>
      </c>
      <c r="K655" t="str">
        <f t="shared" ca="1" si="42"/>
        <v>_XX_</v>
      </c>
      <c r="L655" t="str">
        <f t="shared" ca="1" si="43"/>
        <v/>
      </c>
      <c r="M655" t="str">
        <f>IFERROR(INDEX(Inventory!A:A,MATCH(Scan!A655,Inventory!E:E,0)),"")</f>
        <v/>
      </c>
    </row>
    <row r="656" spans="2:13" x14ac:dyDescent="0.3">
      <c r="B656" t="str">
        <f>IF(IFERROR(VLOOKUP(TRIM(A656),Inventory!E:E,1,0),0)=0,"X","_")</f>
        <v>_</v>
      </c>
      <c r="C656" t="str">
        <f>IF(IFERROR(VLOOKUP(TRIM(A656),'Full Inventory'!F:F,1,0),0)=0,"X","_")</f>
        <v>X</v>
      </c>
      <c r="D656" t="str">
        <f t="shared" si="4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F656" t="str">
        <f t="shared" si="41"/>
        <v>_</v>
      </c>
      <c r="K656" t="str">
        <f t="shared" ca="1" si="42"/>
        <v>_XX_</v>
      </c>
      <c r="L656" t="str">
        <f t="shared" ca="1" si="43"/>
        <v/>
      </c>
      <c r="M656" t="str">
        <f>IFERROR(INDEX(Inventory!A:A,MATCH(Scan!A656,Inventory!E:E,0)),"")</f>
        <v/>
      </c>
    </row>
    <row r="657" spans="2:13" x14ac:dyDescent="0.3">
      <c r="B657" t="str">
        <f>IF(IFERROR(VLOOKUP(TRIM(A657),Inventory!E:E,1,0),0)=0,"X","_")</f>
        <v>_</v>
      </c>
      <c r="C657" t="str">
        <f>IF(IFERROR(VLOOKUP(TRIM(A657),'Full Inventory'!F:F,1,0),0)=0,"X","_")</f>
        <v>X</v>
      </c>
      <c r="D657" t="str">
        <f t="shared" si="4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F657" t="str">
        <f t="shared" si="41"/>
        <v>_</v>
      </c>
      <c r="K657" t="str">
        <f t="shared" ca="1" si="42"/>
        <v>_XX_</v>
      </c>
      <c r="L657" t="str">
        <f t="shared" ca="1" si="43"/>
        <v/>
      </c>
      <c r="M657" t="str">
        <f>IFERROR(INDEX(Inventory!A:A,MATCH(Scan!A657,Inventory!E:E,0)),"")</f>
        <v/>
      </c>
    </row>
    <row r="658" spans="2:13" x14ac:dyDescent="0.3">
      <c r="B658" t="str">
        <f>IF(IFERROR(VLOOKUP(TRIM(A658),Inventory!E:E,1,0),0)=0,"X","_")</f>
        <v>_</v>
      </c>
      <c r="C658" t="str">
        <f>IF(IFERROR(VLOOKUP(TRIM(A658),'Full Inventory'!F:F,1,0),0)=0,"X","_")</f>
        <v>X</v>
      </c>
      <c r="D658" t="str">
        <f t="shared" si="4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F658" t="str">
        <f t="shared" si="41"/>
        <v>_</v>
      </c>
      <c r="K658" t="str">
        <f t="shared" ca="1" si="42"/>
        <v>_XX_</v>
      </c>
      <c r="L658" t="str">
        <f t="shared" ca="1" si="43"/>
        <v/>
      </c>
      <c r="M658" t="str">
        <f>IFERROR(INDEX(Inventory!A:A,MATCH(Scan!A658,Inventory!E:E,0)),"")</f>
        <v/>
      </c>
    </row>
    <row r="659" spans="2:13" x14ac:dyDescent="0.3">
      <c r="B659" t="str">
        <f>IF(IFERROR(VLOOKUP(TRIM(A659),Inventory!E:E,1,0),0)=0,"X","_")</f>
        <v>_</v>
      </c>
      <c r="C659" t="str">
        <f>IF(IFERROR(VLOOKUP(TRIM(A659),'Full Inventory'!F:F,1,0),0)=0,"X","_")</f>
        <v>X</v>
      </c>
      <c r="D659" t="str">
        <f t="shared" si="4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F659" t="str">
        <f t="shared" si="41"/>
        <v>_</v>
      </c>
      <c r="K659" t="str">
        <f t="shared" ca="1" si="42"/>
        <v>_XX_</v>
      </c>
      <c r="L659" t="str">
        <f t="shared" ca="1" si="43"/>
        <v/>
      </c>
      <c r="M659" t="str">
        <f>IFERROR(INDEX(Inventory!A:A,MATCH(Scan!A659,Inventory!E:E,0)),"")</f>
        <v/>
      </c>
    </row>
    <row r="660" spans="2:13" x14ac:dyDescent="0.3">
      <c r="B660" t="str">
        <f>IF(IFERROR(VLOOKUP(TRIM(A660),Inventory!E:E,1,0),0)=0,"X","_")</f>
        <v>_</v>
      </c>
      <c r="C660" t="str">
        <f>IF(IFERROR(VLOOKUP(TRIM(A660),'Full Inventory'!F:F,1,0),0)=0,"X","_")</f>
        <v>X</v>
      </c>
      <c r="D660" t="str">
        <f t="shared" si="4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F660" t="str">
        <f t="shared" si="41"/>
        <v>_</v>
      </c>
      <c r="K660" t="str">
        <f t="shared" ca="1" si="42"/>
        <v>_XX_</v>
      </c>
      <c r="L660" t="str">
        <f t="shared" ca="1" si="43"/>
        <v/>
      </c>
      <c r="M660" t="str">
        <f>IFERROR(INDEX(Inventory!A:A,MATCH(Scan!A660,Inventory!E:E,0)),"")</f>
        <v/>
      </c>
    </row>
    <row r="661" spans="2:13" x14ac:dyDescent="0.3">
      <c r="B661" t="str">
        <f>IF(IFERROR(VLOOKUP(TRIM(A661),Inventory!E:E,1,0),0)=0,"X","_")</f>
        <v>_</v>
      </c>
      <c r="C661" t="str">
        <f>IF(IFERROR(VLOOKUP(TRIM(A661),'Full Inventory'!F:F,1,0),0)=0,"X","_")</f>
        <v>X</v>
      </c>
      <c r="D661" t="str">
        <f t="shared" si="4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F661" t="str">
        <f t="shared" si="41"/>
        <v>_</v>
      </c>
      <c r="K661" t="str">
        <f t="shared" ca="1" si="42"/>
        <v>_XX_</v>
      </c>
      <c r="L661" t="str">
        <f t="shared" ca="1" si="43"/>
        <v/>
      </c>
      <c r="M661" t="str">
        <f>IFERROR(INDEX(Inventory!A:A,MATCH(Scan!A661,Inventory!E:E,0)),"")</f>
        <v/>
      </c>
    </row>
    <row r="662" spans="2:13" x14ac:dyDescent="0.3">
      <c r="B662" t="str">
        <f>IF(IFERROR(VLOOKUP(TRIM(A662),Inventory!E:E,1,0),0)=0,"X","_")</f>
        <v>_</v>
      </c>
      <c r="C662" t="str">
        <f>IF(IFERROR(VLOOKUP(TRIM(A662),'Full Inventory'!F:F,1,0),0)=0,"X","_")</f>
        <v>X</v>
      </c>
      <c r="D662" t="str">
        <f t="shared" si="4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F662" t="str">
        <f t="shared" si="41"/>
        <v>_</v>
      </c>
      <c r="K662" t="str">
        <f t="shared" ca="1" si="42"/>
        <v>_XX_</v>
      </c>
      <c r="L662" t="str">
        <f t="shared" ca="1" si="43"/>
        <v/>
      </c>
      <c r="M662" t="str">
        <f>IFERROR(INDEX(Inventory!A:A,MATCH(Scan!A662,Inventory!E:E,0)),"")</f>
        <v/>
      </c>
    </row>
    <row r="663" spans="2:13" x14ac:dyDescent="0.3">
      <c r="B663" t="str">
        <f>IF(IFERROR(VLOOKUP(TRIM(A663),Inventory!E:E,1,0),0)=0,"X","_")</f>
        <v>_</v>
      </c>
      <c r="C663" t="str">
        <f>IF(IFERROR(VLOOKUP(TRIM(A663),'Full Inventory'!F:F,1,0),0)=0,"X","_")</f>
        <v>X</v>
      </c>
      <c r="D663" t="str">
        <f t="shared" si="4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F663" t="str">
        <f t="shared" si="41"/>
        <v>_</v>
      </c>
      <c r="K663" t="str">
        <f t="shared" ca="1" si="42"/>
        <v>_XX_</v>
      </c>
      <c r="L663" t="str">
        <f t="shared" ca="1" si="43"/>
        <v/>
      </c>
      <c r="M663" t="str">
        <f>IFERROR(INDEX(Inventory!A:A,MATCH(Scan!A663,Inventory!E:E,0)),"")</f>
        <v/>
      </c>
    </row>
    <row r="664" spans="2:13" x14ac:dyDescent="0.3">
      <c r="B664" t="str">
        <f>IF(IFERROR(VLOOKUP(TRIM(A664),Inventory!E:E,1,0),0)=0,"X","_")</f>
        <v>_</v>
      </c>
      <c r="C664" t="str">
        <f>IF(IFERROR(VLOOKUP(TRIM(A664),'Full Inventory'!F:F,1,0),0)=0,"X","_")</f>
        <v>X</v>
      </c>
      <c r="D664" t="str">
        <f t="shared" si="4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F664" t="str">
        <f t="shared" si="41"/>
        <v>_</v>
      </c>
      <c r="K664" t="str">
        <f t="shared" ca="1" si="42"/>
        <v>_XX_</v>
      </c>
      <c r="L664" t="str">
        <f t="shared" ca="1" si="43"/>
        <v/>
      </c>
      <c r="M664" t="str">
        <f>IFERROR(INDEX(Inventory!A:A,MATCH(Scan!A664,Inventory!E:E,0)),"")</f>
        <v/>
      </c>
    </row>
    <row r="665" spans="2:13" x14ac:dyDescent="0.3">
      <c r="B665" t="str">
        <f>IF(IFERROR(VLOOKUP(TRIM(A665),Inventory!E:E,1,0),0)=0,"X","_")</f>
        <v>_</v>
      </c>
      <c r="C665" t="str">
        <f>IF(IFERROR(VLOOKUP(TRIM(A665),'Full Inventory'!F:F,1,0),0)=0,"X","_")</f>
        <v>X</v>
      </c>
      <c r="D665" t="str">
        <f t="shared" si="4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F665" t="str">
        <f t="shared" si="41"/>
        <v>_</v>
      </c>
      <c r="K665" t="str">
        <f t="shared" ca="1" si="42"/>
        <v>_XX_</v>
      </c>
      <c r="L665" t="str">
        <f t="shared" ca="1" si="43"/>
        <v/>
      </c>
      <c r="M665" t="str">
        <f>IFERROR(INDEX(Inventory!A:A,MATCH(Scan!A665,Inventory!E:E,0)),"")</f>
        <v/>
      </c>
    </row>
    <row r="666" spans="2:13" x14ac:dyDescent="0.3">
      <c r="B666" t="str">
        <f>IF(IFERROR(VLOOKUP(TRIM(A666),Inventory!E:E,1,0),0)=0,"X","_")</f>
        <v>_</v>
      </c>
      <c r="C666" t="str">
        <f>IF(IFERROR(VLOOKUP(TRIM(A666),'Full Inventory'!F:F,1,0),0)=0,"X","_")</f>
        <v>X</v>
      </c>
      <c r="D666" t="str">
        <f t="shared" si="4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F666" t="str">
        <f t="shared" si="41"/>
        <v>_</v>
      </c>
      <c r="K666" t="str">
        <f t="shared" ca="1" si="42"/>
        <v>_XX_</v>
      </c>
      <c r="L666" t="str">
        <f t="shared" ca="1" si="43"/>
        <v/>
      </c>
      <c r="M666" t="str">
        <f>IFERROR(INDEX(Inventory!A:A,MATCH(Scan!A666,Inventory!E:E,0)),"")</f>
        <v/>
      </c>
    </row>
    <row r="667" spans="2:13" x14ac:dyDescent="0.3">
      <c r="B667" t="str">
        <f>IF(IFERROR(VLOOKUP(TRIM(A667),Inventory!E:E,1,0),0)=0,"X","_")</f>
        <v>_</v>
      </c>
      <c r="C667" t="str">
        <f>IF(IFERROR(VLOOKUP(TRIM(A667),'Full Inventory'!F:F,1,0),0)=0,"X","_")</f>
        <v>X</v>
      </c>
      <c r="D667" t="str">
        <f t="shared" si="4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F667" t="str">
        <f t="shared" si="41"/>
        <v>_</v>
      </c>
      <c r="K667" t="str">
        <f t="shared" ca="1" si="42"/>
        <v>_XX_</v>
      </c>
      <c r="L667" t="str">
        <f t="shared" ca="1" si="43"/>
        <v/>
      </c>
      <c r="M667" t="str">
        <f>IFERROR(INDEX(Inventory!A:A,MATCH(Scan!A667,Inventory!E:E,0)),"")</f>
        <v/>
      </c>
    </row>
    <row r="668" spans="2:13" x14ac:dyDescent="0.3">
      <c r="B668" t="str">
        <f>IF(IFERROR(VLOOKUP(TRIM(A668),Inventory!E:E,1,0),0)=0,"X","_")</f>
        <v>_</v>
      </c>
      <c r="C668" t="str">
        <f>IF(IFERROR(VLOOKUP(TRIM(A668),'Full Inventory'!F:F,1,0),0)=0,"X","_")</f>
        <v>X</v>
      </c>
      <c r="D668" t="str">
        <f t="shared" si="4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F668" t="str">
        <f t="shared" si="41"/>
        <v>_</v>
      </c>
      <c r="K668" t="str">
        <f t="shared" ca="1" si="42"/>
        <v>_XX_</v>
      </c>
      <c r="L668" t="str">
        <f t="shared" ca="1" si="43"/>
        <v/>
      </c>
      <c r="M668" t="str">
        <f>IFERROR(INDEX(Inventory!A:A,MATCH(Scan!A668,Inventory!E:E,0)),"")</f>
        <v/>
      </c>
    </row>
    <row r="669" spans="2:13" x14ac:dyDescent="0.3">
      <c r="B669" t="str">
        <f>IF(IFERROR(VLOOKUP(TRIM(A669),Inventory!E:E,1,0),0)=0,"X","_")</f>
        <v>_</v>
      </c>
      <c r="C669" t="str">
        <f>IF(IFERROR(VLOOKUP(TRIM(A669),'Full Inventory'!F:F,1,0),0)=0,"X","_")</f>
        <v>X</v>
      </c>
      <c r="D669" t="str">
        <f t="shared" si="4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F669" t="str">
        <f t="shared" si="41"/>
        <v>_</v>
      </c>
      <c r="K669" t="str">
        <f t="shared" ca="1" si="42"/>
        <v>_XX_</v>
      </c>
      <c r="L669" t="str">
        <f t="shared" ca="1" si="43"/>
        <v/>
      </c>
      <c r="M669" t="str">
        <f>IFERROR(INDEX(Inventory!A:A,MATCH(Scan!A669,Inventory!E:E,0)),"")</f>
        <v/>
      </c>
    </row>
    <row r="670" spans="2:13" x14ac:dyDescent="0.3">
      <c r="B670" t="str">
        <f>IF(IFERROR(VLOOKUP(TRIM(A670),Inventory!E:E,1,0),0)=0,"X","_")</f>
        <v>_</v>
      </c>
      <c r="C670" t="str">
        <f>IF(IFERROR(VLOOKUP(TRIM(A670),'Full Inventory'!F:F,1,0),0)=0,"X","_")</f>
        <v>X</v>
      </c>
      <c r="D670" t="str">
        <f t="shared" si="4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F670" t="str">
        <f t="shared" si="41"/>
        <v>_</v>
      </c>
      <c r="K670" t="str">
        <f t="shared" ca="1" si="42"/>
        <v>_XX_</v>
      </c>
      <c r="L670" t="str">
        <f t="shared" ca="1" si="43"/>
        <v/>
      </c>
      <c r="M670" t="str">
        <f>IFERROR(INDEX(Inventory!A:A,MATCH(Scan!A670,Inventory!E:E,0)),"")</f>
        <v/>
      </c>
    </row>
    <row r="671" spans="2:13" x14ac:dyDescent="0.3">
      <c r="B671" t="str">
        <f>IF(IFERROR(VLOOKUP(TRIM(A671),Inventory!E:E,1,0),0)=0,"X","_")</f>
        <v>_</v>
      </c>
      <c r="C671" t="str">
        <f>IF(IFERROR(VLOOKUP(TRIM(A671),'Full Inventory'!F:F,1,0),0)=0,"X","_")</f>
        <v>X</v>
      </c>
      <c r="D671" t="str">
        <f t="shared" si="4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F671" t="str">
        <f t="shared" si="41"/>
        <v>_</v>
      </c>
      <c r="K671" t="str">
        <f t="shared" ca="1" si="42"/>
        <v>_XX_</v>
      </c>
      <c r="L671" t="str">
        <f t="shared" ca="1" si="43"/>
        <v/>
      </c>
      <c r="M671" t="str">
        <f>IFERROR(INDEX(Inventory!A:A,MATCH(Scan!A671,Inventory!E:E,0)),"")</f>
        <v/>
      </c>
    </row>
    <row r="672" spans="2:13" x14ac:dyDescent="0.3">
      <c r="B672" t="str">
        <f>IF(IFERROR(VLOOKUP(TRIM(A672),Inventory!E:E,1,0),0)=0,"X","_")</f>
        <v>_</v>
      </c>
      <c r="C672" t="str">
        <f>IF(IFERROR(VLOOKUP(TRIM(A672),'Full Inventory'!F:F,1,0),0)=0,"X","_")</f>
        <v>X</v>
      </c>
      <c r="D672" t="str">
        <f t="shared" si="4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F672" t="str">
        <f t="shared" si="41"/>
        <v>_</v>
      </c>
      <c r="K672" t="str">
        <f t="shared" ca="1" si="42"/>
        <v>_XX_</v>
      </c>
      <c r="L672" t="str">
        <f t="shared" ca="1" si="43"/>
        <v/>
      </c>
      <c r="M672" t="str">
        <f>IFERROR(INDEX(Inventory!A:A,MATCH(Scan!A672,Inventory!E:E,0)),"")</f>
        <v/>
      </c>
    </row>
    <row r="673" spans="2:13" x14ac:dyDescent="0.3">
      <c r="B673" t="str">
        <f>IF(IFERROR(VLOOKUP(TRIM(A673),Inventory!E:E,1,0),0)=0,"X","_")</f>
        <v>_</v>
      </c>
      <c r="C673" t="str">
        <f>IF(IFERROR(VLOOKUP(TRIM(A673),'Full Inventory'!F:F,1,0),0)=0,"X","_")</f>
        <v>X</v>
      </c>
      <c r="D673" t="str">
        <f t="shared" si="4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F673" t="str">
        <f t="shared" si="41"/>
        <v>_</v>
      </c>
      <c r="K673" t="str">
        <f t="shared" ca="1" si="42"/>
        <v>_XX_</v>
      </c>
      <c r="L673" t="str">
        <f t="shared" ca="1" si="43"/>
        <v/>
      </c>
      <c r="M673" t="str">
        <f>IFERROR(INDEX(Inventory!A:A,MATCH(Scan!A673,Inventory!E:E,0)),"")</f>
        <v/>
      </c>
    </row>
    <row r="674" spans="2:13" x14ac:dyDescent="0.3">
      <c r="B674" t="str">
        <f>IF(IFERROR(VLOOKUP(TRIM(A674),Inventory!E:E,1,0),0)=0,"X","_")</f>
        <v>_</v>
      </c>
      <c r="C674" t="str">
        <f>IF(IFERROR(VLOOKUP(TRIM(A674),'Full Inventory'!F:F,1,0),0)=0,"X","_")</f>
        <v>X</v>
      </c>
      <c r="D674" t="str">
        <f t="shared" si="4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F674" t="str">
        <f t="shared" si="41"/>
        <v>_</v>
      </c>
      <c r="K674" t="str">
        <f t="shared" ca="1" si="42"/>
        <v>_XX_</v>
      </c>
      <c r="L674" t="str">
        <f t="shared" ca="1" si="43"/>
        <v/>
      </c>
      <c r="M674" t="str">
        <f>IFERROR(INDEX(Inventory!A:A,MATCH(Scan!A674,Inventory!E:E,0)),"")</f>
        <v/>
      </c>
    </row>
    <row r="675" spans="2:13" x14ac:dyDescent="0.3">
      <c r="B675" t="str">
        <f>IF(IFERROR(VLOOKUP(TRIM(A675),Inventory!E:E,1,0),0)=0,"X","_")</f>
        <v>_</v>
      </c>
      <c r="C675" t="str">
        <f>IF(IFERROR(VLOOKUP(TRIM(A675),'Full Inventory'!F:F,1,0),0)=0,"X","_")</f>
        <v>X</v>
      </c>
      <c r="D675" t="str">
        <f t="shared" si="4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F675" t="str">
        <f t="shared" si="41"/>
        <v>_</v>
      </c>
      <c r="K675" t="str">
        <f t="shared" ca="1" si="42"/>
        <v>_XX_</v>
      </c>
      <c r="L675" t="str">
        <f t="shared" ca="1" si="43"/>
        <v/>
      </c>
      <c r="M675" t="str">
        <f>IFERROR(INDEX(Inventory!A:A,MATCH(Scan!A675,Inventory!E:E,0)),"")</f>
        <v/>
      </c>
    </row>
    <row r="676" spans="2:13" x14ac:dyDescent="0.3">
      <c r="B676" t="str">
        <f>IF(IFERROR(VLOOKUP(TRIM(A676),Inventory!E:E,1,0),0)=0,"X","_")</f>
        <v>_</v>
      </c>
      <c r="C676" t="str">
        <f>IF(IFERROR(VLOOKUP(TRIM(A676),'Full Inventory'!F:F,1,0),0)=0,"X","_")</f>
        <v>X</v>
      </c>
      <c r="D676" t="str">
        <f t="shared" si="4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F676" t="str">
        <f t="shared" si="41"/>
        <v>_</v>
      </c>
      <c r="K676" t="str">
        <f t="shared" ca="1" si="42"/>
        <v>_XX_</v>
      </c>
      <c r="L676" t="str">
        <f t="shared" ca="1" si="43"/>
        <v/>
      </c>
      <c r="M676" t="str">
        <f>IFERROR(INDEX(Inventory!A:A,MATCH(Scan!A676,Inventory!E:E,0)),"")</f>
        <v/>
      </c>
    </row>
    <row r="677" spans="2:13" x14ac:dyDescent="0.3">
      <c r="B677" t="str">
        <f>IF(IFERROR(VLOOKUP(TRIM(A677),Inventory!E:E,1,0),0)=0,"X","_")</f>
        <v>_</v>
      </c>
      <c r="C677" t="str">
        <f>IF(IFERROR(VLOOKUP(TRIM(A677),'Full Inventory'!F:F,1,0),0)=0,"X","_")</f>
        <v>X</v>
      </c>
      <c r="D677" t="str">
        <f t="shared" si="4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F677" t="str">
        <f t="shared" si="41"/>
        <v>_</v>
      </c>
      <c r="K677" t="str">
        <f t="shared" ca="1" si="42"/>
        <v>_XX_</v>
      </c>
      <c r="L677" t="str">
        <f t="shared" ca="1" si="43"/>
        <v/>
      </c>
      <c r="M677" t="str">
        <f>IFERROR(INDEX(Inventory!A:A,MATCH(Scan!A677,Inventory!E:E,0)),"")</f>
        <v/>
      </c>
    </row>
    <row r="678" spans="2:13" x14ac:dyDescent="0.3">
      <c r="B678" t="str">
        <f>IF(IFERROR(VLOOKUP(TRIM(A678),Inventory!E:E,1,0),0)=0,"X","_")</f>
        <v>_</v>
      </c>
      <c r="C678" t="str">
        <f>IF(IFERROR(VLOOKUP(TRIM(A678),'Full Inventory'!F:F,1,0),0)=0,"X","_")</f>
        <v>X</v>
      </c>
      <c r="D678" t="str">
        <f t="shared" si="4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F678" t="str">
        <f t="shared" si="41"/>
        <v>_</v>
      </c>
      <c r="K678" t="str">
        <f t="shared" ca="1" si="42"/>
        <v>_XX_</v>
      </c>
      <c r="L678" t="str">
        <f t="shared" ca="1" si="43"/>
        <v/>
      </c>
      <c r="M678" t="str">
        <f>IFERROR(INDEX(Inventory!A:A,MATCH(Scan!A678,Inventory!E:E,0)),"")</f>
        <v/>
      </c>
    </row>
    <row r="679" spans="2:13" x14ac:dyDescent="0.3">
      <c r="B679" t="str">
        <f>IF(IFERROR(VLOOKUP(TRIM(A679),Inventory!E:E,1,0),0)=0,"X","_")</f>
        <v>_</v>
      </c>
      <c r="C679" t="str">
        <f>IF(IFERROR(VLOOKUP(TRIM(A679),'Full Inventory'!F:F,1,0),0)=0,"X","_")</f>
        <v>X</v>
      </c>
      <c r="D679" t="str">
        <f t="shared" si="4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F679" t="str">
        <f t="shared" si="41"/>
        <v>_</v>
      </c>
      <c r="K679" t="str">
        <f t="shared" ca="1" si="42"/>
        <v>_XX_</v>
      </c>
      <c r="L679" t="str">
        <f t="shared" ca="1" si="43"/>
        <v/>
      </c>
      <c r="M679" t="str">
        <f>IFERROR(INDEX(Inventory!A:A,MATCH(Scan!A679,Inventory!E:E,0)),"")</f>
        <v/>
      </c>
    </row>
    <row r="680" spans="2:13" x14ac:dyDescent="0.3">
      <c r="B680" t="str">
        <f>IF(IFERROR(VLOOKUP(TRIM(A680),Inventory!E:E,1,0),0)=0,"X","_")</f>
        <v>_</v>
      </c>
      <c r="C680" t="str">
        <f>IF(IFERROR(VLOOKUP(TRIM(A680),'Full Inventory'!F:F,1,0),0)=0,"X","_")</f>
        <v>X</v>
      </c>
      <c r="D680" t="str">
        <f t="shared" si="4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F680" t="str">
        <f t="shared" si="41"/>
        <v>_</v>
      </c>
      <c r="K680" t="str">
        <f t="shared" ca="1" si="42"/>
        <v>_XX_</v>
      </c>
      <c r="L680" t="str">
        <f t="shared" ca="1" si="43"/>
        <v/>
      </c>
      <c r="M680" t="str">
        <f>IFERROR(INDEX(Inventory!A:A,MATCH(Scan!A680,Inventory!E:E,0)),"")</f>
        <v/>
      </c>
    </row>
    <row r="681" spans="2:13" x14ac:dyDescent="0.3">
      <c r="B681" t="str">
        <f>IF(IFERROR(VLOOKUP(TRIM(A681),Inventory!E:E,1,0),0)=0,"X","_")</f>
        <v>_</v>
      </c>
      <c r="C681" t="str">
        <f>IF(IFERROR(VLOOKUP(TRIM(A681),'Full Inventory'!F:F,1,0),0)=0,"X","_")</f>
        <v>X</v>
      </c>
      <c r="D681" t="str">
        <f t="shared" si="4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F681" t="str">
        <f t="shared" si="41"/>
        <v>_</v>
      </c>
      <c r="K681" t="str">
        <f t="shared" ca="1" si="42"/>
        <v>_XX_</v>
      </c>
      <c r="L681" t="str">
        <f t="shared" ca="1" si="43"/>
        <v/>
      </c>
      <c r="M681" t="str">
        <f>IFERROR(INDEX(Inventory!A:A,MATCH(Scan!A681,Inventory!E:E,0)),"")</f>
        <v/>
      </c>
    </row>
    <row r="682" spans="2:13" x14ac:dyDescent="0.3">
      <c r="B682" t="str">
        <f>IF(IFERROR(VLOOKUP(TRIM(A682),Inventory!E:E,1,0),0)=0,"X","_")</f>
        <v>_</v>
      </c>
      <c r="C682" t="str">
        <f>IF(IFERROR(VLOOKUP(TRIM(A682),'Full Inventory'!F:F,1,0),0)=0,"X","_")</f>
        <v>X</v>
      </c>
      <c r="D682" t="str">
        <f t="shared" si="4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F682" t="str">
        <f t="shared" si="41"/>
        <v>_</v>
      </c>
      <c r="K682" t="str">
        <f t="shared" ca="1" si="42"/>
        <v>_XX_</v>
      </c>
      <c r="L682" t="str">
        <f t="shared" ca="1" si="43"/>
        <v/>
      </c>
      <c r="M682" t="str">
        <f>IFERROR(INDEX(Inventory!A:A,MATCH(Scan!A682,Inventory!E:E,0)),"")</f>
        <v/>
      </c>
    </row>
    <row r="683" spans="2:13" x14ac:dyDescent="0.3">
      <c r="B683" t="str">
        <f>IF(IFERROR(VLOOKUP(TRIM(A683),Inventory!E:E,1,0),0)=0,"X","_")</f>
        <v>_</v>
      </c>
      <c r="C683" t="str">
        <f>IF(IFERROR(VLOOKUP(TRIM(A683),'Full Inventory'!F:F,1,0),0)=0,"X","_")</f>
        <v>X</v>
      </c>
      <c r="D683" t="str">
        <f t="shared" si="4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F683" t="str">
        <f t="shared" si="41"/>
        <v>_</v>
      </c>
      <c r="K683" t="str">
        <f t="shared" ca="1" si="42"/>
        <v>_XX_</v>
      </c>
      <c r="L683" t="str">
        <f t="shared" ca="1" si="43"/>
        <v/>
      </c>
      <c r="M683" t="str">
        <f>IFERROR(INDEX(Inventory!A:A,MATCH(Scan!A683,Inventory!E:E,0)),"")</f>
        <v/>
      </c>
    </row>
    <row r="684" spans="2:13" x14ac:dyDescent="0.3">
      <c r="B684" t="str">
        <f>IF(IFERROR(VLOOKUP(TRIM(A684),Inventory!E:E,1,0),0)=0,"X","_")</f>
        <v>_</v>
      </c>
      <c r="C684" t="str">
        <f>IF(IFERROR(VLOOKUP(TRIM(A684),'Full Inventory'!F:F,1,0),0)=0,"X","_")</f>
        <v>X</v>
      </c>
      <c r="D684" t="str">
        <f t="shared" si="4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F684" t="str">
        <f t="shared" si="41"/>
        <v>_</v>
      </c>
      <c r="K684" t="str">
        <f t="shared" ca="1" si="42"/>
        <v>_XX_</v>
      </c>
      <c r="L684" t="str">
        <f t="shared" ca="1" si="43"/>
        <v/>
      </c>
      <c r="M684" t="str">
        <f>IFERROR(INDEX(Inventory!A:A,MATCH(Scan!A684,Inventory!E:E,0)),"")</f>
        <v/>
      </c>
    </row>
    <row r="685" spans="2:13" x14ac:dyDescent="0.3">
      <c r="B685" t="str">
        <f>IF(IFERROR(VLOOKUP(TRIM(A685),Inventory!E:E,1,0),0)=0,"X","_")</f>
        <v>_</v>
      </c>
      <c r="C685" t="str">
        <f>IF(IFERROR(VLOOKUP(TRIM(A685),'Full Inventory'!F:F,1,0),0)=0,"X","_")</f>
        <v>X</v>
      </c>
      <c r="D685" t="str">
        <f t="shared" si="4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F685" t="str">
        <f t="shared" si="41"/>
        <v>_</v>
      </c>
      <c r="K685" t="str">
        <f t="shared" ca="1" si="42"/>
        <v>_XX_</v>
      </c>
      <c r="L685" t="str">
        <f t="shared" ca="1" si="43"/>
        <v/>
      </c>
      <c r="M685" t="str">
        <f>IFERROR(INDEX(Inventory!A:A,MATCH(Scan!A685,Inventory!E:E,0)),"")</f>
        <v/>
      </c>
    </row>
    <row r="686" spans="2:13" x14ac:dyDescent="0.3">
      <c r="B686" t="str">
        <f>IF(IFERROR(VLOOKUP(TRIM(A686),Inventory!E:E,1,0),0)=0,"X","_")</f>
        <v>_</v>
      </c>
      <c r="C686" t="str">
        <f>IF(IFERROR(VLOOKUP(TRIM(A686),'Full Inventory'!F:F,1,0),0)=0,"X","_")</f>
        <v>X</v>
      </c>
      <c r="D686" t="str">
        <f t="shared" si="4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F686" t="str">
        <f t="shared" si="41"/>
        <v>_</v>
      </c>
      <c r="K686" t="str">
        <f t="shared" ca="1" si="42"/>
        <v>_XX_</v>
      </c>
      <c r="L686" t="str">
        <f t="shared" ca="1" si="43"/>
        <v/>
      </c>
      <c r="M686" t="str">
        <f>IFERROR(INDEX(Inventory!A:A,MATCH(Scan!A686,Inventory!E:E,0)),"")</f>
        <v/>
      </c>
    </row>
    <row r="687" spans="2:13" x14ac:dyDescent="0.3">
      <c r="B687" t="str">
        <f>IF(IFERROR(VLOOKUP(TRIM(A687),Inventory!E:E,1,0),0)=0,"X","_")</f>
        <v>_</v>
      </c>
      <c r="C687" t="str">
        <f>IF(IFERROR(VLOOKUP(TRIM(A687),'Full Inventory'!F:F,1,0),0)=0,"X","_")</f>
        <v>X</v>
      </c>
      <c r="D687" t="str">
        <f t="shared" si="4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F687" t="str">
        <f t="shared" si="41"/>
        <v>_</v>
      </c>
      <c r="K687" t="str">
        <f t="shared" ca="1" si="42"/>
        <v>_XX_</v>
      </c>
      <c r="L687" t="str">
        <f t="shared" ca="1" si="43"/>
        <v/>
      </c>
      <c r="M687" t="str">
        <f>IFERROR(INDEX(Inventory!A:A,MATCH(Scan!A687,Inventory!E:E,0)),"")</f>
        <v/>
      </c>
    </row>
    <row r="688" spans="2:13" x14ac:dyDescent="0.3">
      <c r="B688" t="str">
        <f>IF(IFERROR(VLOOKUP(TRIM(A688),Inventory!E:E,1,0),0)=0,"X","_")</f>
        <v>_</v>
      </c>
      <c r="C688" t="str">
        <f>IF(IFERROR(VLOOKUP(TRIM(A688),'Full Inventory'!F:F,1,0),0)=0,"X","_")</f>
        <v>X</v>
      </c>
      <c r="D688" t="str">
        <f t="shared" si="4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F688" t="str">
        <f t="shared" si="41"/>
        <v>_</v>
      </c>
      <c r="K688" t="str">
        <f t="shared" ca="1" si="42"/>
        <v>_XX_</v>
      </c>
      <c r="L688" t="str">
        <f t="shared" ca="1" si="43"/>
        <v/>
      </c>
      <c r="M688" t="str">
        <f>IFERROR(INDEX(Inventory!A:A,MATCH(Scan!A688,Inventory!E:E,0)),"")</f>
        <v/>
      </c>
    </row>
    <row r="689" spans="2:13" x14ac:dyDescent="0.3">
      <c r="B689" t="str">
        <f>IF(IFERROR(VLOOKUP(TRIM(A689),Inventory!E:E,1,0),0)=0,"X","_")</f>
        <v>_</v>
      </c>
      <c r="C689" t="str">
        <f>IF(IFERROR(VLOOKUP(TRIM(A689),'Full Inventory'!F:F,1,0),0)=0,"X","_")</f>
        <v>X</v>
      </c>
      <c r="D689" t="str">
        <f t="shared" si="4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F689" t="str">
        <f t="shared" si="41"/>
        <v>_</v>
      </c>
      <c r="K689" t="str">
        <f t="shared" ca="1" si="42"/>
        <v>_XX_</v>
      </c>
      <c r="L689" t="str">
        <f t="shared" ca="1" si="43"/>
        <v/>
      </c>
      <c r="M689" t="str">
        <f>IFERROR(INDEX(Inventory!A:A,MATCH(Scan!A689,Inventory!E:E,0)),"")</f>
        <v/>
      </c>
    </row>
    <row r="690" spans="2:13" x14ac:dyDescent="0.3">
      <c r="B690" t="str">
        <f>IF(IFERROR(VLOOKUP(TRIM(A690),Inventory!E:E,1,0),0)=0,"X","_")</f>
        <v>_</v>
      </c>
      <c r="C690" t="str">
        <f>IF(IFERROR(VLOOKUP(TRIM(A690),'Full Inventory'!F:F,1,0),0)=0,"X","_")</f>
        <v>X</v>
      </c>
      <c r="D690" t="str">
        <f t="shared" si="4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F690" t="str">
        <f t="shared" si="41"/>
        <v>_</v>
      </c>
      <c r="K690" t="str">
        <f t="shared" ca="1" si="42"/>
        <v>_XX_</v>
      </c>
      <c r="L690" t="str">
        <f t="shared" ca="1" si="43"/>
        <v/>
      </c>
      <c r="M690" t="str">
        <f>IFERROR(INDEX(Inventory!A:A,MATCH(Scan!A690,Inventory!E:E,0)),"")</f>
        <v/>
      </c>
    </row>
    <row r="691" spans="2:13" x14ac:dyDescent="0.3">
      <c r="B691" t="str">
        <f>IF(IFERROR(VLOOKUP(TRIM(A691),Inventory!E:E,1,0),0)=0,"X","_")</f>
        <v>_</v>
      </c>
      <c r="C691" t="str">
        <f>IF(IFERROR(VLOOKUP(TRIM(A691),'Full Inventory'!F:F,1,0),0)=0,"X","_")</f>
        <v>X</v>
      </c>
      <c r="D691" t="str">
        <f t="shared" si="4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F691" t="str">
        <f t="shared" si="41"/>
        <v>_</v>
      </c>
      <c r="K691" t="str">
        <f t="shared" ca="1" si="42"/>
        <v>_XX_</v>
      </c>
      <c r="L691" t="str">
        <f t="shared" ca="1" si="43"/>
        <v/>
      </c>
      <c r="M691" t="str">
        <f>IFERROR(INDEX(Inventory!A:A,MATCH(Scan!A691,Inventory!E:E,0)),"")</f>
        <v/>
      </c>
    </row>
    <row r="692" spans="2:13" x14ac:dyDescent="0.3">
      <c r="B692" t="str">
        <f>IF(IFERROR(VLOOKUP(TRIM(A692),Inventory!E:E,1,0),0)=0,"X","_")</f>
        <v>_</v>
      </c>
      <c r="C692" t="str">
        <f>IF(IFERROR(VLOOKUP(TRIM(A692),'Full Inventory'!F:F,1,0),0)=0,"X","_")</f>
        <v>X</v>
      </c>
      <c r="D692" t="str">
        <f t="shared" si="4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F692" t="str">
        <f t="shared" si="41"/>
        <v>_</v>
      </c>
      <c r="K692" t="str">
        <f t="shared" ca="1" si="42"/>
        <v>_XX_</v>
      </c>
      <c r="L692" t="str">
        <f t="shared" ca="1" si="43"/>
        <v/>
      </c>
      <c r="M692" t="str">
        <f>IFERROR(INDEX(Inventory!A:A,MATCH(Scan!A692,Inventory!E:E,0)),"")</f>
        <v/>
      </c>
    </row>
    <row r="693" spans="2:13" x14ac:dyDescent="0.3">
      <c r="B693" t="str">
        <f>IF(IFERROR(VLOOKUP(TRIM(A693),Inventory!E:E,1,0),0)=0,"X","_")</f>
        <v>_</v>
      </c>
      <c r="C693" t="str">
        <f>IF(IFERROR(VLOOKUP(TRIM(A693),'Full Inventory'!F:F,1,0),0)=0,"X","_")</f>
        <v>X</v>
      </c>
      <c r="D693" t="str">
        <f t="shared" si="4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F693" t="str">
        <f t="shared" si="41"/>
        <v>_</v>
      </c>
      <c r="K693" t="str">
        <f t="shared" ca="1" si="42"/>
        <v>_XX_</v>
      </c>
      <c r="L693" t="str">
        <f t="shared" ca="1" si="43"/>
        <v/>
      </c>
      <c r="M693" t="str">
        <f>IFERROR(INDEX(Inventory!A:A,MATCH(Scan!A693,Inventory!E:E,0)),"")</f>
        <v/>
      </c>
    </row>
    <row r="694" spans="2:13" x14ac:dyDescent="0.3">
      <c r="B694" t="str">
        <f>IF(IFERROR(VLOOKUP(TRIM(A694),Inventory!E:E,1,0),0)=0,"X","_")</f>
        <v>_</v>
      </c>
      <c r="C694" t="str">
        <f>IF(IFERROR(VLOOKUP(TRIM(A694),'Full Inventory'!F:F,1,0),0)=0,"X","_")</f>
        <v>X</v>
      </c>
      <c r="D694" t="str">
        <f t="shared" si="4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F694" t="str">
        <f t="shared" si="41"/>
        <v>_</v>
      </c>
      <c r="K694" t="str">
        <f t="shared" ca="1" si="42"/>
        <v>_XX_</v>
      </c>
      <c r="L694" t="str">
        <f t="shared" ca="1" si="43"/>
        <v/>
      </c>
      <c r="M694" t="str">
        <f>IFERROR(INDEX(Inventory!A:A,MATCH(Scan!A694,Inventory!E:E,0)),"")</f>
        <v/>
      </c>
    </row>
    <row r="695" spans="2:13" x14ac:dyDescent="0.3">
      <c r="B695" t="str">
        <f>IF(IFERROR(VLOOKUP(TRIM(A695),Inventory!E:E,1,0),0)=0,"X","_")</f>
        <v>_</v>
      </c>
      <c r="C695" t="str">
        <f>IF(IFERROR(VLOOKUP(TRIM(A695),'Full Inventory'!F:F,1,0),0)=0,"X","_")</f>
        <v>X</v>
      </c>
      <c r="D695" t="str">
        <f t="shared" si="4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F695" t="str">
        <f t="shared" si="41"/>
        <v>_</v>
      </c>
      <c r="K695" t="str">
        <f t="shared" ca="1" si="42"/>
        <v>_XX_</v>
      </c>
      <c r="L695" t="str">
        <f t="shared" ca="1" si="43"/>
        <v/>
      </c>
      <c r="M695" t="str">
        <f>IFERROR(INDEX(Inventory!A:A,MATCH(Scan!A695,Inventory!E:E,0)),"")</f>
        <v/>
      </c>
    </row>
    <row r="696" spans="2:13" x14ac:dyDescent="0.3">
      <c r="B696" t="str">
        <f>IF(IFERROR(VLOOKUP(TRIM(A696),Inventory!E:E,1,0),0)=0,"X","_")</f>
        <v>_</v>
      </c>
      <c r="C696" t="str">
        <f>IF(IFERROR(VLOOKUP(TRIM(A696),'Full Inventory'!F:F,1,0),0)=0,"X","_")</f>
        <v>X</v>
      </c>
      <c r="D696" t="str">
        <f t="shared" si="4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F696" t="str">
        <f t="shared" si="41"/>
        <v>_</v>
      </c>
      <c r="K696" t="str">
        <f t="shared" ca="1" si="42"/>
        <v>_XX_</v>
      </c>
      <c r="L696" t="str">
        <f t="shared" ca="1" si="43"/>
        <v/>
      </c>
      <c r="M696" t="str">
        <f>IFERROR(INDEX(Inventory!A:A,MATCH(Scan!A696,Inventory!E:E,0)),"")</f>
        <v/>
      </c>
    </row>
    <row r="697" spans="2:13" x14ac:dyDescent="0.3">
      <c r="B697" t="str">
        <f>IF(IFERROR(VLOOKUP(TRIM(A697),Inventory!E:E,1,0),0)=0,"X","_")</f>
        <v>_</v>
      </c>
      <c r="C697" t="str">
        <f>IF(IFERROR(VLOOKUP(TRIM(A697),'Full Inventory'!F:F,1,0),0)=0,"X","_")</f>
        <v>X</v>
      </c>
      <c r="D697" t="str">
        <f t="shared" si="4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F697" t="str">
        <f t="shared" si="41"/>
        <v>_</v>
      </c>
      <c r="K697" t="str">
        <f t="shared" ca="1" si="42"/>
        <v>_XX_</v>
      </c>
      <c r="L697" t="str">
        <f t="shared" ca="1" si="43"/>
        <v/>
      </c>
      <c r="M697" t="str">
        <f>IFERROR(INDEX(Inventory!A:A,MATCH(Scan!A697,Inventory!E:E,0)),"")</f>
        <v/>
      </c>
    </row>
    <row r="698" spans="2:13" x14ac:dyDescent="0.3">
      <c r="B698" t="str">
        <f>IF(IFERROR(VLOOKUP(TRIM(A698),Inventory!E:E,1,0),0)=0,"X","_")</f>
        <v>_</v>
      </c>
      <c r="C698" t="str">
        <f>IF(IFERROR(VLOOKUP(TRIM(A698),'Full Inventory'!F:F,1,0),0)=0,"X","_")</f>
        <v>X</v>
      </c>
      <c r="D698" t="str">
        <f t="shared" si="4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F698" t="str">
        <f t="shared" si="41"/>
        <v>_</v>
      </c>
      <c r="K698" t="str">
        <f t="shared" ca="1" si="42"/>
        <v>_XX_</v>
      </c>
      <c r="L698" t="str">
        <f t="shared" ca="1" si="43"/>
        <v/>
      </c>
      <c r="M698" t="str">
        <f>IFERROR(INDEX(Inventory!A:A,MATCH(Scan!A698,Inventory!E:E,0)),"")</f>
        <v/>
      </c>
    </row>
    <row r="699" spans="2:13" x14ac:dyDescent="0.3">
      <c r="B699" t="str">
        <f>IF(IFERROR(VLOOKUP(TRIM(A699),Inventory!E:E,1,0),0)=0,"X","_")</f>
        <v>_</v>
      </c>
      <c r="C699" t="str">
        <f>IF(IFERROR(VLOOKUP(TRIM(A699),'Full Inventory'!F:F,1,0),0)=0,"X","_")</f>
        <v>X</v>
      </c>
      <c r="D699" t="str">
        <f t="shared" si="4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F699" t="str">
        <f t="shared" si="41"/>
        <v>_</v>
      </c>
      <c r="K699" t="str">
        <f t="shared" ca="1" si="42"/>
        <v>_XX_</v>
      </c>
      <c r="L699" t="str">
        <f t="shared" ca="1" si="43"/>
        <v/>
      </c>
      <c r="M699" t="str">
        <f>IFERROR(INDEX(Inventory!A:A,MATCH(Scan!A699,Inventory!E:E,0)),"")</f>
        <v/>
      </c>
    </row>
    <row r="700" spans="2:13" x14ac:dyDescent="0.3">
      <c r="B700" t="str">
        <f>IF(IFERROR(VLOOKUP(TRIM(A700),Inventory!E:E,1,0),0)=0,"X","_")</f>
        <v>_</v>
      </c>
      <c r="C700" t="str">
        <f>IF(IFERROR(VLOOKUP(TRIM(A700),'Full Inventory'!F:F,1,0),0)=0,"X","_")</f>
        <v>X</v>
      </c>
      <c r="D700" t="str">
        <f t="shared" si="4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F700" t="str">
        <f t="shared" si="41"/>
        <v>_</v>
      </c>
      <c r="K700" t="str">
        <f t="shared" ca="1" si="42"/>
        <v>_XX_</v>
      </c>
      <c r="L700" t="str">
        <f t="shared" ca="1" si="43"/>
        <v/>
      </c>
      <c r="M700" t="str">
        <f>IFERROR(INDEX(Inventory!A:A,MATCH(Scan!A700,Inventory!E:E,0)),"")</f>
        <v/>
      </c>
    </row>
    <row r="701" spans="2:13" x14ac:dyDescent="0.3">
      <c r="B701" t="str">
        <f>IF(IFERROR(VLOOKUP(TRIM(A701),Inventory!E:E,1,0),0)=0,"X","_")</f>
        <v>_</v>
      </c>
      <c r="C701" t="str">
        <f>IF(IFERROR(VLOOKUP(TRIM(A701),'Full Inventory'!F:F,1,0),0)=0,"X","_")</f>
        <v>X</v>
      </c>
      <c r="D701" t="str">
        <f t="shared" si="4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F701" t="str">
        <f t="shared" si="41"/>
        <v>_</v>
      </c>
      <c r="K701" t="str">
        <f t="shared" ca="1" si="42"/>
        <v>_XX_</v>
      </c>
      <c r="L701" t="str">
        <f t="shared" ca="1" si="43"/>
        <v/>
      </c>
      <c r="M701" t="str">
        <f>IFERROR(INDEX(Inventory!A:A,MATCH(Scan!A701,Inventory!E:E,0)),"")</f>
        <v/>
      </c>
    </row>
    <row r="702" spans="2:13" x14ac:dyDescent="0.3">
      <c r="B702" t="str">
        <f>IF(IFERROR(VLOOKUP(TRIM(A702),Inventory!E:E,1,0),0)=0,"X","_")</f>
        <v>_</v>
      </c>
      <c r="C702" t="str">
        <f>IF(IFERROR(VLOOKUP(TRIM(A702),'Full Inventory'!F:F,1,0),0)=0,"X","_")</f>
        <v>X</v>
      </c>
      <c r="D702" t="str">
        <f t="shared" si="4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F702" t="str">
        <f t="shared" si="41"/>
        <v>_</v>
      </c>
      <c r="K702" t="str">
        <f t="shared" ca="1" si="42"/>
        <v>_XX_</v>
      </c>
      <c r="L702" t="str">
        <f t="shared" ca="1" si="43"/>
        <v/>
      </c>
      <c r="M702" t="str">
        <f>IFERROR(INDEX(Inventory!A:A,MATCH(Scan!A702,Inventory!E:E,0)),"")</f>
        <v/>
      </c>
    </row>
    <row r="703" spans="2:13" x14ac:dyDescent="0.3">
      <c r="B703" t="str">
        <f>IF(IFERROR(VLOOKUP(TRIM(A703),Inventory!E:E,1,0),0)=0,"X","_")</f>
        <v>_</v>
      </c>
      <c r="C703" t="str">
        <f>IF(IFERROR(VLOOKUP(TRIM(A703),'Full Inventory'!F:F,1,0),0)=0,"X","_")</f>
        <v>X</v>
      </c>
      <c r="D703" t="str">
        <f t="shared" si="4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F703" t="str">
        <f t="shared" si="41"/>
        <v>_</v>
      </c>
      <c r="K703" t="str">
        <f t="shared" ca="1" si="42"/>
        <v>_XX_</v>
      </c>
      <c r="L703" t="str">
        <f t="shared" ca="1" si="43"/>
        <v/>
      </c>
      <c r="M703" t="str">
        <f>IFERROR(INDEX(Inventory!A:A,MATCH(Scan!A703,Inventory!E:E,0)),"")</f>
        <v/>
      </c>
    </row>
    <row r="704" spans="2:13" x14ac:dyDescent="0.3">
      <c r="B704" t="str">
        <f>IF(IFERROR(VLOOKUP(TRIM(A704),Inventory!E:E,1,0),0)=0,"X","_")</f>
        <v>_</v>
      </c>
      <c r="C704" t="str">
        <f>IF(IFERROR(VLOOKUP(TRIM(A704),'Full Inventory'!F:F,1,0),0)=0,"X","_")</f>
        <v>X</v>
      </c>
      <c r="D704" t="str">
        <f t="shared" si="4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F704" t="str">
        <f t="shared" si="41"/>
        <v>_</v>
      </c>
      <c r="K704" t="str">
        <f t="shared" ca="1" si="42"/>
        <v>_XX_</v>
      </c>
      <c r="L704" t="str">
        <f t="shared" ca="1" si="43"/>
        <v/>
      </c>
      <c r="M704" t="str">
        <f>IFERROR(INDEX(Inventory!A:A,MATCH(Scan!A704,Inventory!E:E,0)),"")</f>
        <v/>
      </c>
    </row>
    <row r="705" spans="2:13" x14ac:dyDescent="0.3">
      <c r="B705" t="str">
        <f>IF(IFERROR(VLOOKUP(TRIM(A705),Inventory!E:E,1,0),0)=0,"X","_")</f>
        <v>_</v>
      </c>
      <c r="C705" t="str">
        <f>IF(IFERROR(VLOOKUP(TRIM(A705),'Full Inventory'!F:F,1,0),0)=0,"X","_")</f>
        <v>X</v>
      </c>
      <c r="D705" t="str">
        <f t="shared" si="4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F705" t="str">
        <f t="shared" si="41"/>
        <v>_</v>
      </c>
      <c r="K705" t="str">
        <f t="shared" ca="1" si="42"/>
        <v>_XX_</v>
      </c>
      <c r="L705" t="str">
        <f t="shared" ca="1" si="43"/>
        <v/>
      </c>
      <c r="M705" t="str">
        <f>IFERROR(INDEX(Inventory!A:A,MATCH(Scan!A705,Inventory!E:E,0)),"")</f>
        <v/>
      </c>
    </row>
    <row r="706" spans="2:13" x14ac:dyDescent="0.3">
      <c r="B706" t="str">
        <f>IF(IFERROR(VLOOKUP(TRIM(A706),Inventory!E:E,1,0),0)=0,"X","_")</f>
        <v>_</v>
      </c>
      <c r="C706" t="str">
        <f>IF(IFERROR(VLOOKUP(TRIM(A706),'Full Inventory'!F:F,1,0),0)=0,"X","_")</f>
        <v>X</v>
      </c>
      <c r="D706" t="str">
        <f t="shared" ref="D706:D769" si="44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F706" t="str">
        <f t="shared" si="41"/>
        <v>_</v>
      </c>
      <c r="K706" t="str">
        <f t="shared" ca="1" si="42"/>
        <v>_XX_</v>
      </c>
      <c r="L706" t="str">
        <f t="shared" ca="1" si="43"/>
        <v/>
      </c>
      <c r="M706" t="str">
        <f>IFERROR(INDEX(Inventory!A:A,MATCH(Scan!A706,Inventory!E:E,0)),"")</f>
        <v/>
      </c>
    </row>
    <row r="707" spans="2:13" x14ac:dyDescent="0.3">
      <c r="B707" t="str">
        <f>IF(IFERROR(VLOOKUP(TRIM(A707),Inventory!E:E,1,0),0)=0,"X","_")</f>
        <v>_</v>
      </c>
      <c r="C707" t="str">
        <f>IF(IFERROR(VLOOKUP(TRIM(A707),'Full Inventory'!F:F,1,0),0)=0,"X","_")</f>
        <v>X</v>
      </c>
      <c r="D707" t="str">
        <f t="shared" si="44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F707" t="str">
        <f t="shared" ref="F707:F770" si="45">IF(IFERROR(SEARCH("ö",A707),0)&gt;0,"X","_")</f>
        <v>_</v>
      </c>
      <c r="K707" t="str">
        <f t="shared" ref="K707:K770" ca="1" si="46">B707&amp;C707&amp;D707&amp;E707</f>
        <v>_XX_</v>
      </c>
      <c r="L707" t="str">
        <f t="shared" ref="L707:L770" ca="1" si="47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3">
      <c r="B708" t="str">
        <f>IF(IFERROR(VLOOKUP(TRIM(A708),Inventory!E:E,1,0),0)=0,"X","_")</f>
        <v>_</v>
      </c>
      <c r="C708" t="str">
        <f>IF(IFERROR(VLOOKUP(TRIM(A708),'Full Inventory'!F:F,1,0),0)=0,"X","_")</f>
        <v>X</v>
      </c>
      <c r="D708" t="str">
        <f t="shared" si="44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F708" t="str">
        <f t="shared" si="45"/>
        <v>_</v>
      </c>
      <c r="K708" t="str">
        <f t="shared" ca="1" si="46"/>
        <v>_XX_</v>
      </c>
      <c r="L708" t="str">
        <f t="shared" ca="1" si="47"/>
        <v/>
      </c>
      <c r="M708" t="str">
        <f>IFERROR(INDEX(Inventory!A:A,MATCH(Scan!A708,Inventory!E:E,0)),"")</f>
        <v/>
      </c>
    </row>
    <row r="709" spans="2:13" x14ac:dyDescent="0.3">
      <c r="B709" t="str">
        <f>IF(IFERROR(VLOOKUP(TRIM(A709),Inventory!E:E,1,0),0)=0,"X","_")</f>
        <v>_</v>
      </c>
      <c r="C709" t="str">
        <f>IF(IFERROR(VLOOKUP(TRIM(A709),'Full Inventory'!F:F,1,0),0)=0,"X","_")</f>
        <v>X</v>
      </c>
      <c r="D709" t="str">
        <f t="shared" si="44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F709" t="str">
        <f t="shared" si="45"/>
        <v>_</v>
      </c>
      <c r="K709" t="str">
        <f t="shared" ca="1" si="46"/>
        <v>_XX_</v>
      </c>
      <c r="L709" t="str">
        <f t="shared" ca="1" si="47"/>
        <v/>
      </c>
      <c r="M709" t="str">
        <f>IFERROR(INDEX(Inventory!A:A,MATCH(Scan!A709,Inventory!E:E,0)),"")</f>
        <v/>
      </c>
    </row>
    <row r="710" spans="2:13" x14ac:dyDescent="0.3">
      <c r="B710" t="str">
        <f>IF(IFERROR(VLOOKUP(TRIM(A710),Inventory!E:E,1,0),0)=0,"X","_")</f>
        <v>_</v>
      </c>
      <c r="C710" t="str">
        <f>IF(IFERROR(VLOOKUP(TRIM(A710),'Full Inventory'!F:F,1,0),0)=0,"X","_")</f>
        <v>X</v>
      </c>
      <c r="D710" t="str">
        <f t="shared" si="44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F710" t="str">
        <f t="shared" si="45"/>
        <v>_</v>
      </c>
      <c r="K710" t="str">
        <f t="shared" ca="1" si="46"/>
        <v>_XX_</v>
      </c>
      <c r="L710" t="str">
        <f t="shared" ca="1" si="47"/>
        <v/>
      </c>
      <c r="M710" t="str">
        <f>IFERROR(INDEX(Inventory!A:A,MATCH(Scan!A710,Inventory!E:E,0)),"")</f>
        <v/>
      </c>
    </row>
    <row r="711" spans="2:13" x14ac:dyDescent="0.3">
      <c r="B711" t="str">
        <f>IF(IFERROR(VLOOKUP(TRIM(A711),Inventory!E:E,1,0),0)=0,"X","_")</f>
        <v>_</v>
      </c>
      <c r="C711" t="str">
        <f>IF(IFERROR(VLOOKUP(TRIM(A711),'Full Inventory'!F:F,1,0),0)=0,"X","_")</f>
        <v>X</v>
      </c>
      <c r="D711" t="str">
        <f t="shared" si="44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F711" t="str">
        <f t="shared" si="45"/>
        <v>_</v>
      </c>
      <c r="K711" t="str">
        <f t="shared" ca="1" si="46"/>
        <v>_XX_</v>
      </c>
      <c r="L711" t="str">
        <f t="shared" ca="1" si="47"/>
        <v/>
      </c>
      <c r="M711" t="str">
        <f>IFERROR(INDEX(Inventory!A:A,MATCH(Scan!A711,Inventory!E:E,0)),"")</f>
        <v/>
      </c>
    </row>
    <row r="712" spans="2:13" x14ac:dyDescent="0.3">
      <c r="B712" t="str">
        <f>IF(IFERROR(VLOOKUP(TRIM(A712),Inventory!E:E,1,0),0)=0,"X","_")</f>
        <v>_</v>
      </c>
      <c r="C712" t="str">
        <f>IF(IFERROR(VLOOKUP(TRIM(A712),'Full Inventory'!F:F,1,0),0)=0,"X","_")</f>
        <v>X</v>
      </c>
      <c r="D712" t="str">
        <f t="shared" si="44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F712" t="str">
        <f t="shared" si="45"/>
        <v>_</v>
      </c>
      <c r="K712" t="str">
        <f t="shared" ca="1" si="46"/>
        <v>_XX_</v>
      </c>
      <c r="L712" t="str">
        <f t="shared" ca="1" si="47"/>
        <v/>
      </c>
      <c r="M712" t="str">
        <f>IFERROR(INDEX(Inventory!A:A,MATCH(Scan!A712,Inventory!E:E,0)),"")</f>
        <v/>
      </c>
    </row>
    <row r="713" spans="2:13" x14ac:dyDescent="0.3">
      <c r="B713" t="str">
        <f>IF(IFERROR(VLOOKUP(TRIM(A713),Inventory!E:E,1,0),0)=0,"X","_")</f>
        <v>_</v>
      </c>
      <c r="C713" t="str">
        <f>IF(IFERROR(VLOOKUP(TRIM(A713),'Full Inventory'!F:F,1,0),0)=0,"X","_")</f>
        <v>X</v>
      </c>
      <c r="D713" t="str">
        <f t="shared" si="44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F713" t="str">
        <f t="shared" si="45"/>
        <v>_</v>
      </c>
      <c r="K713" t="str">
        <f t="shared" ca="1" si="46"/>
        <v>_XX_</v>
      </c>
      <c r="L713" t="str">
        <f t="shared" ca="1" si="47"/>
        <v/>
      </c>
      <c r="M713" t="str">
        <f>IFERROR(INDEX(Inventory!A:A,MATCH(Scan!A713,Inventory!E:E,0)),"")</f>
        <v/>
      </c>
    </row>
    <row r="714" spans="2:13" x14ac:dyDescent="0.3">
      <c r="B714" t="str">
        <f>IF(IFERROR(VLOOKUP(TRIM(A714),Inventory!E:E,1,0),0)=0,"X","_")</f>
        <v>_</v>
      </c>
      <c r="C714" t="str">
        <f>IF(IFERROR(VLOOKUP(TRIM(A714),'Full Inventory'!F:F,1,0),0)=0,"X","_")</f>
        <v>X</v>
      </c>
      <c r="D714" t="str">
        <f t="shared" si="44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F714" t="str">
        <f t="shared" si="45"/>
        <v>_</v>
      </c>
      <c r="K714" t="str">
        <f t="shared" ca="1" si="46"/>
        <v>_XX_</v>
      </c>
      <c r="L714" t="str">
        <f t="shared" ca="1" si="47"/>
        <v/>
      </c>
      <c r="M714" t="str">
        <f>IFERROR(INDEX(Inventory!A:A,MATCH(Scan!A714,Inventory!E:E,0)),"")</f>
        <v/>
      </c>
    </row>
    <row r="715" spans="2:13" x14ac:dyDescent="0.3">
      <c r="B715" t="str">
        <f>IF(IFERROR(VLOOKUP(TRIM(A715),Inventory!E:E,1,0),0)=0,"X","_")</f>
        <v>_</v>
      </c>
      <c r="C715" t="str">
        <f>IF(IFERROR(VLOOKUP(TRIM(A715),'Full Inventory'!F:F,1,0),0)=0,"X","_")</f>
        <v>X</v>
      </c>
      <c r="D715" t="str">
        <f t="shared" si="44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F715" t="str">
        <f t="shared" si="45"/>
        <v>_</v>
      </c>
      <c r="K715" t="str">
        <f t="shared" ca="1" si="46"/>
        <v>_XX_</v>
      </c>
      <c r="L715" t="str">
        <f t="shared" ca="1" si="47"/>
        <v/>
      </c>
      <c r="M715" t="str">
        <f>IFERROR(INDEX(Inventory!A:A,MATCH(Scan!A715,Inventory!E:E,0)),"")</f>
        <v/>
      </c>
    </row>
    <row r="716" spans="2:13" x14ac:dyDescent="0.3">
      <c r="B716" t="str">
        <f>IF(IFERROR(VLOOKUP(TRIM(A716),Inventory!E:E,1,0),0)=0,"X","_")</f>
        <v>_</v>
      </c>
      <c r="C716" t="str">
        <f>IF(IFERROR(VLOOKUP(TRIM(A716),'Full Inventory'!F:F,1,0),0)=0,"X","_")</f>
        <v>X</v>
      </c>
      <c r="D716" t="str">
        <f t="shared" si="44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F716" t="str">
        <f t="shared" si="45"/>
        <v>_</v>
      </c>
      <c r="K716" t="str">
        <f t="shared" ca="1" si="46"/>
        <v>_XX_</v>
      </c>
      <c r="L716" t="str">
        <f t="shared" ca="1" si="47"/>
        <v/>
      </c>
      <c r="M716" t="str">
        <f>IFERROR(INDEX(Inventory!A:A,MATCH(Scan!A716,Inventory!E:E,0)),"")</f>
        <v/>
      </c>
    </row>
    <row r="717" spans="2:13" x14ac:dyDescent="0.3">
      <c r="B717" t="str">
        <f>IF(IFERROR(VLOOKUP(TRIM(A717),Inventory!E:E,1,0),0)=0,"X","_")</f>
        <v>_</v>
      </c>
      <c r="C717" t="str">
        <f>IF(IFERROR(VLOOKUP(TRIM(A717),'Full Inventory'!F:F,1,0),0)=0,"X","_")</f>
        <v>X</v>
      </c>
      <c r="D717" t="str">
        <f t="shared" si="44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F717" t="str">
        <f t="shared" si="45"/>
        <v>_</v>
      </c>
      <c r="K717" t="str">
        <f t="shared" ca="1" si="46"/>
        <v>_XX_</v>
      </c>
      <c r="L717" t="str">
        <f t="shared" ca="1" si="47"/>
        <v/>
      </c>
      <c r="M717" t="str">
        <f>IFERROR(INDEX(Inventory!A:A,MATCH(Scan!A717,Inventory!E:E,0)),"")</f>
        <v/>
      </c>
    </row>
    <row r="718" spans="2:13" x14ac:dyDescent="0.3">
      <c r="B718" t="str">
        <f>IF(IFERROR(VLOOKUP(TRIM(A718),Inventory!E:E,1,0),0)=0,"X","_")</f>
        <v>_</v>
      </c>
      <c r="C718" t="str">
        <f>IF(IFERROR(VLOOKUP(TRIM(A718),'Full Inventory'!F:F,1,0),0)=0,"X","_")</f>
        <v>X</v>
      </c>
      <c r="D718" t="str">
        <f t="shared" si="44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F718" t="str">
        <f t="shared" si="45"/>
        <v>_</v>
      </c>
      <c r="K718" t="str">
        <f t="shared" ca="1" si="46"/>
        <v>_XX_</v>
      </c>
      <c r="L718" t="str">
        <f t="shared" ca="1" si="47"/>
        <v/>
      </c>
      <c r="M718" t="str">
        <f>IFERROR(INDEX(Inventory!A:A,MATCH(Scan!A718,Inventory!E:E,0)),"")</f>
        <v/>
      </c>
    </row>
    <row r="719" spans="2:13" x14ac:dyDescent="0.3">
      <c r="B719" t="str">
        <f>IF(IFERROR(VLOOKUP(TRIM(A719),Inventory!E:E,1,0),0)=0,"X","_")</f>
        <v>_</v>
      </c>
      <c r="C719" t="str">
        <f>IF(IFERROR(VLOOKUP(TRIM(A719),'Full Inventory'!F:F,1,0),0)=0,"X","_")</f>
        <v>X</v>
      </c>
      <c r="D719" t="str">
        <f t="shared" si="44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F719" t="str">
        <f t="shared" si="45"/>
        <v>_</v>
      </c>
      <c r="K719" t="str">
        <f t="shared" ca="1" si="46"/>
        <v>_XX_</v>
      </c>
      <c r="L719" t="str">
        <f t="shared" ca="1" si="47"/>
        <v/>
      </c>
      <c r="M719" t="str">
        <f>IFERROR(INDEX(Inventory!A:A,MATCH(Scan!A719,Inventory!E:E,0)),"")</f>
        <v/>
      </c>
    </row>
    <row r="720" spans="2:13" x14ac:dyDescent="0.3">
      <c r="B720" t="str">
        <f>IF(IFERROR(VLOOKUP(TRIM(A720),Inventory!E:E,1,0),0)=0,"X","_")</f>
        <v>_</v>
      </c>
      <c r="C720" t="str">
        <f>IF(IFERROR(VLOOKUP(TRIM(A720),'Full Inventory'!F:F,1,0),0)=0,"X","_")</f>
        <v>X</v>
      </c>
      <c r="D720" t="str">
        <f t="shared" si="44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F720" t="str">
        <f t="shared" si="45"/>
        <v>_</v>
      </c>
      <c r="K720" t="str">
        <f t="shared" ca="1" si="46"/>
        <v>_XX_</v>
      </c>
      <c r="L720" t="str">
        <f t="shared" ca="1" si="47"/>
        <v/>
      </c>
      <c r="M720" t="str">
        <f>IFERROR(INDEX(Inventory!A:A,MATCH(Scan!A720,Inventory!E:E,0)),"")</f>
        <v/>
      </c>
    </row>
    <row r="721" spans="2:13" x14ac:dyDescent="0.3">
      <c r="B721" t="str">
        <f>IF(IFERROR(VLOOKUP(TRIM(A721),Inventory!E:E,1,0),0)=0,"X","_")</f>
        <v>_</v>
      </c>
      <c r="C721" t="str">
        <f>IF(IFERROR(VLOOKUP(TRIM(A721),'Full Inventory'!F:F,1,0),0)=0,"X","_")</f>
        <v>X</v>
      </c>
      <c r="D721" t="str">
        <f t="shared" si="44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F721" t="str">
        <f t="shared" si="45"/>
        <v>_</v>
      </c>
      <c r="K721" t="str">
        <f t="shared" ca="1" si="46"/>
        <v>_XX_</v>
      </c>
      <c r="L721" t="str">
        <f t="shared" ca="1" si="47"/>
        <v/>
      </c>
      <c r="M721" t="str">
        <f>IFERROR(INDEX(Inventory!A:A,MATCH(Scan!A721,Inventory!E:E,0)),"")</f>
        <v/>
      </c>
    </row>
    <row r="722" spans="2:13" x14ac:dyDescent="0.3">
      <c r="B722" t="str">
        <f>IF(IFERROR(VLOOKUP(TRIM(A722),Inventory!E:E,1,0),0)=0,"X","_")</f>
        <v>_</v>
      </c>
      <c r="C722" t="str">
        <f>IF(IFERROR(VLOOKUP(TRIM(A722),'Full Inventory'!F:F,1,0),0)=0,"X","_")</f>
        <v>X</v>
      </c>
      <c r="D722" t="str">
        <f t="shared" si="44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F722" t="str">
        <f t="shared" si="45"/>
        <v>_</v>
      </c>
      <c r="K722" t="str">
        <f t="shared" ca="1" si="46"/>
        <v>_XX_</v>
      </c>
      <c r="L722" t="str">
        <f t="shared" ca="1" si="47"/>
        <v/>
      </c>
      <c r="M722" t="str">
        <f>IFERROR(INDEX(Inventory!A:A,MATCH(Scan!A722,Inventory!E:E,0)),"")</f>
        <v/>
      </c>
    </row>
    <row r="723" spans="2:13" x14ac:dyDescent="0.3">
      <c r="B723" t="str">
        <f>IF(IFERROR(VLOOKUP(TRIM(A723),Inventory!E:E,1,0),0)=0,"X","_")</f>
        <v>_</v>
      </c>
      <c r="C723" t="str">
        <f>IF(IFERROR(VLOOKUP(TRIM(A723),'Full Inventory'!F:F,1,0),0)=0,"X","_")</f>
        <v>X</v>
      </c>
      <c r="D723" t="str">
        <f t="shared" si="44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F723" t="str">
        <f t="shared" si="45"/>
        <v>_</v>
      </c>
      <c r="K723" t="str">
        <f t="shared" ca="1" si="46"/>
        <v>_XX_</v>
      </c>
      <c r="L723" t="str">
        <f t="shared" ca="1" si="47"/>
        <v/>
      </c>
      <c r="M723" t="str">
        <f>IFERROR(INDEX(Inventory!A:A,MATCH(Scan!A723,Inventory!E:E,0)),"")</f>
        <v/>
      </c>
    </row>
    <row r="724" spans="2:13" x14ac:dyDescent="0.3">
      <c r="B724" t="str">
        <f>IF(IFERROR(VLOOKUP(TRIM(A724),Inventory!E:E,1,0),0)=0,"X","_")</f>
        <v>_</v>
      </c>
      <c r="C724" t="str">
        <f>IF(IFERROR(VLOOKUP(TRIM(A724),'Full Inventory'!F:F,1,0),0)=0,"X","_")</f>
        <v>X</v>
      </c>
      <c r="D724" t="str">
        <f t="shared" si="44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F724" t="str">
        <f t="shared" si="45"/>
        <v>_</v>
      </c>
      <c r="K724" t="str">
        <f t="shared" ca="1" si="46"/>
        <v>_XX_</v>
      </c>
      <c r="L724" t="str">
        <f t="shared" ca="1" si="47"/>
        <v/>
      </c>
      <c r="M724" t="str">
        <f>IFERROR(INDEX(Inventory!A:A,MATCH(Scan!A724,Inventory!E:E,0)),"")</f>
        <v/>
      </c>
    </row>
    <row r="725" spans="2:13" x14ac:dyDescent="0.3">
      <c r="B725" t="str">
        <f>IF(IFERROR(VLOOKUP(TRIM(A725),Inventory!E:E,1,0),0)=0,"X","_")</f>
        <v>_</v>
      </c>
      <c r="C725" t="str">
        <f>IF(IFERROR(VLOOKUP(TRIM(A725),'Full Inventory'!F:F,1,0),0)=0,"X","_")</f>
        <v>X</v>
      </c>
      <c r="D725" t="str">
        <f t="shared" si="44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F725" t="str">
        <f t="shared" si="45"/>
        <v>_</v>
      </c>
      <c r="K725" t="str">
        <f t="shared" ca="1" si="46"/>
        <v>_XX_</v>
      </c>
      <c r="L725" t="str">
        <f t="shared" ca="1" si="47"/>
        <v/>
      </c>
      <c r="M725" t="str">
        <f>IFERROR(INDEX(Inventory!A:A,MATCH(Scan!A725,Inventory!E:E,0)),"")</f>
        <v/>
      </c>
    </row>
    <row r="726" spans="2:13" x14ac:dyDescent="0.3">
      <c r="B726" t="str">
        <f>IF(IFERROR(VLOOKUP(TRIM(A726),Inventory!E:E,1,0),0)=0,"X","_")</f>
        <v>_</v>
      </c>
      <c r="C726" t="str">
        <f>IF(IFERROR(VLOOKUP(TRIM(A726),'Full Inventory'!F:F,1,0),0)=0,"X","_")</f>
        <v>X</v>
      </c>
      <c r="D726" t="str">
        <f t="shared" si="44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F726" t="str">
        <f t="shared" si="45"/>
        <v>_</v>
      </c>
      <c r="K726" t="str">
        <f t="shared" ca="1" si="46"/>
        <v>_XX_</v>
      </c>
      <c r="L726" t="str">
        <f t="shared" ca="1" si="47"/>
        <v/>
      </c>
      <c r="M726" t="str">
        <f>IFERROR(INDEX(Inventory!A:A,MATCH(Scan!A726,Inventory!E:E,0)),"")</f>
        <v/>
      </c>
    </row>
    <row r="727" spans="2:13" x14ac:dyDescent="0.3">
      <c r="B727" t="str">
        <f>IF(IFERROR(VLOOKUP(TRIM(A727),Inventory!E:E,1,0),0)=0,"X","_")</f>
        <v>_</v>
      </c>
      <c r="C727" t="str">
        <f>IF(IFERROR(VLOOKUP(TRIM(A727),'Full Inventory'!F:F,1,0),0)=0,"X","_")</f>
        <v>X</v>
      </c>
      <c r="D727" t="str">
        <f t="shared" si="44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F727" t="str">
        <f t="shared" si="45"/>
        <v>_</v>
      </c>
      <c r="K727" t="str">
        <f t="shared" ca="1" si="46"/>
        <v>_XX_</v>
      </c>
      <c r="L727" t="str">
        <f t="shared" ca="1" si="47"/>
        <v/>
      </c>
      <c r="M727" t="str">
        <f>IFERROR(INDEX(Inventory!A:A,MATCH(Scan!A727,Inventory!E:E,0)),"")</f>
        <v/>
      </c>
    </row>
    <row r="728" spans="2:13" x14ac:dyDescent="0.3">
      <c r="B728" t="str">
        <f>IF(IFERROR(VLOOKUP(TRIM(A728),Inventory!E:E,1,0),0)=0,"X","_")</f>
        <v>_</v>
      </c>
      <c r="C728" t="str">
        <f>IF(IFERROR(VLOOKUP(TRIM(A728),'Full Inventory'!F:F,1,0),0)=0,"X","_")</f>
        <v>X</v>
      </c>
      <c r="D728" t="str">
        <f t="shared" si="44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F728" t="str">
        <f t="shared" si="45"/>
        <v>_</v>
      </c>
      <c r="K728" t="str">
        <f t="shared" ca="1" si="46"/>
        <v>_XX_</v>
      </c>
      <c r="L728" t="str">
        <f t="shared" ca="1" si="47"/>
        <v/>
      </c>
      <c r="M728" t="str">
        <f>IFERROR(INDEX(Inventory!A:A,MATCH(Scan!A728,Inventory!E:E,0)),"")</f>
        <v/>
      </c>
    </row>
    <row r="729" spans="2:13" x14ac:dyDescent="0.3">
      <c r="B729" t="str">
        <f>IF(IFERROR(VLOOKUP(TRIM(A729),Inventory!E:E,1,0),0)=0,"X","_")</f>
        <v>_</v>
      </c>
      <c r="C729" t="str">
        <f>IF(IFERROR(VLOOKUP(TRIM(A729),'Full Inventory'!F:F,1,0),0)=0,"X","_")</f>
        <v>X</v>
      </c>
      <c r="D729" t="str">
        <f t="shared" si="44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F729" t="str">
        <f t="shared" si="45"/>
        <v>_</v>
      </c>
      <c r="K729" t="str">
        <f t="shared" ca="1" si="46"/>
        <v>_XX_</v>
      </c>
      <c r="L729" t="str">
        <f t="shared" ca="1" si="47"/>
        <v/>
      </c>
      <c r="M729" t="str">
        <f>IFERROR(INDEX(Inventory!A:A,MATCH(Scan!A729,Inventory!E:E,0)),"")</f>
        <v/>
      </c>
    </row>
    <row r="730" spans="2:13" x14ac:dyDescent="0.3">
      <c r="B730" t="str">
        <f>IF(IFERROR(VLOOKUP(TRIM(A730),Inventory!E:E,1,0),0)=0,"X","_")</f>
        <v>_</v>
      </c>
      <c r="C730" t="str">
        <f>IF(IFERROR(VLOOKUP(TRIM(A730),'Full Inventory'!F:F,1,0),0)=0,"X","_")</f>
        <v>X</v>
      </c>
      <c r="D730" t="str">
        <f t="shared" si="44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F730" t="str">
        <f t="shared" si="45"/>
        <v>_</v>
      </c>
      <c r="K730" t="str">
        <f t="shared" ca="1" si="46"/>
        <v>_XX_</v>
      </c>
      <c r="L730" t="str">
        <f t="shared" ca="1" si="47"/>
        <v/>
      </c>
      <c r="M730" t="str">
        <f>IFERROR(INDEX(Inventory!A:A,MATCH(Scan!A730,Inventory!E:E,0)),"")</f>
        <v/>
      </c>
    </row>
    <row r="731" spans="2:13" x14ac:dyDescent="0.3">
      <c r="B731" t="str">
        <f>IF(IFERROR(VLOOKUP(TRIM(A731),Inventory!E:E,1,0),0)=0,"X","_")</f>
        <v>_</v>
      </c>
      <c r="C731" t="str">
        <f>IF(IFERROR(VLOOKUP(TRIM(A731),'Full Inventory'!F:F,1,0),0)=0,"X","_")</f>
        <v>X</v>
      </c>
      <c r="D731" t="str">
        <f t="shared" si="44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F731" t="str">
        <f t="shared" si="45"/>
        <v>_</v>
      </c>
      <c r="K731" t="str">
        <f t="shared" ca="1" si="46"/>
        <v>_XX_</v>
      </c>
      <c r="L731" t="str">
        <f t="shared" ca="1" si="47"/>
        <v/>
      </c>
      <c r="M731" t="str">
        <f>IFERROR(INDEX(Inventory!A:A,MATCH(Scan!A731,Inventory!E:E,0)),"")</f>
        <v/>
      </c>
    </row>
    <row r="732" spans="2:13" x14ac:dyDescent="0.3">
      <c r="B732" t="str">
        <f>IF(IFERROR(VLOOKUP(TRIM(A732),Inventory!E:E,1,0),0)=0,"X","_")</f>
        <v>_</v>
      </c>
      <c r="C732" t="str">
        <f>IF(IFERROR(VLOOKUP(TRIM(A732),'Full Inventory'!F:F,1,0),0)=0,"X","_")</f>
        <v>X</v>
      </c>
      <c r="D732" t="str">
        <f t="shared" si="44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F732" t="str">
        <f t="shared" si="45"/>
        <v>_</v>
      </c>
      <c r="K732" t="str">
        <f t="shared" ca="1" si="46"/>
        <v>_XX_</v>
      </c>
      <c r="L732" t="str">
        <f t="shared" ca="1" si="47"/>
        <v/>
      </c>
      <c r="M732" t="str">
        <f>IFERROR(INDEX(Inventory!A:A,MATCH(Scan!A732,Inventory!E:E,0)),"")</f>
        <v/>
      </c>
    </row>
    <row r="733" spans="2:13" x14ac:dyDescent="0.3">
      <c r="B733" t="str">
        <f>IF(IFERROR(VLOOKUP(TRIM(A733),Inventory!E:E,1,0),0)=0,"X","_")</f>
        <v>_</v>
      </c>
      <c r="C733" t="str">
        <f>IF(IFERROR(VLOOKUP(TRIM(A733),'Full Inventory'!F:F,1,0),0)=0,"X","_")</f>
        <v>X</v>
      </c>
      <c r="D733" t="str">
        <f t="shared" si="44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F733" t="str">
        <f t="shared" si="45"/>
        <v>_</v>
      </c>
      <c r="K733" t="str">
        <f t="shared" ca="1" si="46"/>
        <v>_XX_</v>
      </c>
      <c r="L733" t="str">
        <f t="shared" ca="1" si="47"/>
        <v/>
      </c>
      <c r="M733" t="str">
        <f>IFERROR(INDEX(Inventory!A:A,MATCH(Scan!A733,Inventory!E:E,0)),"")</f>
        <v/>
      </c>
    </row>
    <row r="734" spans="2:13" x14ac:dyDescent="0.3">
      <c r="B734" t="str">
        <f>IF(IFERROR(VLOOKUP(TRIM(A734),Inventory!E:E,1,0),0)=0,"X","_")</f>
        <v>_</v>
      </c>
      <c r="C734" t="str">
        <f>IF(IFERROR(VLOOKUP(TRIM(A734),'Full Inventory'!F:F,1,0),0)=0,"X","_")</f>
        <v>X</v>
      </c>
      <c r="D734" t="str">
        <f t="shared" si="44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F734" t="str">
        <f t="shared" si="45"/>
        <v>_</v>
      </c>
      <c r="K734" t="str">
        <f t="shared" ca="1" si="46"/>
        <v>_XX_</v>
      </c>
      <c r="L734" t="str">
        <f t="shared" ca="1" si="47"/>
        <v/>
      </c>
      <c r="M734" t="str">
        <f>IFERROR(INDEX(Inventory!A:A,MATCH(Scan!A734,Inventory!E:E,0)),"")</f>
        <v/>
      </c>
    </row>
    <row r="735" spans="2:13" x14ac:dyDescent="0.3">
      <c r="B735" t="str">
        <f>IF(IFERROR(VLOOKUP(TRIM(A735),Inventory!E:E,1,0),0)=0,"X","_")</f>
        <v>_</v>
      </c>
      <c r="C735" t="str">
        <f>IF(IFERROR(VLOOKUP(TRIM(A735),'Full Inventory'!F:F,1,0),0)=0,"X","_")</f>
        <v>X</v>
      </c>
      <c r="D735" t="str">
        <f t="shared" si="44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F735" t="str">
        <f t="shared" si="45"/>
        <v>_</v>
      </c>
      <c r="K735" t="str">
        <f t="shared" ca="1" si="46"/>
        <v>_XX_</v>
      </c>
      <c r="L735" t="str">
        <f t="shared" ca="1" si="47"/>
        <v/>
      </c>
      <c r="M735" t="str">
        <f>IFERROR(INDEX(Inventory!A:A,MATCH(Scan!A735,Inventory!E:E,0)),"")</f>
        <v/>
      </c>
    </row>
    <row r="736" spans="2:13" x14ac:dyDescent="0.3">
      <c r="B736" t="str">
        <f>IF(IFERROR(VLOOKUP(TRIM(A736),Inventory!E:E,1,0),0)=0,"X","_")</f>
        <v>_</v>
      </c>
      <c r="C736" t="str">
        <f>IF(IFERROR(VLOOKUP(TRIM(A736),'Full Inventory'!F:F,1,0),0)=0,"X","_")</f>
        <v>X</v>
      </c>
      <c r="D736" t="str">
        <f t="shared" si="44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F736" t="str">
        <f t="shared" si="45"/>
        <v>_</v>
      </c>
      <c r="K736" t="str">
        <f t="shared" ca="1" si="46"/>
        <v>_XX_</v>
      </c>
      <c r="L736" t="str">
        <f t="shared" ca="1" si="47"/>
        <v/>
      </c>
      <c r="M736" t="str">
        <f>IFERROR(INDEX(Inventory!A:A,MATCH(Scan!A736,Inventory!E:E,0)),"")</f>
        <v/>
      </c>
    </row>
    <row r="737" spans="2:13" x14ac:dyDescent="0.3">
      <c r="B737" t="str">
        <f>IF(IFERROR(VLOOKUP(TRIM(A737),Inventory!E:E,1,0),0)=0,"X","_")</f>
        <v>_</v>
      </c>
      <c r="C737" t="str">
        <f>IF(IFERROR(VLOOKUP(TRIM(A737),'Full Inventory'!F:F,1,0),0)=0,"X","_")</f>
        <v>X</v>
      </c>
      <c r="D737" t="str">
        <f t="shared" si="44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F737" t="str">
        <f t="shared" si="45"/>
        <v>_</v>
      </c>
      <c r="K737" t="str">
        <f t="shared" ca="1" si="46"/>
        <v>_XX_</v>
      </c>
      <c r="L737" t="str">
        <f t="shared" ca="1" si="47"/>
        <v/>
      </c>
      <c r="M737" t="str">
        <f>IFERROR(INDEX(Inventory!A:A,MATCH(Scan!A737,Inventory!E:E,0)),"")</f>
        <v/>
      </c>
    </row>
    <row r="738" spans="2:13" x14ac:dyDescent="0.3">
      <c r="B738" t="str">
        <f>IF(IFERROR(VLOOKUP(TRIM(A738),Inventory!E:E,1,0),0)=0,"X","_")</f>
        <v>_</v>
      </c>
      <c r="C738" t="str">
        <f>IF(IFERROR(VLOOKUP(TRIM(A738),'Full Inventory'!F:F,1,0),0)=0,"X","_")</f>
        <v>X</v>
      </c>
      <c r="D738" t="str">
        <f t="shared" si="44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F738" t="str">
        <f t="shared" si="45"/>
        <v>_</v>
      </c>
      <c r="K738" t="str">
        <f t="shared" ca="1" si="46"/>
        <v>_XX_</v>
      </c>
      <c r="L738" t="str">
        <f t="shared" ca="1" si="47"/>
        <v/>
      </c>
      <c r="M738" t="str">
        <f>IFERROR(INDEX(Inventory!A:A,MATCH(Scan!A738,Inventory!E:E,0)),"")</f>
        <v/>
      </c>
    </row>
    <row r="739" spans="2:13" x14ac:dyDescent="0.3">
      <c r="B739" t="str">
        <f>IF(IFERROR(VLOOKUP(TRIM(A739),Inventory!E:E,1,0),0)=0,"X","_")</f>
        <v>_</v>
      </c>
      <c r="C739" t="str">
        <f>IF(IFERROR(VLOOKUP(TRIM(A739),'Full Inventory'!F:F,1,0),0)=0,"X","_")</f>
        <v>X</v>
      </c>
      <c r="D739" t="str">
        <f t="shared" si="44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F739" t="str">
        <f t="shared" si="45"/>
        <v>_</v>
      </c>
      <c r="K739" t="str">
        <f t="shared" ca="1" si="46"/>
        <v>_XX_</v>
      </c>
      <c r="L739" t="str">
        <f t="shared" ca="1" si="47"/>
        <v/>
      </c>
      <c r="M739" t="str">
        <f>IFERROR(INDEX(Inventory!A:A,MATCH(Scan!A739,Inventory!E:E,0)),"")</f>
        <v/>
      </c>
    </row>
    <row r="740" spans="2:13" x14ac:dyDescent="0.3">
      <c r="B740" t="str">
        <f>IF(IFERROR(VLOOKUP(TRIM(A740),Inventory!E:E,1,0),0)=0,"X","_")</f>
        <v>_</v>
      </c>
      <c r="C740" t="str">
        <f>IF(IFERROR(VLOOKUP(TRIM(A740),'Full Inventory'!F:F,1,0),0)=0,"X","_")</f>
        <v>X</v>
      </c>
      <c r="D740" t="str">
        <f t="shared" si="44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F740" t="str">
        <f t="shared" si="45"/>
        <v>_</v>
      </c>
      <c r="K740" t="str">
        <f t="shared" ca="1" si="46"/>
        <v>_XX_</v>
      </c>
      <c r="L740" t="str">
        <f t="shared" ca="1" si="47"/>
        <v/>
      </c>
      <c r="M740" t="str">
        <f>IFERROR(INDEX(Inventory!A:A,MATCH(Scan!A740,Inventory!E:E,0)),"")</f>
        <v/>
      </c>
    </row>
    <row r="741" spans="2:13" x14ac:dyDescent="0.3">
      <c r="B741" t="str">
        <f>IF(IFERROR(VLOOKUP(TRIM(A741),Inventory!E:E,1,0),0)=0,"X","_")</f>
        <v>_</v>
      </c>
      <c r="C741" t="str">
        <f>IF(IFERROR(VLOOKUP(TRIM(A741),'Full Inventory'!F:F,1,0),0)=0,"X","_")</f>
        <v>X</v>
      </c>
      <c r="D741" t="str">
        <f t="shared" si="44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F741" t="str">
        <f t="shared" si="45"/>
        <v>_</v>
      </c>
      <c r="K741" t="str">
        <f t="shared" ca="1" si="46"/>
        <v>_XX_</v>
      </c>
      <c r="L741" t="str">
        <f t="shared" ca="1" si="47"/>
        <v/>
      </c>
      <c r="M741" t="str">
        <f>IFERROR(INDEX(Inventory!A:A,MATCH(Scan!A741,Inventory!E:E,0)),"")</f>
        <v/>
      </c>
    </row>
    <row r="742" spans="2:13" x14ac:dyDescent="0.3">
      <c r="B742" t="str">
        <f>IF(IFERROR(VLOOKUP(TRIM(A742),Inventory!E:E,1,0),0)=0,"X","_")</f>
        <v>_</v>
      </c>
      <c r="C742" t="str">
        <f>IF(IFERROR(VLOOKUP(TRIM(A742),'Full Inventory'!F:F,1,0),0)=0,"X","_")</f>
        <v>X</v>
      </c>
      <c r="D742" t="str">
        <f t="shared" si="44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F742" t="str">
        <f t="shared" si="45"/>
        <v>_</v>
      </c>
      <c r="K742" t="str">
        <f t="shared" ca="1" si="46"/>
        <v>_XX_</v>
      </c>
      <c r="L742" t="str">
        <f t="shared" ca="1" si="47"/>
        <v/>
      </c>
      <c r="M742" t="str">
        <f>IFERROR(INDEX(Inventory!A:A,MATCH(Scan!A742,Inventory!E:E,0)),"")</f>
        <v/>
      </c>
    </row>
    <row r="743" spans="2:13" x14ac:dyDescent="0.3">
      <c r="B743" t="str">
        <f>IF(IFERROR(VLOOKUP(TRIM(A743),Inventory!E:E,1,0),0)=0,"X","_")</f>
        <v>_</v>
      </c>
      <c r="C743" t="str">
        <f>IF(IFERROR(VLOOKUP(TRIM(A743),'Full Inventory'!F:F,1,0),0)=0,"X","_")</f>
        <v>X</v>
      </c>
      <c r="D743" t="str">
        <f t="shared" si="44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F743" t="str">
        <f t="shared" si="45"/>
        <v>_</v>
      </c>
      <c r="K743" t="str">
        <f t="shared" ca="1" si="46"/>
        <v>_XX_</v>
      </c>
      <c r="L743" t="str">
        <f t="shared" ca="1" si="47"/>
        <v/>
      </c>
      <c r="M743" t="str">
        <f>IFERROR(INDEX(Inventory!A:A,MATCH(Scan!A743,Inventory!E:E,0)),"")</f>
        <v/>
      </c>
    </row>
    <row r="744" spans="2:13" x14ac:dyDescent="0.3">
      <c r="B744" t="str">
        <f>IF(IFERROR(VLOOKUP(TRIM(A744),Inventory!E:E,1,0),0)=0,"X","_")</f>
        <v>_</v>
      </c>
      <c r="C744" t="str">
        <f>IF(IFERROR(VLOOKUP(TRIM(A744),'Full Inventory'!F:F,1,0),0)=0,"X","_")</f>
        <v>X</v>
      </c>
      <c r="D744" t="str">
        <f t="shared" si="44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F744" t="str">
        <f t="shared" si="45"/>
        <v>_</v>
      </c>
      <c r="K744" t="str">
        <f t="shared" ca="1" si="46"/>
        <v>_XX_</v>
      </c>
      <c r="L744" t="str">
        <f t="shared" ca="1" si="47"/>
        <v/>
      </c>
      <c r="M744" t="str">
        <f>IFERROR(INDEX(Inventory!A:A,MATCH(Scan!A744,Inventory!E:E,0)),"")</f>
        <v/>
      </c>
    </row>
    <row r="745" spans="2:13" x14ac:dyDescent="0.3">
      <c r="B745" t="str">
        <f>IF(IFERROR(VLOOKUP(TRIM(A745),Inventory!E:E,1,0),0)=0,"X","_")</f>
        <v>_</v>
      </c>
      <c r="C745" t="str">
        <f>IF(IFERROR(VLOOKUP(TRIM(A745),'Full Inventory'!F:F,1,0),0)=0,"X","_")</f>
        <v>X</v>
      </c>
      <c r="D745" t="str">
        <f t="shared" si="44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F745" t="str">
        <f t="shared" si="45"/>
        <v>_</v>
      </c>
      <c r="K745" t="str">
        <f t="shared" ca="1" si="46"/>
        <v>_XX_</v>
      </c>
      <c r="L745" t="str">
        <f t="shared" ca="1" si="47"/>
        <v/>
      </c>
      <c r="M745" t="str">
        <f>IFERROR(INDEX(Inventory!A:A,MATCH(Scan!A745,Inventory!E:E,0)),"")</f>
        <v/>
      </c>
    </row>
    <row r="746" spans="2:13" x14ac:dyDescent="0.3">
      <c r="B746" t="str">
        <f>IF(IFERROR(VLOOKUP(TRIM(A746),Inventory!E:E,1,0),0)=0,"X","_")</f>
        <v>_</v>
      </c>
      <c r="C746" t="str">
        <f>IF(IFERROR(VLOOKUP(TRIM(A746),'Full Inventory'!F:F,1,0),0)=0,"X","_")</f>
        <v>X</v>
      </c>
      <c r="D746" t="str">
        <f t="shared" si="44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F746" t="str">
        <f t="shared" si="45"/>
        <v>_</v>
      </c>
      <c r="K746" t="str">
        <f t="shared" ca="1" si="46"/>
        <v>_XX_</v>
      </c>
      <c r="L746" t="str">
        <f t="shared" ca="1" si="47"/>
        <v/>
      </c>
      <c r="M746" t="str">
        <f>IFERROR(INDEX(Inventory!A:A,MATCH(Scan!A746,Inventory!E:E,0)),"")</f>
        <v/>
      </c>
    </row>
    <row r="747" spans="2:13" x14ac:dyDescent="0.3">
      <c r="B747" t="str">
        <f>IF(IFERROR(VLOOKUP(TRIM(A747),Inventory!E:E,1,0),0)=0,"X","_")</f>
        <v>_</v>
      </c>
      <c r="C747" t="str">
        <f>IF(IFERROR(VLOOKUP(TRIM(A747),'Full Inventory'!F:F,1,0),0)=0,"X","_")</f>
        <v>X</v>
      </c>
      <c r="D747" t="str">
        <f t="shared" si="44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F747" t="str">
        <f t="shared" si="45"/>
        <v>_</v>
      </c>
      <c r="K747" t="str">
        <f t="shared" ca="1" si="46"/>
        <v>_XX_</v>
      </c>
      <c r="L747" t="str">
        <f t="shared" ca="1" si="47"/>
        <v/>
      </c>
      <c r="M747" t="str">
        <f>IFERROR(INDEX(Inventory!A:A,MATCH(Scan!A747,Inventory!E:E,0)),"")</f>
        <v/>
      </c>
    </row>
    <row r="748" spans="2:13" x14ac:dyDescent="0.3">
      <c r="B748" t="str">
        <f>IF(IFERROR(VLOOKUP(TRIM(A748),Inventory!E:E,1,0),0)=0,"X","_")</f>
        <v>_</v>
      </c>
      <c r="C748" t="str">
        <f>IF(IFERROR(VLOOKUP(TRIM(A748),'Full Inventory'!F:F,1,0),0)=0,"X","_")</f>
        <v>X</v>
      </c>
      <c r="D748" t="str">
        <f t="shared" si="44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F748" t="str">
        <f t="shared" si="45"/>
        <v>_</v>
      </c>
      <c r="K748" t="str">
        <f t="shared" ca="1" si="46"/>
        <v>_XX_</v>
      </c>
      <c r="L748" t="str">
        <f t="shared" ca="1" si="47"/>
        <v/>
      </c>
      <c r="M748" t="str">
        <f>IFERROR(INDEX(Inventory!A:A,MATCH(Scan!A748,Inventory!E:E,0)),"")</f>
        <v/>
      </c>
    </row>
    <row r="749" spans="2:13" x14ac:dyDescent="0.3">
      <c r="B749" t="str">
        <f>IF(IFERROR(VLOOKUP(TRIM(A749),Inventory!E:E,1,0),0)=0,"X","_")</f>
        <v>_</v>
      </c>
      <c r="C749" t="str">
        <f>IF(IFERROR(VLOOKUP(TRIM(A749),'Full Inventory'!F:F,1,0),0)=0,"X","_")</f>
        <v>X</v>
      </c>
      <c r="D749" t="str">
        <f t="shared" si="44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F749" t="str">
        <f t="shared" si="45"/>
        <v>_</v>
      </c>
      <c r="K749" t="str">
        <f t="shared" ca="1" si="46"/>
        <v>_XX_</v>
      </c>
      <c r="L749" t="str">
        <f t="shared" ca="1" si="47"/>
        <v/>
      </c>
      <c r="M749" t="str">
        <f>IFERROR(INDEX(Inventory!A:A,MATCH(Scan!A749,Inventory!E:E,0)),"")</f>
        <v/>
      </c>
    </row>
    <row r="750" spans="2:13" x14ac:dyDescent="0.3">
      <c r="B750" t="str">
        <f>IF(IFERROR(VLOOKUP(TRIM(A750),Inventory!E:E,1,0),0)=0,"X","_")</f>
        <v>_</v>
      </c>
      <c r="C750" t="str">
        <f>IF(IFERROR(VLOOKUP(TRIM(A750),'Full Inventory'!F:F,1,0),0)=0,"X","_")</f>
        <v>X</v>
      </c>
      <c r="D750" t="str">
        <f t="shared" si="44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F750" t="str">
        <f t="shared" si="45"/>
        <v>_</v>
      </c>
      <c r="K750" t="str">
        <f t="shared" ca="1" si="46"/>
        <v>_XX_</v>
      </c>
      <c r="L750" t="str">
        <f t="shared" ca="1" si="47"/>
        <v/>
      </c>
      <c r="M750" t="str">
        <f>IFERROR(INDEX(Inventory!A:A,MATCH(Scan!A750,Inventory!E:E,0)),"")</f>
        <v/>
      </c>
    </row>
    <row r="751" spans="2:13" x14ac:dyDescent="0.3">
      <c r="B751" t="str">
        <f>IF(IFERROR(VLOOKUP(TRIM(A751),Inventory!E:E,1,0),0)=0,"X","_")</f>
        <v>_</v>
      </c>
      <c r="C751" t="str">
        <f>IF(IFERROR(VLOOKUP(TRIM(A751),'Full Inventory'!F:F,1,0),0)=0,"X","_")</f>
        <v>X</v>
      </c>
      <c r="D751" t="str">
        <f t="shared" si="44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F751" t="str">
        <f t="shared" si="45"/>
        <v>_</v>
      </c>
      <c r="K751" t="str">
        <f t="shared" ca="1" si="46"/>
        <v>_XX_</v>
      </c>
      <c r="L751" t="str">
        <f t="shared" ca="1" si="47"/>
        <v/>
      </c>
      <c r="M751" t="str">
        <f>IFERROR(INDEX(Inventory!A:A,MATCH(Scan!A751,Inventory!E:E,0)),"")</f>
        <v/>
      </c>
    </row>
    <row r="752" spans="2:13" x14ac:dyDescent="0.3">
      <c r="B752" t="str">
        <f>IF(IFERROR(VLOOKUP(TRIM(A752),Inventory!E:E,1,0),0)=0,"X","_")</f>
        <v>_</v>
      </c>
      <c r="C752" t="str">
        <f>IF(IFERROR(VLOOKUP(TRIM(A752),'Full Inventory'!F:F,1,0),0)=0,"X","_")</f>
        <v>X</v>
      </c>
      <c r="D752" t="str">
        <f t="shared" si="44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F752" t="str">
        <f t="shared" si="45"/>
        <v>_</v>
      </c>
      <c r="K752" t="str">
        <f t="shared" ca="1" si="46"/>
        <v>_XX_</v>
      </c>
      <c r="L752" t="str">
        <f t="shared" ca="1" si="47"/>
        <v/>
      </c>
      <c r="M752" t="str">
        <f>IFERROR(INDEX(Inventory!A:A,MATCH(Scan!A752,Inventory!E:E,0)),"")</f>
        <v/>
      </c>
    </row>
    <row r="753" spans="2:13" x14ac:dyDescent="0.3">
      <c r="B753" t="str">
        <f>IF(IFERROR(VLOOKUP(TRIM(A753),Inventory!E:E,1,0),0)=0,"X","_")</f>
        <v>_</v>
      </c>
      <c r="C753" t="str">
        <f>IF(IFERROR(VLOOKUP(TRIM(A753),'Full Inventory'!F:F,1,0),0)=0,"X","_")</f>
        <v>X</v>
      </c>
      <c r="D753" t="str">
        <f t="shared" si="44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F753" t="str">
        <f t="shared" si="45"/>
        <v>_</v>
      </c>
      <c r="K753" t="str">
        <f t="shared" ca="1" si="46"/>
        <v>_XX_</v>
      </c>
      <c r="L753" t="str">
        <f t="shared" ca="1" si="47"/>
        <v/>
      </c>
      <c r="M753" t="str">
        <f>IFERROR(INDEX(Inventory!A:A,MATCH(Scan!A753,Inventory!E:E,0)),"")</f>
        <v/>
      </c>
    </row>
    <row r="754" spans="2:13" x14ac:dyDescent="0.3">
      <c r="B754" t="str">
        <f>IF(IFERROR(VLOOKUP(TRIM(A754),Inventory!E:E,1,0),0)=0,"X","_")</f>
        <v>_</v>
      </c>
      <c r="C754" t="str">
        <f>IF(IFERROR(VLOOKUP(TRIM(A754),'Full Inventory'!F:F,1,0),0)=0,"X","_")</f>
        <v>X</v>
      </c>
      <c r="D754" t="str">
        <f t="shared" si="44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F754" t="str">
        <f t="shared" si="45"/>
        <v>_</v>
      </c>
      <c r="K754" t="str">
        <f t="shared" ca="1" si="46"/>
        <v>_XX_</v>
      </c>
      <c r="L754" t="str">
        <f t="shared" ca="1" si="47"/>
        <v/>
      </c>
      <c r="M754" t="str">
        <f>IFERROR(INDEX(Inventory!A:A,MATCH(Scan!A754,Inventory!E:E,0)),"")</f>
        <v/>
      </c>
    </row>
    <row r="755" spans="2:13" x14ac:dyDescent="0.3">
      <c r="B755" t="str">
        <f>IF(IFERROR(VLOOKUP(TRIM(A755),Inventory!E:E,1,0),0)=0,"X","_")</f>
        <v>_</v>
      </c>
      <c r="C755" t="str">
        <f>IF(IFERROR(VLOOKUP(TRIM(A755),'Full Inventory'!F:F,1,0),0)=0,"X","_")</f>
        <v>X</v>
      </c>
      <c r="D755" t="str">
        <f t="shared" si="44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F755" t="str">
        <f t="shared" si="45"/>
        <v>_</v>
      </c>
      <c r="K755" t="str">
        <f t="shared" ca="1" si="46"/>
        <v>_XX_</v>
      </c>
      <c r="L755" t="str">
        <f t="shared" ca="1" si="47"/>
        <v/>
      </c>
      <c r="M755" t="str">
        <f>IFERROR(INDEX(Inventory!A:A,MATCH(Scan!A755,Inventory!E:E,0)),"")</f>
        <v/>
      </c>
    </row>
    <row r="756" spans="2:13" x14ac:dyDescent="0.3">
      <c r="B756" t="str">
        <f>IF(IFERROR(VLOOKUP(TRIM(A756),Inventory!E:E,1,0),0)=0,"X","_")</f>
        <v>_</v>
      </c>
      <c r="C756" t="str">
        <f>IF(IFERROR(VLOOKUP(TRIM(A756),'Full Inventory'!F:F,1,0),0)=0,"X","_")</f>
        <v>X</v>
      </c>
      <c r="D756" t="str">
        <f t="shared" si="44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F756" t="str">
        <f t="shared" si="45"/>
        <v>_</v>
      </c>
      <c r="K756" t="str">
        <f t="shared" ca="1" si="46"/>
        <v>_XX_</v>
      </c>
      <c r="L756" t="str">
        <f t="shared" ca="1" si="47"/>
        <v/>
      </c>
      <c r="M756" t="str">
        <f>IFERROR(INDEX(Inventory!A:A,MATCH(Scan!A756,Inventory!E:E,0)),"")</f>
        <v/>
      </c>
    </row>
    <row r="757" spans="2:13" x14ac:dyDescent="0.3">
      <c r="B757" t="str">
        <f>IF(IFERROR(VLOOKUP(TRIM(A757),Inventory!E:E,1,0),0)=0,"X","_")</f>
        <v>_</v>
      </c>
      <c r="C757" t="str">
        <f>IF(IFERROR(VLOOKUP(TRIM(A757),'Full Inventory'!F:F,1,0),0)=0,"X","_")</f>
        <v>X</v>
      </c>
      <c r="D757" t="str">
        <f t="shared" si="44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F757" t="str">
        <f t="shared" si="45"/>
        <v>_</v>
      </c>
      <c r="K757" t="str">
        <f t="shared" ca="1" si="46"/>
        <v>_XX_</v>
      </c>
      <c r="L757" t="str">
        <f t="shared" ca="1" si="47"/>
        <v/>
      </c>
      <c r="M757" t="str">
        <f>IFERROR(INDEX(Inventory!A:A,MATCH(Scan!A757,Inventory!E:E,0)),"")</f>
        <v/>
      </c>
    </row>
    <row r="758" spans="2:13" x14ac:dyDescent="0.3">
      <c r="B758" t="str">
        <f>IF(IFERROR(VLOOKUP(TRIM(A758),Inventory!E:E,1,0),0)=0,"X","_")</f>
        <v>_</v>
      </c>
      <c r="C758" t="str">
        <f>IF(IFERROR(VLOOKUP(TRIM(A758),'Full Inventory'!F:F,1,0),0)=0,"X","_")</f>
        <v>X</v>
      </c>
      <c r="D758" t="str">
        <f t="shared" si="44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F758" t="str">
        <f t="shared" si="45"/>
        <v>_</v>
      </c>
      <c r="K758" t="str">
        <f t="shared" ca="1" si="46"/>
        <v>_XX_</v>
      </c>
      <c r="L758" t="str">
        <f t="shared" ca="1" si="47"/>
        <v/>
      </c>
      <c r="M758" t="str">
        <f>IFERROR(INDEX(Inventory!A:A,MATCH(Scan!A758,Inventory!E:E,0)),"")</f>
        <v/>
      </c>
    </row>
    <row r="759" spans="2:13" x14ac:dyDescent="0.3">
      <c r="B759" t="str">
        <f>IF(IFERROR(VLOOKUP(TRIM(A759),Inventory!E:E,1,0),0)=0,"X","_")</f>
        <v>_</v>
      </c>
      <c r="C759" t="str">
        <f>IF(IFERROR(VLOOKUP(TRIM(A759),'Full Inventory'!F:F,1,0),0)=0,"X","_")</f>
        <v>X</v>
      </c>
      <c r="D759" t="str">
        <f t="shared" si="44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F759" t="str">
        <f t="shared" si="45"/>
        <v>_</v>
      </c>
      <c r="K759" t="str">
        <f t="shared" ca="1" si="46"/>
        <v>_XX_</v>
      </c>
      <c r="L759" t="str">
        <f t="shared" ca="1" si="47"/>
        <v/>
      </c>
      <c r="M759" t="str">
        <f>IFERROR(INDEX(Inventory!A:A,MATCH(Scan!A759,Inventory!E:E,0)),"")</f>
        <v/>
      </c>
    </row>
    <row r="760" spans="2:13" x14ac:dyDescent="0.3">
      <c r="B760" t="str">
        <f>IF(IFERROR(VLOOKUP(TRIM(A760),Inventory!E:E,1,0),0)=0,"X","_")</f>
        <v>_</v>
      </c>
      <c r="C760" t="str">
        <f>IF(IFERROR(VLOOKUP(TRIM(A760),'Full Inventory'!F:F,1,0),0)=0,"X","_")</f>
        <v>X</v>
      </c>
      <c r="D760" t="str">
        <f t="shared" si="44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F760" t="str">
        <f t="shared" si="45"/>
        <v>_</v>
      </c>
      <c r="K760" t="str">
        <f t="shared" ca="1" si="46"/>
        <v>_XX_</v>
      </c>
      <c r="L760" t="str">
        <f t="shared" ca="1" si="47"/>
        <v/>
      </c>
      <c r="M760" t="str">
        <f>IFERROR(INDEX(Inventory!A:A,MATCH(Scan!A760,Inventory!E:E,0)),"")</f>
        <v/>
      </c>
    </row>
    <row r="761" spans="2:13" x14ac:dyDescent="0.3">
      <c r="B761" t="str">
        <f>IF(IFERROR(VLOOKUP(TRIM(A761),Inventory!E:E,1,0),0)=0,"X","_")</f>
        <v>_</v>
      </c>
      <c r="C761" t="str">
        <f>IF(IFERROR(VLOOKUP(TRIM(A761),'Full Inventory'!F:F,1,0),0)=0,"X","_")</f>
        <v>X</v>
      </c>
      <c r="D761" t="str">
        <f t="shared" si="44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F761" t="str">
        <f t="shared" si="45"/>
        <v>_</v>
      </c>
      <c r="K761" t="str">
        <f t="shared" ca="1" si="46"/>
        <v>_XX_</v>
      </c>
      <c r="L761" t="str">
        <f t="shared" ca="1" si="47"/>
        <v/>
      </c>
      <c r="M761" t="str">
        <f>IFERROR(INDEX(Inventory!A:A,MATCH(Scan!A761,Inventory!E:E,0)),"")</f>
        <v/>
      </c>
    </row>
    <row r="762" spans="2:13" x14ac:dyDescent="0.3">
      <c r="B762" t="str">
        <f>IF(IFERROR(VLOOKUP(TRIM(A762),Inventory!E:E,1,0),0)=0,"X","_")</f>
        <v>_</v>
      </c>
      <c r="C762" t="str">
        <f>IF(IFERROR(VLOOKUP(TRIM(A762),'Full Inventory'!F:F,1,0),0)=0,"X","_")</f>
        <v>X</v>
      </c>
      <c r="D762" t="str">
        <f t="shared" si="44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F762" t="str">
        <f t="shared" si="45"/>
        <v>_</v>
      </c>
      <c r="K762" t="str">
        <f t="shared" ca="1" si="46"/>
        <v>_XX_</v>
      </c>
      <c r="L762" t="str">
        <f t="shared" ca="1" si="47"/>
        <v/>
      </c>
      <c r="M762" t="str">
        <f>IFERROR(INDEX(Inventory!A:A,MATCH(Scan!A762,Inventory!E:E,0)),"")</f>
        <v/>
      </c>
    </row>
    <row r="763" spans="2:13" x14ac:dyDescent="0.3">
      <c r="B763" t="str">
        <f>IF(IFERROR(VLOOKUP(TRIM(A763),Inventory!E:E,1,0),0)=0,"X","_")</f>
        <v>_</v>
      </c>
      <c r="C763" t="str">
        <f>IF(IFERROR(VLOOKUP(TRIM(A763),'Full Inventory'!F:F,1,0),0)=0,"X","_")</f>
        <v>X</v>
      </c>
      <c r="D763" t="str">
        <f t="shared" si="44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F763" t="str">
        <f t="shared" si="45"/>
        <v>_</v>
      </c>
      <c r="K763" t="str">
        <f t="shared" ca="1" si="46"/>
        <v>_XX_</v>
      </c>
      <c r="L763" t="str">
        <f t="shared" ca="1" si="47"/>
        <v/>
      </c>
      <c r="M763" t="str">
        <f>IFERROR(INDEX(Inventory!A:A,MATCH(Scan!A763,Inventory!E:E,0)),"")</f>
        <v/>
      </c>
    </row>
    <row r="764" spans="2:13" x14ac:dyDescent="0.3">
      <c r="B764" t="str">
        <f>IF(IFERROR(VLOOKUP(TRIM(A764),Inventory!E:E,1,0),0)=0,"X","_")</f>
        <v>_</v>
      </c>
      <c r="C764" t="str">
        <f>IF(IFERROR(VLOOKUP(TRIM(A764),'Full Inventory'!F:F,1,0),0)=0,"X","_")</f>
        <v>X</v>
      </c>
      <c r="D764" t="str">
        <f t="shared" si="44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F764" t="str">
        <f t="shared" si="45"/>
        <v>_</v>
      </c>
      <c r="K764" t="str">
        <f t="shared" ca="1" si="46"/>
        <v>_XX_</v>
      </c>
      <c r="L764" t="str">
        <f t="shared" ca="1" si="47"/>
        <v/>
      </c>
      <c r="M764" t="str">
        <f>IFERROR(INDEX(Inventory!A:A,MATCH(Scan!A764,Inventory!E:E,0)),"")</f>
        <v/>
      </c>
    </row>
    <row r="765" spans="2:13" x14ac:dyDescent="0.3">
      <c r="B765" t="str">
        <f>IF(IFERROR(VLOOKUP(TRIM(A765),Inventory!E:E,1,0),0)=0,"X","_")</f>
        <v>_</v>
      </c>
      <c r="C765" t="str">
        <f>IF(IFERROR(VLOOKUP(TRIM(A765),'Full Inventory'!F:F,1,0),0)=0,"X","_")</f>
        <v>X</v>
      </c>
      <c r="D765" t="str">
        <f t="shared" si="44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F765" t="str">
        <f t="shared" si="45"/>
        <v>_</v>
      </c>
      <c r="K765" t="str">
        <f t="shared" ca="1" si="46"/>
        <v>_XX_</v>
      </c>
      <c r="L765" t="str">
        <f t="shared" ca="1" si="47"/>
        <v/>
      </c>
      <c r="M765" t="str">
        <f>IFERROR(INDEX(Inventory!A:A,MATCH(Scan!A765,Inventory!E:E,0)),"")</f>
        <v/>
      </c>
    </row>
    <row r="766" spans="2:13" x14ac:dyDescent="0.3">
      <c r="B766" t="str">
        <f>IF(IFERROR(VLOOKUP(TRIM(A766),Inventory!E:E,1,0),0)=0,"X","_")</f>
        <v>_</v>
      </c>
      <c r="C766" t="str">
        <f>IF(IFERROR(VLOOKUP(TRIM(A766),'Full Inventory'!F:F,1,0),0)=0,"X","_")</f>
        <v>X</v>
      </c>
      <c r="D766" t="str">
        <f t="shared" si="44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F766" t="str">
        <f t="shared" si="45"/>
        <v>_</v>
      </c>
      <c r="K766" t="str">
        <f t="shared" ca="1" si="46"/>
        <v>_XX_</v>
      </c>
      <c r="L766" t="str">
        <f t="shared" ca="1" si="47"/>
        <v/>
      </c>
      <c r="M766" t="str">
        <f>IFERROR(INDEX(Inventory!A:A,MATCH(Scan!A766,Inventory!E:E,0)),"")</f>
        <v/>
      </c>
    </row>
    <row r="767" spans="2:13" x14ac:dyDescent="0.3">
      <c r="B767" t="str">
        <f>IF(IFERROR(VLOOKUP(TRIM(A767),Inventory!E:E,1,0),0)=0,"X","_")</f>
        <v>_</v>
      </c>
      <c r="C767" t="str">
        <f>IF(IFERROR(VLOOKUP(TRIM(A767),'Full Inventory'!F:F,1,0),0)=0,"X","_")</f>
        <v>X</v>
      </c>
      <c r="D767" t="str">
        <f t="shared" si="44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F767" t="str">
        <f t="shared" si="45"/>
        <v>_</v>
      </c>
      <c r="K767" t="str">
        <f t="shared" ca="1" si="46"/>
        <v>_XX_</v>
      </c>
      <c r="L767" t="str">
        <f t="shared" ca="1" si="47"/>
        <v/>
      </c>
      <c r="M767" t="str">
        <f>IFERROR(INDEX(Inventory!A:A,MATCH(Scan!A767,Inventory!E:E,0)),"")</f>
        <v/>
      </c>
    </row>
    <row r="768" spans="2:13" x14ac:dyDescent="0.3">
      <c r="B768" t="str">
        <f>IF(IFERROR(VLOOKUP(TRIM(A768),Inventory!E:E,1,0),0)=0,"X","_")</f>
        <v>_</v>
      </c>
      <c r="C768" t="str">
        <f>IF(IFERROR(VLOOKUP(TRIM(A768),'Full Inventory'!F:F,1,0),0)=0,"X","_")</f>
        <v>X</v>
      </c>
      <c r="D768" t="str">
        <f t="shared" si="44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F768" t="str">
        <f t="shared" si="45"/>
        <v>_</v>
      </c>
      <c r="K768" t="str">
        <f t="shared" ca="1" si="46"/>
        <v>_XX_</v>
      </c>
      <c r="L768" t="str">
        <f t="shared" ca="1" si="47"/>
        <v/>
      </c>
      <c r="M768" t="str">
        <f>IFERROR(INDEX(Inventory!A:A,MATCH(Scan!A768,Inventory!E:E,0)),"")</f>
        <v/>
      </c>
    </row>
    <row r="769" spans="2:13" x14ac:dyDescent="0.3">
      <c r="B769" t="str">
        <f>IF(IFERROR(VLOOKUP(TRIM(A769),Inventory!E:E,1,0),0)=0,"X","_")</f>
        <v>_</v>
      </c>
      <c r="C769" t="str">
        <f>IF(IFERROR(VLOOKUP(TRIM(A769),'Full Inventory'!F:F,1,0),0)=0,"X","_")</f>
        <v>X</v>
      </c>
      <c r="D769" t="str">
        <f t="shared" si="44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F769" t="str">
        <f t="shared" si="45"/>
        <v>_</v>
      </c>
      <c r="K769" t="str">
        <f t="shared" ca="1" si="46"/>
        <v>_XX_</v>
      </c>
      <c r="L769" t="str">
        <f t="shared" ca="1" si="47"/>
        <v/>
      </c>
      <c r="M769" t="str">
        <f>IFERROR(INDEX(Inventory!A:A,MATCH(Scan!A769,Inventory!E:E,0)),"")</f>
        <v/>
      </c>
    </row>
    <row r="770" spans="2:13" x14ac:dyDescent="0.3">
      <c r="B770" t="str">
        <f>IF(IFERROR(VLOOKUP(TRIM(A770),Inventory!E:E,1,0),0)=0,"X","_")</f>
        <v>_</v>
      </c>
      <c r="C770" t="str">
        <f>IF(IFERROR(VLOOKUP(TRIM(A770),'Full Inventory'!F:F,1,0),0)=0,"X","_")</f>
        <v>X</v>
      </c>
      <c r="D770" t="str">
        <f t="shared" ref="D770:D833" si="48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F770" t="str">
        <f t="shared" si="45"/>
        <v>_</v>
      </c>
      <c r="K770" t="str">
        <f t="shared" ca="1" si="46"/>
        <v>_XX_</v>
      </c>
      <c r="L770" t="str">
        <f t="shared" ca="1" si="47"/>
        <v/>
      </c>
      <c r="M770" t="str">
        <f>IFERROR(INDEX(Inventory!A:A,MATCH(Scan!A770,Inventory!E:E,0)),"")</f>
        <v/>
      </c>
    </row>
    <row r="771" spans="2:13" x14ac:dyDescent="0.3">
      <c r="B771" t="str">
        <f>IF(IFERROR(VLOOKUP(TRIM(A771),Inventory!E:E,1,0),0)=0,"X","_")</f>
        <v>_</v>
      </c>
      <c r="C771" t="str">
        <f>IF(IFERROR(VLOOKUP(TRIM(A771),'Full Inventory'!F:F,1,0),0)=0,"X","_")</f>
        <v>X</v>
      </c>
      <c r="D771" t="str">
        <f t="shared" si="48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F771" t="str">
        <f t="shared" ref="F771:F834" si="49">IF(IFERROR(SEARCH("ö",A771),0)&gt;0,"X","_")</f>
        <v>_</v>
      </c>
      <c r="K771" t="str">
        <f t="shared" ref="K771:K834" ca="1" si="50">B771&amp;C771&amp;D771&amp;E771</f>
        <v>_XX_</v>
      </c>
      <c r="L771" t="str">
        <f t="shared" ref="L771:L834" ca="1" si="51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3">
      <c r="B772" t="str">
        <f>IF(IFERROR(VLOOKUP(TRIM(A772),Inventory!E:E,1,0),0)=0,"X","_")</f>
        <v>_</v>
      </c>
      <c r="C772" t="str">
        <f>IF(IFERROR(VLOOKUP(TRIM(A772),'Full Inventory'!F:F,1,0),0)=0,"X","_")</f>
        <v>X</v>
      </c>
      <c r="D772" t="str">
        <f t="shared" si="48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F772" t="str">
        <f t="shared" si="49"/>
        <v>_</v>
      </c>
      <c r="K772" t="str">
        <f t="shared" ca="1" si="50"/>
        <v>_XX_</v>
      </c>
      <c r="L772" t="str">
        <f t="shared" ca="1" si="51"/>
        <v/>
      </c>
      <c r="M772" t="str">
        <f>IFERROR(INDEX(Inventory!A:A,MATCH(Scan!A772,Inventory!E:E,0)),"")</f>
        <v/>
      </c>
    </row>
    <row r="773" spans="2:13" x14ac:dyDescent="0.3">
      <c r="B773" t="str">
        <f>IF(IFERROR(VLOOKUP(TRIM(A773),Inventory!E:E,1,0),0)=0,"X","_")</f>
        <v>_</v>
      </c>
      <c r="C773" t="str">
        <f>IF(IFERROR(VLOOKUP(TRIM(A773),'Full Inventory'!F:F,1,0),0)=0,"X","_")</f>
        <v>X</v>
      </c>
      <c r="D773" t="str">
        <f t="shared" si="48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F773" t="str">
        <f t="shared" si="49"/>
        <v>_</v>
      </c>
      <c r="K773" t="str">
        <f t="shared" ca="1" si="50"/>
        <v>_XX_</v>
      </c>
      <c r="L773" t="str">
        <f t="shared" ca="1" si="51"/>
        <v/>
      </c>
      <c r="M773" t="str">
        <f>IFERROR(INDEX(Inventory!A:A,MATCH(Scan!A773,Inventory!E:E,0)),"")</f>
        <v/>
      </c>
    </row>
    <row r="774" spans="2:13" x14ac:dyDescent="0.3">
      <c r="B774" t="str">
        <f>IF(IFERROR(VLOOKUP(TRIM(A774),Inventory!E:E,1,0),0)=0,"X","_")</f>
        <v>_</v>
      </c>
      <c r="C774" t="str">
        <f>IF(IFERROR(VLOOKUP(TRIM(A774),'Full Inventory'!F:F,1,0),0)=0,"X","_")</f>
        <v>X</v>
      </c>
      <c r="D774" t="str">
        <f t="shared" si="48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F774" t="str">
        <f t="shared" si="49"/>
        <v>_</v>
      </c>
      <c r="K774" t="str">
        <f t="shared" ca="1" si="50"/>
        <v>_XX_</v>
      </c>
      <c r="L774" t="str">
        <f t="shared" ca="1" si="51"/>
        <v/>
      </c>
      <c r="M774" t="str">
        <f>IFERROR(INDEX(Inventory!A:A,MATCH(Scan!A774,Inventory!E:E,0)),"")</f>
        <v/>
      </c>
    </row>
    <row r="775" spans="2:13" x14ac:dyDescent="0.3">
      <c r="B775" t="str">
        <f>IF(IFERROR(VLOOKUP(TRIM(A775),Inventory!E:E,1,0),0)=0,"X","_")</f>
        <v>_</v>
      </c>
      <c r="C775" t="str">
        <f>IF(IFERROR(VLOOKUP(TRIM(A775),'Full Inventory'!F:F,1,0),0)=0,"X","_")</f>
        <v>X</v>
      </c>
      <c r="D775" t="str">
        <f t="shared" si="48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F775" t="str">
        <f t="shared" si="49"/>
        <v>_</v>
      </c>
      <c r="K775" t="str">
        <f t="shared" ca="1" si="50"/>
        <v>_XX_</v>
      </c>
      <c r="L775" t="str">
        <f t="shared" ca="1" si="51"/>
        <v/>
      </c>
      <c r="M775" t="str">
        <f>IFERROR(INDEX(Inventory!A:A,MATCH(Scan!A775,Inventory!E:E,0)),"")</f>
        <v/>
      </c>
    </row>
    <row r="776" spans="2:13" x14ac:dyDescent="0.3">
      <c r="B776" t="str">
        <f>IF(IFERROR(VLOOKUP(TRIM(A776),Inventory!E:E,1,0),0)=0,"X","_")</f>
        <v>_</v>
      </c>
      <c r="C776" t="str">
        <f>IF(IFERROR(VLOOKUP(TRIM(A776),'Full Inventory'!F:F,1,0),0)=0,"X","_")</f>
        <v>X</v>
      </c>
      <c r="D776" t="str">
        <f t="shared" si="48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F776" t="str">
        <f t="shared" si="49"/>
        <v>_</v>
      </c>
      <c r="K776" t="str">
        <f t="shared" ca="1" si="50"/>
        <v>_XX_</v>
      </c>
      <c r="L776" t="str">
        <f t="shared" ca="1" si="51"/>
        <v/>
      </c>
      <c r="M776" t="str">
        <f>IFERROR(INDEX(Inventory!A:A,MATCH(Scan!A776,Inventory!E:E,0)),"")</f>
        <v/>
      </c>
    </row>
    <row r="777" spans="2:13" x14ac:dyDescent="0.3">
      <c r="B777" t="str">
        <f>IF(IFERROR(VLOOKUP(TRIM(A777),Inventory!E:E,1,0),0)=0,"X","_")</f>
        <v>_</v>
      </c>
      <c r="C777" t="str">
        <f>IF(IFERROR(VLOOKUP(TRIM(A777),'Full Inventory'!F:F,1,0),0)=0,"X","_")</f>
        <v>X</v>
      </c>
      <c r="D777" t="str">
        <f t="shared" si="48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F777" t="str">
        <f t="shared" si="49"/>
        <v>_</v>
      </c>
      <c r="K777" t="str">
        <f t="shared" ca="1" si="50"/>
        <v>_XX_</v>
      </c>
      <c r="L777" t="str">
        <f t="shared" ca="1" si="51"/>
        <v/>
      </c>
      <c r="M777" t="str">
        <f>IFERROR(INDEX(Inventory!A:A,MATCH(Scan!A777,Inventory!E:E,0)),"")</f>
        <v/>
      </c>
    </row>
    <row r="778" spans="2:13" x14ac:dyDescent="0.3">
      <c r="B778" t="str">
        <f>IF(IFERROR(VLOOKUP(TRIM(A778),Inventory!E:E,1,0),0)=0,"X","_")</f>
        <v>_</v>
      </c>
      <c r="C778" t="str">
        <f>IF(IFERROR(VLOOKUP(TRIM(A778),'Full Inventory'!F:F,1,0),0)=0,"X","_")</f>
        <v>X</v>
      </c>
      <c r="D778" t="str">
        <f t="shared" si="48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F778" t="str">
        <f t="shared" si="49"/>
        <v>_</v>
      </c>
      <c r="K778" t="str">
        <f t="shared" ca="1" si="50"/>
        <v>_XX_</v>
      </c>
      <c r="L778" t="str">
        <f t="shared" ca="1" si="51"/>
        <v/>
      </c>
      <c r="M778" t="str">
        <f>IFERROR(INDEX(Inventory!A:A,MATCH(Scan!A778,Inventory!E:E,0)),"")</f>
        <v/>
      </c>
    </row>
    <row r="779" spans="2:13" x14ac:dyDescent="0.3">
      <c r="B779" t="str">
        <f>IF(IFERROR(VLOOKUP(TRIM(A779),Inventory!E:E,1,0),0)=0,"X","_")</f>
        <v>_</v>
      </c>
      <c r="C779" t="str">
        <f>IF(IFERROR(VLOOKUP(TRIM(A779),'Full Inventory'!F:F,1,0),0)=0,"X","_")</f>
        <v>X</v>
      </c>
      <c r="D779" t="str">
        <f t="shared" si="48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F779" t="str">
        <f t="shared" si="49"/>
        <v>_</v>
      </c>
      <c r="K779" t="str">
        <f t="shared" ca="1" si="50"/>
        <v>_XX_</v>
      </c>
      <c r="L779" t="str">
        <f t="shared" ca="1" si="51"/>
        <v/>
      </c>
      <c r="M779" t="str">
        <f>IFERROR(INDEX(Inventory!A:A,MATCH(Scan!A779,Inventory!E:E,0)),"")</f>
        <v/>
      </c>
    </row>
    <row r="780" spans="2:13" x14ac:dyDescent="0.3">
      <c r="B780" t="str">
        <f>IF(IFERROR(VLOOKUP(TRIM(A780),Inventory!E:E,1,0),0)=0,"X","_")</f>
        <v>_</v>
      </c>
      <c r="C780" t="str">
        <f>IF(IFERROR(VLOOKUP(TRIM(A780),'Full Inventory'!F:F,1,0),0)=0,"X","_")</f>
        <v>X</v>
      </c>
      <c r="D780" t="str">
        <f t="shared" si="48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F780" t="str">
        <f t="shared" si="49"/>
        <v>_</v>
      </c>
      <c r="K780" t="str">
        <f t="shared" ca="1" si="50"/>
        <v>_XX_</v>
      </c>
      <c r="L780" t="str">
        <f t="shared" ca="1" si="51"/>
        <v/>
      </c>
      <c r="M780" t="str">
        <f>IFERROR(INDEX(Inventory!A:A,MATCH(Scan!A780,Inventory!E:E,0)),"")</f>
        <v/>
      </c>
    </row>
    <row r="781" spans="2:13" x14ac:dyDescent="0.3">
      <c r="B781" t="str">
        <f>IF(IFERROR(VLOOKUP(TRIM(A781),Inventory!E:E,1,0),0)=0,"X","_")</f>
        <v>_</v>
      </c>
      <c r="C781" t="str">
        <f>IF(IFERROR(VLOOKUP(TRIM(A781),'Full Inventory'!F:F,1,0),0)=0,"X","_")</f>
        <v>X</v>
      </c>
      <c r="D781" t="str">
        <f t="shared" si="48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F781" t="str">
        <f t="shared" si="49"/>
        <v>_</v>
      </c>
      <c r="K781" t="str">
        <f t="shared" ca="1" si="50"/>
        <v>_XX_</v>
      </c>
      <c r="L781" t="str">
        <f t="shared" ca="1" si="51"/>
        <v/>
      </c>
      <c r="M781" t="str">
        <f>IFERROR(INDEX(Inventory!A:A,MATCH(Scan!A781,Inventory!E:E,0)),"")</f>
        <v/>
      </c>
    </row>
    <row r="782" spans="2:13" x14ac:dyDescent="0.3">
      <c r="B782" t="str">
        <f>IF(IFERROR(VLOOKUP(TRIM(A782),Inventory!E:E,1,0),0)=0,"X","_")</f>
        <v>_</v>
      </c>
      <c r="C782" t="str">
        <f>IF(IFERROR(VLOOKUP(TRIM(A782),'Full Inventory'!F:F,1,0),0)=0,"X","_")</f>
        <v>X</v>
      </c>
      <c r="D782" t="str">
        <f t="shared" si="48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F782" t="str">
        <f t="shared" si="49"/>
        <v>_</v>
      </c>
      <c r="K782" t="str">
        <f t="shared" ca="1" si="50"/>
        <v>_XX_</v>
      </c>
      <c r="L782" t="str">
        <f t="shared" ca="1" si="51"/>
        <v/>
      </c>
      <c r="M782" t="str">
        <f>IFERROR(INDEX(Inventory!A:A,MATCH(Scan!A782,Inventory!E:E,0)),"")</f>
        <v/>
      </c>
    </row>
    <row r="783" spans="2:13" x14ac:dyDescent="0.3">
      <c r="B783" t="str">
        <f>IF(IFERROR(VLOOKUP(TRIM(A783),Inventory!E:E,1,0),0)=0,"X","_")</f>
        <v>_</v>
      </c>
      <c r="C783" t="str">
        <f>IF(IFERROR(VLOOKUP(TRIM(A783),'Full Inventory'!F:F,1,0),0)=0,"X","_")</f>
        <v>X</v>
      </c>
      <c r="D783" t="str">
        <f t="shared" si="48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F783" t="str">
        <f t="shared" si="49"/>
        <v>_</v>
      </c>
      <c r="K783" t="str">
        <f t="shared" ca="1" si="50"/>
        <v>_XX_</v>
      </c>
      <c r="L783" t="str">
        <f t="shared" ca="1" si="51"/>
        <v/>
      </c>
      <c r="M783" t="str">
        <f>IFERROR(INDEX(Inventory!A:A,MATCH(Scan!A783,Inventory!E:E,0)),"")</f>
        <v/>
      </c>
    </row>
    <row r="784" spans="2:13" x14ac:dyDescent="0.3">
      <c r="B784" t="str">
        <f>IF(IFERROR(VLOOKUP(TRIM(A784),Inventory!E:E,1,0),0)=0,"X","_")</f>
        <v>_</v>
      </c>
      <c r="C784" t="str">
        <f>IF(IFERROR(VLOOKUP(TRIM(A784),'Full Inventory'!F:F,1,0),0)=0,"X","_")</f>
        <v>X</v>
      </c>
      <c r="D784" t="str">
        <f t="shared" si="48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F784" t="str">
        <f t="shared" si="49"/>
        <v>_</v>
      </c>
      <c r="K784" t="str">
        <f t="shared" ca="1" si="50"/>
        <v>_XX_</v>
      </c>
      <c r="L784" t="str">
        <f t="shared" ca="1" si="51"/>
        <v/>
      </c>
      <c r="M784" t="str">
        <f>IFERROR(INDEX(Inventory!A:A,MATCH(Scan!A784,Inventory!E:E,0)),"")</f>
        <v/>
      </c>
    </row>
    <row r="785" spans="2:13" x14ac:dyDescent="0.3">
      <c r="B785" t="str">
        <f>IF(IFERROR(VLOOKUP(TRIM(A785),Inventory!E:E,1,0),0)=0,"X","_")</f>
        <v>_</v>
      </c>
      <c r="C785" t="str">
        <f>IF(IFERROR(VLOOKUP(TRIM(A785),'Full Inventory'!F:F,1,0),0)=0,"X","_")</f>
        <v>X</v>
      </c>
      <c r="D785" t="str">
        <f t="shared" si="48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F785" t="str">
        <f t="shared" si="49"/>
        <v>_</v>
      </c>
      <c r="K785" t="str">
        <f t="shared" ca="1" si="50"/>
        <v>_XX_</v>
      </c>
      <c r="L785" t="str">
        <f t="shared" ca="1" si="51"/>
        <v/>
      </c>
      <c r="M785" t="str">
        <f>IFERROR(INDEX(Inventory!A:A,MATCH(Scan!A785,Inventory!E:E,0)),"")</f>
        <v/>
      </c>
    </row>
    <row r="786" spans="2:13" x14ac:dyDescent="0.3">
      <c r="B786" t="str">
        <f>IF(IFERROR(VLOOKUP(TRIM(A786),Inventory!E:E,1,0),0)=0,"X","_")</f>
        <v>_</v>
      </c>
      <c r="C786" t="str">
        <f>IF(IFERROR(VLOOKUP(TRIM(A786),'Full Inventory'!F:F,1,0),0)=0,"X","_")</f>
        <v>X</v>
      </c>
      <c r="D786" t="str">
        <f t="shared" si="48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F786" t="str">
        <f t="shared" si="49"/>
        <v>_</v>
      </c>
      <c r="K786" t="str">
        <f t="shared" ca="1" si="50"/>
        <v>_XX_</v>
      </c>
      <c r="L786" t="str">
        <f t="shared" ca="1" si="51"/>
        <v/>
      </c>
      <c r="M786" t="str">
        <f>IFERROR(INDEX(Inventory!A:A,MATCH(Scan!A786,Inventory!E:E,0)),"")</f>
        <v/>
      </c>
    </row>
    <row r="787" spans="2:13" x14ac:dyDescent="0.3">
      <c r="B787" t="str">
        <f>IF(IFERROR(VLOOKUP(TRIM(A787),Inventory!E:E,1,0),0)=0,"X","_")</f>
        <v>_</v>
      </c>
      <c r="C787" t="str">
        <f>IF(IFERROR(VLOOKUP(TRIM(A787),'Full Inventory'!F:F,1,0),0)=0,"X","_")</f>
        <v>X</v>
      </c>
      <c r="D787" t="str">
        <f t="shared" si="48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F787" t="str">
        <f t="shared" si="49"/>
        <v>_</v>
      </c>
      <c r="K787" t="str">
        <f t="shared" ca="1" si="50"/>
        <v>_XX_</v>
      </c>
      <c r="L787" t="str">
        <f t="shared" ca="1" si="51"/>
        <v/>
      </c>
      <c r="M787" t="str">
        <f>IFERROR(INDEX(Inventory!A:A,MATCH(Scan!A787,Inventory!E:E,0)),"")</f>
        <v/>
      </c>
    </row>
    <row r="788" spans="2:13" x14ac:dyDescent="0.3">
      <c r="B788" t="str">
        <f>IF(IFERROR(VLOOKUP(TRIM(A788),Inventory!E:E,1,0),0)=0,"X","_")</f>
        <v>_</v>
      </c>
      <c r="C788" t="str">
        <f>IF(IFERROR(VLOOKUP(TRIM(A788),'Full Inventory'!F:F,1,0),0)=0,"X","_")</f>
        <v>X</v>
      </c>
      <c r="D788" t="str">
        <f t="shared" si="48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F788" t="str">
        <f t="shared" si="49"/>
        <v>_</v>
      </c>
      <c r="K788" t="str">
        <f t="shared" ca="1" si="50"/>
        <v>_XX_</v>
      </c>
      <c r="L788" t="str">
        <f t="shared" ca="1" si="51"/>
        <v/>
      </c>
      <c r="M788" t="str">
        <f>IFERROR(INDEX(Inventory!A:A,MATCH(Scan!A788,Inventory!E:E,0)),"")</f>
        <v/>
      </c>
    </row>
    <row r="789" spans="2:13" x14ac:dyDescent="0.3">
      <c r="B789" t="str">
        <f>IF(IFERROR(VLOOKUP(TRIM(A789),Inventory!E:E,1,0),0)=0,"X","_")</f>
        <v>_</v>
      </c>
      <c r="C789" t="str">
        <f>IF(IFERROR(VLOOKUP(TRIM(A789),'Full Inventory'!F:F,1,0),0)=0,"X","_")</f>
        <v>X</v>
      </c>
      <c r="D789" t="str">
        <f t="shared" si="48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F789" t="str">
        <f t="shared" si="49"/>
        <v>_</v>
      </c>
      <c r="K789" t="str">
        <f t="shared" ca="1" si="50"/>
        <v>_XX_</v>
      </c>
      <c r="L789" t="str">
        <f t="shared" ca="1" si="51"/>
        <v/>
      </c>
      <c r="M789" t="str">
        <f>IFERROR(INDEX(Inventory!A:A,MATCH(Scan!A789,Inventory!E:E,0)),"")</f>
        <v/>
      </c>
    </row>
    <row r="790" spans="2:13" x14ac:dyDescent="0.3">
      <c r="B790" t="str">
        <f>IF(IFERROR(VLOOKUP(TRIM(A790),Inventory!E:E,1,0),0)=0,"X","_")</f>
        <v>_</v>
      </c>
      <c r="C790" t="str">
        <f>IF(IFERROR(VLOOKUP(TRIM(A790),'Full Inventory'!F:F,1,0),0)=0,"X","_")</f>
        <v>X</v>
      </c>
      <c r="D790" t="str">
        <f t="shared" si="48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F790" t="str">
        <f t="shared" si="49"/>
        <v>_</v>
      </c>
      <c r="K790" t="str">
        <f t="shared" ca="1" si="50"/>
        <v>_XX_</v>
      </c>
      <c r="L790" t="str">
        <f t="shared" ca="1" si="51"/>
        <v/>
      </c>
      <c r="M790" t="str">
        <f>IFERROR(INDEX(Inventory!A:A,MATCH(Scan!A790,Inventory!E:E,0)),"")</f>
        <v/>
      </c>
    </row>
    <row r="791" spans="2:13" x14ac:dyDescent="0.3">
      <c r="B791" t="str">
        <f>IF(IFERROR(VLOOKUP(TRIM(A791),Inventory!E:E,1,0),0)=0,"X","_")</f>
        <v>_</v>
      </c>
      <c r="C791" t="str">
        <f>IF(IFERROR(VLOOKUP(TRIM(A791),'Full Inventory'!F:F,1,0),0)=0,"X","_")</f>
        <v>X</v>
      </c>
      <c r="D791" t="str">
        <f t="shared" si="48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F791" t="str">
        <f t="shared" si="49"/>
        <v>_</v>
      </c>
      <c r="K791" t="str">
        <f t="shared" ca="1" si="50"/>
        <v>_XX_</v>
      </c>
      <c r="L791" t="str">
        <f t="shared" ca="1" si="51"/>
        <v/>
      </c>
      <c r="M791" t="str">
        <f>IFERROR(INDEX(Inventory!A:A,MATCH(Scan!A791,Inventory!E:E,0)),"")</f>
        <v/>
      </c>
    </row>
    <row r="792" spans="2:13" x14ac:dyDescent="0.3">
      <c r="B792" t="str">
        <f>IF(IFERROR(VLOOKUP(TRIM(A792),Inventory!E:E,1,0),0)=0,"X","_")</f>
        <v>_</v>
      </c>
      <c r="C792" t="str">
        <f>IF(IFERROR(VLOOKUP(TRIM(A792),'Full Inventory'!F:F,1,0),0)=0,"X","_")</f>
        <v>X</v>
      </c>
      <c r="D792" t="str">
        <f t="shared" si="48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F792" t="str">
        <f t="shared" si="49"/>
        <v>_</v>
      </c>
      <c r="K792" t="str">
        <f t="shared" ca="1" si="50"/>
        <v>_XX_</v>
      </c>
      <c r="L792" t="str">
        <f t="shared" ca="1" si="51"/>
        <v/>
      </c>
      <c r="M792" t="str">
        <f>IFERROR(INDEX(Inventory!A:A,MATCH(Scan!A792,Inventory!E:E,0)),"")</f>
        <v/>
      </c>
    </row>
    <row r="793" spans="2:13" x14ac:dyDescent="0.3">
      <c r="B793" t="str">
        <f>IF(IFERROR(VLOOKUP(TRIM(A793),Inventory!E:E,1,0),0)=0,"X","_")</f>
        <v>_</v>
      </c>
      <c r="C793" t="str">
        <f>IF(IFERROR(VLOOKUP(TRIM(A793),'Full Inventory'!F:F,1,0),0)=0,"X","_")</f>
        <v>X</v>
      </c>
      <c r="D793" t="str">
        <f t="shared" si="48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F793" t="str">
        <f t="shared" si="49"/>
        <v>_</v>
      </c>
      <c r="K793" t="str">
        <f t="shared" ca="1" si="50"/>
        <v>_XX_</v>
      </c>
      <c r="L793" t="str">
        <f t="shared" ca="1" si="51"/>
        <v/>
      </c>
      <c r="M793" t="str">
        <f>IFERROR(INDEX(Inventory!A:A,MATCH(Scan!A793,Inventory!E:E,0)),"")</f>
        <v/>
      </c>
    </row>
    <row r="794" spans="2:13" x14ac:dyDescent="0.3">
      <c r="B794" t="str">
        <f>IF(IFERROR(VLOOKUP(TRIM(A794),Inventory!E:E,1,0),0)=0,"X","_")</f>
        <v>_</v>
      </c>
      <c r="C794" t="str">
        <f>IF(IFERROR(VLOOKUP(TRIM(A794),'Full Inventory'!F:F,1,0),0)=0,"X","_")</f>
        <v>X</v>
      </c>
      <c r="D794" t="str">
        <f t="shared" si="48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F794" t="str">
        <f t="shared" si="49"/>
        <v>_</v>
      </c>
      <c r="K794" t="str">
        <f t="shared" ca="1" si="50"/>
        <v>_XX_</v>
      </c>
      <c r="L794" t="str">
        <f t="shared" ca="1" si="51"/>
        <v/>
      </c>
      <c r="M794" t="str">
        <f>IFERROR(INDEX(Inventory!A:A,MATCH(Scan!A794,Inventory!E:E,0)),"")</f>
        <v/>
      </c>
    </row>
    <row r="795" spans="2:13" x14ac:dyDescent="0.3">
      <c r="B795" t="str">
        <f>IF(IFERROR(VLOOKUP(TRIM(A795),Inventory!E:E,1,0),0)=0,"X","_")</f>
        <v>_</v>
      </c>
      <c r="C795" t="str">
        <f>IF(IFERROR(VLOOKUP(TRIM(A795),'Full Inventory'!F:F,1,0),0)=0,"X","_")</f>
        <v>X</v>
      </c>
      <c r="D795" t="str">
        <f t="shared" si="48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F795" t="str">
        <f t="shared" si="49"/>
        <v>_</v>
      </c>
      <c r="K795" t="str">
        <f t="shared" ca="1" si="50"/>
        <v>_XX_</v>
      </c>
      <c r="L795" t="str">
        <f t="shared" ca="1" si="51"/>
        <v/>
      </c>
      <c r="M795" t="str">
        <f>IFERROR(INDEX(Inventory!A:A,MATCH(Scan!A795,Inventory!E:E,0)),"")</f>
        <v/>
      </c>
    </row>
    <row r="796" spans="2:13" x14ac:dyDescent="0.3">
      <c r="B796" t="str">
        <f>IF(IFERROR(VLOOKUP(TRIM(A796),Inventory!E:E,1,0),0)=0,"X","_")</f>
        <v>_</v>
      </c>
      <c r="C796" t="str">
        <f>IF(IFERROR(VLOOKUP(TRIM(A796),'Full Inventory'!F:F,1,0),0)=0,"X","_")</f>
        <v>X</v>
      </c>
      <c r="D796" t="str">
        <f t="shared" si="48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F796" t="str">
        <f t="shared" si="49"/>
        <v>_</v>
      </c>
      <c r="K796" t="str">
        <f t="shared" ca="1" si="50"/>
        <v>_XX_</v>
      </c>
      <c r="L796" t="str">
        <f t="shared" ca="1" si="51"/>
        <v/>
      </c>
      <c r="M796" t="str">
        <f>IFERROR(INDEX(Inventory!A:A,MATCH(Scan!A796,Inventory!E:E,0)),"")</f>
        <v/>
      </c>
    </row>
    <row r="797" spans="2:13" x14ac:dyDescent="0.3">
      <c r="B797" t="str">
        <f>IF(IFERROR(VLOOKUP(TRIM(A797),Inventory!E:E,1,0),0)=0,"X","_")</f>
        <v>_</v>
      </c>
      <c r="C797" t="str">
        <f>IF(IFERROR(VLOOKUP(TRIM(A797),'Full Inventory'!F:F,1,0),0)=0,"X","_")</f>
        <v>X</v>
      </c>
      <c r="D797" t="str">
        <f t="shared" si="48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F797" t="str">
        <f t="shared" si="49"/>
        <v>_</v>
      </c>
      <c r="K797" t="str">
        <f t="shared" ca="1" si="50"/>
        <v>_XX_</v>
      </c>
      <c r="L797" t="str">
        <f t="shared" ca="1" si="51"/>
        <v/>
      </c>
      <c r="M797" t="str">
        <f>IFERROR(INDEX(Inventory!A:A,MATCH(Scan!A797,Inventory!E:E,0)),"")</f>
        <v/>
      </c>
    </row>
    <row r="798" spans="2:13" x14ac:dyDescent="0.3">
      <c r="B798" t="str">
        <f>IF(IFERROR(VLOOKUP(TRIM(A798),Inventory!E:E,1,0),0)=0,"X","_")</f>
        <v>_</v>
      </c>
      <c r="C798" t="str">
        <f>IF(IFERROR(VLOOKUP(TRIM(A798),'Full Inventory'!F:F,1,0),0)=0,"X","_")</f>
        <v>X</v>
      </c>
      <c r="D798" t="str">
        <f t="shared" si="48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F798" t="str">
        <f t="shared" si="49"/>
        <v>_</v>
      </c>
      <c r="K798" t="str">
        <f t="shared" ca="1" si="50"/>
        <v>_XX_</v>
      </c>
      <c r="L798" t="str">
        <f t="shared" ca="1" si="51"/>
        <v/>
      </c>
      <c r="M798" t="str">
        <f>IFERROR(INDEX(Inventory!A:A,MATCH(Scan!A798,Inventory!E:E,0)),"")</f>
        <v/>
      </c>
    </row>
    <row r="799" spans="2:13" x14ac:dyDescent="0.3">
      <c r="B799" t="str">
        <f>IF(IFERROR(VLOOKUP(TRIM(A799),Inventory!E:E,1,0),0)=0,"X","_")</f>
        <v>_</v>
      </c>
      <c r="C799" t="str">
        <f>IF(IFERROR(VLOOKUP(TRIM(A799),'Full Inventory'!F:F,1,0),0)=0,"X","_")</f>
        <v>X</v>
      </c>
      <c r="D799" t="str">
        <f t="shared" si="48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F799" t="str">
        <f t="shared" si="49"/>
        <v>_</v>
      </c>
      <c r="K799" t="str">
        <f t="shared" ca="1" si="50"/>
        <v>_XX_</v>
      </c>
      <c r="L799" t="str">
        <f t="shared" ca="1" si="51"/>
        <v/>
      </c>
      <c r="M799" t="str">
        <f>IFERROR(INDEX(Inventory!A:A,MATCH(Scan!A799,Inventory!E:E,0)),"")</f>
        <v/>
      </c>
    </row>
    <row r="800" spans="2:13" x14ac:dyDescent="0.3">
      <c r="B800" t="str">
        <f>IF(IFERROR(VLOOKUP(TRIM(A800),Inventory!E:E,1,0),0)=0,"X","_")</f>
        <v>_</v>
      </c>
      <c r="C800" t="str">
        <f>IF(IFERROR(VLOOKUP(TRIM(A800),'Full Inventory'!F:F,1,0),0)=0,"X","_")</f>
        <v>X</v>
      </c>
      <c r="D800" t="str">
        <f t="shared" si="48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F800" t="str">
        <f t="shared" si="49"/>
        <v>_</v>
      </c>
      <c r="K800" t="str">
        <f t="shared" ca="1" si="50"/>
        <v>_XX_</v>
      </c>
      <c r="L800" t="str">
        <f t="shared" ca="1" si="51"/>
        <v/>
      </c>
      <c r="M800" t="str">
        <f>IFERROR(INDEX(Inventory!A:A,MATCH(Scan!A800,Inventory!E:E,0)),"")</f>
        <v/>
      </c>
    </row>
    <row r="801" spans="2:13" x14ac:dyDescent="0.3">
      <c r="B801" t="str">
        <f>IF(IFERROR(VLOOKUP(TRIM(A801),Inventory!E:E,1,0),0)=0,"X","_")</f>
        <v>_</v>
      </c>
      <c r="C801" t="str">
        <f>IF(IFERROR(VLOOKUP(TRIM(A801),'Full Inventory'!F:F,1,0),0)=0,"X","_")</f>
        <v>X</v>
      </c>
      <c r="D801" t="str">
        <f t="shared" si="48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F801" t="str">
        <f t="shared" si="49"/>
        <v>_</v>
      </c>
      <c r="K801" t="str">
        <f t="shared" ca="1" si="50"/>
        <v>_XX_</v>
      </c>
      <c r="L801" t="str">
        <f t="shared" ca="1" si="51"/>
        <v/>
      </c>
      <c r="M801" t="str">
        <f>IFERROR(INDEX(Inventory!A:A,MATCH(Scan!A801,Inventory!E:E,0)),"")</f>
        <v/>
      </c>
    </row>
    <row r="802" spans="2:13" x14ac:dyDescent="0.3">
      <c r="B802" t="str">
        <f>IF(IFERROR(VLOOKUP(TRIM(A802),Inventory!E:E,1,0),0)=0,"X","_")</f>
        <v>_</v>
      </c>
      <c r="C802" t="str">
        <f>IF(IFERROR(VLOOKUP(TRIM(A802),'Full Inventory'!F:F,1,0),0)=0,"X","_")</f>
        <v>X</v>
      </c>
      <c r="D802" t="str">
        <f t="shared" si="48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F802" t="str">
        <f t="shared" si="49"/>
        <v>_</v>
      </c>
      <c r="K802" t="str">
        <f t="shared" ca="1" si="50"/>
        <v>_XX_</v>
      </c>
      <c r="L802" t="str">
        <f t="shared" ca="1" si="51"/>
        <v/>
      </c>
      <c r="M802" t="str">
        <f>IFERROR(INDEX(Inventory!A:A,MATCH(Scan!A802,Inventory!E:E,0)),"")</f>
        <v/>
      </c>
    </row>
    <row r="803" spans="2:13" x14ac:dyDescent="0.3">
      <c r="B803" t="str">
        <f>IF(IFERROR(VLOOKUP(TRIM(A803),Inventory!E:E,1,0),0)=0,"X","_")</f>
        <v>_</v>
      </c>
      <c r="C803" t="str">
        <f>IF(IFERROR(VLOOKUP(TRIM(A803),'Full Inventory'!F:F,1,0),0)=0,"X","_")</f>
        <v>X</v>
      </c>
      <c r="D803" t="str">
        <f t="shared" si="48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F803" t="str">
        <f t="shared" si="49"/>
        <v>_</v>
      </c>
      <c r="K803" t="str">
        <f t="shared" ca="1" si="50"/>
        <v>_XX_</v>
      </c>
      <c r="L803" t="str">
        <f t="shared" ca="1" si="51"/>
        <v/>
      </c>
      <c r="M803" t="str">
        <f>IFERROR(INDEX(Inventory!A:A,MATCH(Scan!A803,Inventory!E:E,0)),"")</f>
        <v/>
      </c>
    </row>
    <row r="804" spans="2:13" x14ac:dyDescent="0.3">
      <c r="B804" t="str">
        <f>IF(IFERROR(VLOOKUP(TRIM(A804),Inventory!E:E,1,0),0)=0,"X","_")</f>
        <v>_</v>
      </c>
      <c r="C804" t="str">
        <f>IF(IFERROR(VLOOKUP(TRIM(A804),'Full Inventory'!F:F,1,0),0)=0,"X","_")</f>
        <v>X</v>
      </c>
      <c r="D804" t="str">
        <f t="shared" si="48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F804" t="str">
        <f t="shared" si="49"/>
        <v>_</v>
      </c>
      <c r="K804" t="str">
        <f t="shared" ca="1" si="50"/>
        <v>_XX_</v>
      </c>
      <c r="L804" t="str">
        <f t="shared" ca="1" si="51"/>
        <v/>
      </c>
      <c r="M804" t="str">
        <f>IFERROR(INDEX(Inventory!A:A,MATCH(Scan!A804,Inventory!E:E,0)),"")</f>
        <v/>
      </c>
    </row>
    <row r="805" spans="2:13" x14ac:dyDescent="0.3">
      <c r="B805" t="str">
        <f>IF(IFERROR(VLOOKUP(TRIM(A805),Inventory!E:E,1,0),0)=0,"X","_")</f>
        <v>_</v>
      </c>
      <c r="C805" t="str">
        <f>IF(IFERROR(VLOOKUP(TRIM(A805),'Full Inventory'!F:F,1,0),0)=0,"X","_")</f>
        <v>X</v>
      </c>
      <c r="D805" t="str">
        <f t="shared" si="48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F805" t="str">
        <f t="shared" si="49"/>
        <v>_</v>
      </c>
      <c r="K805" t="str">
        <f t="shared" ca="1" si="50"/>
        <v>_XX_</v>
      </c>
      <c r="L805" t="str">
        <f t="shared" ca="1" si="51"/>
        <v/>
      </c>
      <c r="M805" t="str">
        <f>IFERROR(INDEX(Inventory!A:A,MATCH(Scan!A805,Inventory!E:E,0)),"")</f>
        <v/>
      </c>
    </row>
    <row r="806" spans="2:13" x14ac:dyDescent="0.3">
      <c r="B806" t="str">
        <f>IF(IFERROR(VLOOKUP(TRIM(A806),Inventory!E:E,1,0),0)=0,"X","_")</f>
        <v>_</v>
      </c>
      <c r="C806" t="str">
        <f>IF(IFERROR(VLOOKUP(TRIM(A806),'Full Inventory'!F:F,1,0),0)=0,"X","_")</f>
        <v>X</v>
      </c>
      <c r="D806" t="str">
        <f t="shared" si="48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F806" t="str">
        <f t="shared" si="49"/>
        <v>_</v>
      </c>
      <c r="K806" t="str">
        <f t="shared" ca="1" si="50"/>
        <v>_XX_</v>
      </c>
      <c r="L806" t="str">
        <f t="shared" ca="1" si="51"/>
        <v/>
      </c>
      <c r="M806" t="str">
        <f>IFERROR(INDEX(Inventory!A:A,MATCH(Scan!A806,Inventory!E:E,0)),"")</f>
        <v/>
      </c>
    </row>
    <row r="807" spans="2:13" x14ac:dyDescent="0.3">
      <c r="B807" t="str">
        <f>IF(IFERROR(VLOOKUP(TRIM(A807),Inventory!E:E,1,0),0)=0,"X","_")</f>
        <v>_</v>
      </c>
      <c r="C807" t="str">
        <f>IF(IFERROR(VLOOKUP(TRIM(A807),'Full Inventory'!F:F,1,0),0)=0,"X","_")</f>
        <v>X</v>
      </c>
      <c r="D807" t="str">
        <f t="shared" si="48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F807" t="str">
        <f t="shared" si="49"/>
        <v>_</v>
      </c>
      <c r="K807" t="str">
        <f t="shared" ca="1" si="50"/>
        <v>_XX_</v>
      </c>
      <c r="L807" t="str">
        <f t="shared" ca="1" si="51"/>
        <v/>
      </c>
      <c r="M807" t="str">
        <f>IFERROR(INDEX(Inventory!A:A,MATCH(Scan!A807,Inventory!E:E,0)),"")</f>
        <v/>
      </c>
    </row>
    <row r="808" spans="2:13" x14ac:dyDescent="0.3">
      <c r="B808" t="str">
        <f>IF(IFERROR(VLOOKUP(TRIM(A808),Inventory!E:E,1,0),0)=0,"X","_")</f>
        <v>_</v>
      </c>
      <c r="C808" t="str">
        <f>IF(IFERROR(VLOOKUP(TRIM(A808),'Full Inventory'!F:F,1,0),0)=0,"X","_")</f>
        <v>X</v>
      </c>
      <c r="D808" t="str">
        <f t="shared" si="48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F808" t="str">
        <f t="shared" si="49"/>
        <v>_</v>
      </c>
      <c r="K808" t="str">
        <f t="shared" ca="1" si="50"/>
        <v>_XX_</v>
      </c>
      <c r="L808" t="str">
        <f t="shared" ca="1" si="51"/>
        <v/>
      </c>
      <c r="M808" t="str">
        <f>IFERROR(INDEX(Inventory!A:A,MATCH(Scan!A808,Inventory!E:E,0)),"")</f>
        <v/>
      </c>
    </row>
    <row r="809" spans="2:13" x14ac:dyDescent="0.3">
      <c r="B809" t="str">
        <f>IF(IFERROR(VLOOKUP(TRIM(A809),Inventory!E:E,1,0),0)=0,"X","_")</f>
        <v>_</v>
      </c>
      <c r="C809" t="str">
        <f>IF(IFERROR(VLOOKUP(TRIM(A809),'Full Inventory'!F:F,1,0),0)=0,"X","_")</f>
        <v>X</v>
      </c>
      <c r="D809" t="str">
        <f t="shared" si="48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F809" t="str">
        <f t="shared" si="49"/>
        <v>_</v>
      </c>
      <c r="K809" t="str">
        <f t="shared" ca="1" si="50"/>
        <v>_XX_</v>
      </c>
      <c r="L809" t="str">
        <f t="shared" ca="1" si="51"/>
        <v/>
      </c>
      <c r="M809" t="str">
        <f>IFERROR(INDEX(Inventory!A:A,MATCH(Scan!A809,Inventory!E:E,0)),"")</f>
        <v/>
      </c>
    </row>
    <row r="810" spans="2:13" x14ac:dyDescent="0.3">
      <c r="B810" t="str">
        <f>IF(IFERROR(VLOOKUP(TRIM(A810),Inventory!E:E,1,0),0)=0,"X","_")</f>
        <v>_</v>
      </c>
      <c r="C810" t="str">
        <f>IF(IFERROR(VLOOKUP(TRIM(A810),'Full Inventory'!F:F,1,0),0)=0,"X","_")</f>
        <v>X</v>
      </c>
      <c r="D810" t="str">
        <f t="shared" si="48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F810" t="str">
        <f t="shared" si="49"/>
        <v>_</v>
      </c>
      <c r="K810" t="str">
        <f t="shared" ca="1" si="50"/>
        <v>_XX_</v>
      </c>
      <c r="L810" t="str">
        <f t="shared" ca="1" si="51"/>
        <v/>
      </c>
      <c r="M810" t="str">
        <f>IFERROR(INDEX(Inventory!A:A,MATCH(Scan!A810,Inventory!E:E,0)),"")</f>
        <v/>
      </c>
    </row>
    <row r="811" spans="2:13" x14ac:dyDescent="0.3">
      <c r="B811" t="str">
        <f>IF(IFERROR(VLOOKUP(TRIM(A811),Inventory!E:E,1,0),0)=0,"X","_")</f>
        <v>_</v>
      </c>
      <c r="C811" t="str">
        <f>IF(IFERROR(VLOOKUP(TRIM(A811),'Full Inventory'!F:F,1,0),0)=0,"X","_")</f>
        <v>X</v>
      </c>
      <c r="D811" t="str">
        <f t="shared" si="48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F811" t="str">
        <f t="shared" si="49"/>
        <v>_</v>
      </c>
      <c r="K811" t="str">
        <f t="shared" ca="1" si="50"/>
        <v>_XX_</v>
      </c>
      <c r="L811" t="str">
        <f t="shared" ca="1" si="51"/>
        <v/>
      </c>
      <c r="M811" t="str">
        <f>IFERROR(INDEX(Inventory!A:A,MATCH(Scan!A811,Inventory!E:E,0)),"")</f>
        <v/>
      </c>
    </row>
    <row r="812" spans="2:13" x14ac:dyDescent="0.3">
      <c r="B812" t="str">
        <f>IF(IFERROR(VLOOKUP(TRIM(A812),Inventory!E:E,1,0),0)=0,"X","_")</f>
        <v>_</v>
      </c>
      <c r="C812" t="str">
        <f>IF(IFERROR(VLOOKUP(TRIM(A812),'Full Inventory'!F:F,1,0),0)=0,"X","_")</f>
        <v>X</v>
      </c>
      <c r="D812" t="str">
        <f t="shared" si="48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F812" t="str">
        <f t="shared" si="49"/>
        <v>_</v>
      </c>
      <c r="K812" t="str">
        <f t="shared" ca="1" si="50"/>
        <v>_XX_</v>
      </c>
      <c r="L812" t="str">
        <f t="shared" ca="1" si="51"/>
        <v/>
      </c>
      <c r="M812" t="str">
        <f>IFERROR(INDEX(Inventory!A:A,MATCH(Scan!A812,Inventory!E:E,0)),"")</f>
        <v/>
      </c>
    </row>
    <row r="813" spans="2:13" x14ac:dyDescent="0.3">
      <c r="B813" t="str">
        <f>IF(IFERROR(VLOOKUP(TRIM(A813),Inventory!E:E,1,0),0)=0,"X","_")</f>
        <v>_</v>
      </c>
      <c r="C813" t="str">
        <f>IF(IFERROR(VLOOKUP(TRIM(A813),'Full Inventory'!F:F,1,0),0)=0,"X","_")</f>
        <v>X</v>
      </c>
      <c r="D813" t="str">
        <f t="shared" si="48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F813" t="str">
        <f t="shared" si="49"/>
        <v>_</v>
      </c>
      <c r="K813" t="str">
        <f t="shared" ca="1" si="50"/>
        <v>_XX_</v>
      </c>
      <c r="L813" t="str">
        <f t="shared" ca="1" si="51"/>
        <v/>
      </c>
      <c r="M813" t="str">
        <f>IFERROR(INDEX(Inventory!A:A,MATCH(Scan!A813,Inventory!E:E,0)),"")</f>
        <v/>
      </c>
    </row>
    <row r="814" spans="2:13" x14ac:dyDescent="0.3">
      <c r="B814" t="str">
        <f>IF(IFERROR(VLOOKUP(TRIM(A814),Inventory!E:E,1,0),0)=0,"X","_")</f>
        <v>_</v>
      </c>
      <c r="C814" t="str">
        <f>IF(IFERROR(VLOOKUP(TRIM(A814),'Full Inventory'!F:F,1,0),0)=0,"X","_")</f>
        <v>X</v>
      </c>
      <c r="D814" t="str">
        <f t="shared" si="48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F814" t="str">
        <f t="shared" si="49"/>
        <v>_</v>
      </c>
      <c r="K814" t="str">
        <f t="shared" ca="1" si="50"/>
        <v>_XX_</v>
      </c>
      <c r="L814" t="str">
        <f t="shared" ca="1" si="51"/>
        <v/>
      </c>
      <c r="M814" t="str">
        <f>IFERROR(INDEX(Inventory!A:A,MATCH(Scan!A814,Inventory!E:E,0)),"")</f>
        <v/>
      </c>
    </row>
    <row r="815" spans="2:13" x14ac:dyDescent="0.3">
      <c r="B815" t="str">
        <f>IF(IFERROR(VLOOKUP(TRIM(A815),Inventory!E:E,1,0),0)=0,"X","_")</f>
        <v>_</v>
      </c>
      <c r="C815" t="str">
        <f>IF(IFERROR(VLOOKUP(TRIM(A815),'Full Inventory'!F:F,1,0),0)=0,"X","_")</f>
        <v>X</v>
      </c>
      <c r="D815" t="str">
        <f t="shared" si="48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F815" t="str">
        <f t="shared" si="49"/>
        <v>_</v>
      </c>
      <c r="K815" t="str">
        <f t="shared" ca="1" si="50"/>
        <v>_XX_</v>
      </c>
      <c r="L815" t="str">
        <f t="shared" ca="1" si="51"/>
        <v/>
      </c>
      <c r="M815" t="str">
        <f>IFERROR(INDEX(Inventory!A:A,MATCH(Scan!A815,Inventory!E:E,0)),"")</f>
        <v/>
      </c>
    </row>
    <row r="816" spans="2:13" x14ac:dyDescent="0.3">
      <c r="B816" t="str">
        <f>IF(IFERROR(VLOOKUP(TRIM(A816),Inventory!E:E,1,0),0)=0,"X","_")</f>
        <v>_</v>
      </c>
      <c r="C816" t="str">
        <f>IF(IFERROR(VLOOKUP(TRIM(A816),'Full Inventory'!F:F,1,0),0)=0,"X","_")</f>
        <v>X</v>
      </c>
      <c r="D816" t="str">
        <f t="shared" si="48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F816" t="str">
        <f t="shared" si="49"/>
        <v>_</v>
      </c>
      <c r="K816" t="str">
        <f t="shared" ca="1" si="50"/>
        <v>_XX_</v>
      </c>
      <c r="L816" t="str">
        <f t="shared" ca="1" si="51"/>
        <v/>
      </c>
      <c r="M816" t="str">
        <f>IFERROR(INDEX(Inventory!A:A,MATCH(Scan!A816,Inventory!E:E,0)),"")</f>
        <v/>
      </c>
    </row>
    <row r="817" spans="2:13" x14ac:dyDescent="0.3">
      <c r="B817" t="str">
        <f>IF(IFERROR(VLOOKUP(TRIM(A817),Inventory!E:E,1,0),0)=0,"X","_")</f>
        <v>_</v>
      </c>
      <c r="C817" t="str">
        <f>IF(IFERROR(VLOOKUP(TRIM(A817),'Full Inventory'!F:F,1,0),0)=0,"X","_")</f>
        <v>X</v>
      </c>
      <c r="D817" t="str">
        <f t="shared" si="48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F817" t="str">
        <f t="shared" si="49"/>
        <v>_</v>
      </c>
      <c r="K817" t="str">
        <f t="shared" ca="1" si="50"/>
        <v>_XX_</v>
      </c>
      <c r="L817" t="str">
        <f t="shared" ca="1" si="51"/>
        <v/>
      </c>
      <c r="M817" t="str">
        <f>IFERROR(INDEX(Inventory!A:A,MATCH(Scan!A817,Inventory!E:E,0)),"")</f>
        <v/>
      </c>
    </row>
    <row r="818" spans="2:13" x14ac:dyDescent="0.3">
      <c r="B818" t="str">
        <f>IF(IFERROR(VLOOKUP(TRIM(A818),Inventory!E:E,1,0),0)=0,"X","_")</f>
        <v>_</v>
      </c>
      <c r="C818" t="str">
        <f>IF(IFERROR(VLOOKUP(TRIM(A818),'Full Inventory'!F:F,1,0),0)=0,"X","_")</f>
        <v>X</v>
      </c>
      <c r="D818" t="str">
        <f t="shared" si="48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F818" t="str">
        <f t="shared" si="49"/>
        <v>_</v>
      </c>
      <c r="K818" t="str">
        <f t="shared" ca="1" si="50"/>
        <v>_XX_</v>
      </c>
      <c r="L818" t="str">
        <f t="shared" ca="1" si="51"/>
        <v/>
      </c>
      <c r="M818" t="str">
        <f>IFERROR(INDEX(Inventory!A:A,MATCH(Scan!A818,Inventory!E:E,0)),"")</f>
        <v/>
      </c>
    </row>
    <row r="819" spans="2:13" x14ac:dyDescent="0.3">
      <c r="B819" t="str">
        <f>IF(IFERROR(VLOOKUP(TRIM(A819),Inventory!E:E,1,0),0)=0,"X","_")</f>
        <v>_</v>
      </c>
      <c r="C819" t="str">
        <f>IF(IFERROR(VLOOKUP(TRIM(A819),'Full Inventory'!F:F,1,0),0)=0,"X","_")</f>
        <v>X</v>
      </c>
      <c r="D819" t="str">
        <f t="shared" si="48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F819" t="str">
        <f t="shared" si="49"/>
        <v>_</v>
      </c>
      <c r="K819" t="str">
        <f t="shared" ca="1" si="50"/>
        <v>_XX_</v>
      </c>
      <c r="L819" t="str">
        <f t="shared" ca="1" si="51"/>
        <v/>
      </c>
      <c r="M819" t="str">
        <f>IFERROR(INDEX(Inventory!A:A,MATCH(Scan!A819,Inventory!E:E,0)),"")</f>
        <v/>
      </c>
    </row>
    <row r="820" spans="2:13" x14ac:dyDescent="0.3">
      <c r="B820" t="str">
        <f>IF(IFERROR(VLOOKUP(TRIM(A820),Inventory!E:E,1,0),0)=0,"X","_")</f>
        <v>_</v>
      </c>
      <c r="C820" t="str">
        <f>IF(IFERROR(VLOOKUP(TRIM(A820),'Full Inventory'!F:F,1,0),0)=0,"X","_")</f>
        <v>X</v>
      </c>
      <c r="D820" t="str">
        <f t="shared" si="48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F820" t="str">
        <f t="shared" si="49"/>
        <v>_</v>
      </c>
      <c r="K820" t="str">
        <f t="shared" ca="1" si="50"/>
        <v>_XX_</v>
      </c>
      <c r="L820" t="str">
        <f t="shared" ca="1" si="51"/>
        <v/>
      </c>
      <c r="M820" t="str">
        <f>IFERROR(INDEX(Inventory!A:A,MATCH(Scan!A820,Inventory!E:E,0)),"")</f>
        <v/>
      </c>
    </row>
    <row r="821" spans="2:13" x14ac:dyDescent="0.3">
      <c r="B821" t="str">
        <f>IF(IFERROR(VLOOKUP(TRIM(A821),Inventory!E:E,1,0),0)=0,"X","_")</f>
        <v>_</v>
      </c>
      <c r="C821" t="str">
        <f>IF(IFERROR(VLOOKUP(TRIM(A821),'Full Inventory'!F:F,1,0),0)=0,"X","_")</f>
        <v>X</v>
      </c>
      <c r="D821" t="str">
        <f t="shared" si="48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F821" t="str">
        <f t="shared" si="49"/>
        <v>_</v>
      </c>
      <c r="K821" t="str">
        <f t="shared" ca="1" si="50"/>
        <v>_XX_</v>
      </c>
      <c r="L821" t="str">
        <f t="shared" ca="1" si="51"/>
        <v/>
      </c>
      <c r="M821" t="str">
        <f>IFERROR(INDEX(Inventory!A:A,MATCH(Scan!A821,Inventory!E:E,0)),"")</f>
        <v/>
      </c>
    </row>
    <row r="822" spans="2:13" x14ac:dyDescent="0.3">
      <c r="B822" t="str">
        <f>IF(IFERROR(VLOOKUP(TRIM(A822),Inventory!E:E,1,0),0)=0,"X","_")</f>
        <v>_</v>
      </c>
      <c r="C822" t="str">
        <f>IF(IFERROR(VLOOKUP(TRIM(A822),'Full Inventory'!F:F,1,0),0)=0,"X","_")</f>
        <v>X</v>
      </c>
      <c r="D822" t="str">
        <f t="shared" si="48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F822" t="str">
        <f t="shared" si="49"/>
        <v>_</v>
      </c>
      <c r="K822" t="str">
        <f t="shared" ca="1" si="50"/>
        <v>_XX_</v>
      </c>
      <c r="L822" t="str">
        <f t="shared" ca="1" si="51"/>
        <v/>
      </c>
      <c r="M822" t="str">
        <f>IFERROR(INDEX(Inventory!A:A,MATCH(Scan!A822,Inventory!E:E,0)),"")</f>
        <v/>
      </c>
    </row>
    <row r="823" spans="2:13" x14ac:dyDescent="0.3">
      <c r="B823" t="str">
        <f>IF(IFERROR(VLOOKUP(TRIM(A823),Inventory!E:E,1,0),0)=0,"X","_")</f>
        <v>_</v>
      </c>
      <c r="C823" t="str">
        <f>IF(IFERROR(VLOOKUP(TRIM(A823),'Full Inventory'!F:F,1,0),0)=0,"X","_")</f>
        <v>X</v>
      </c>
      <c r="D823" t="str">
        <f t="shared" si="48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F823" t="str">
        <f t="shared" si="49"/>
        <v>_</v>
      </c>
      <c r="K823" t="str">
        <f t="shared" ca="1" si="50"/>
        <v>_XX_</v>
      </c>
      <c r="L823" t="str">
        <f t="shared" ca="1" si="51"/>
        <v/>
      </c>
      <c r="M823" t="str">
        <f>IFERROR(INDEX(Inventory!A:A,MATCH(Scan!A823,Inventory!E:E,0)),"")</f>
        <v/>
      </c>
    </row>
    <row r="824" spans="2:13" x14ac:dyDescent="0.3">
      <c r="B824" t="str">
        <f>IF(IFERROR(VLOOKUP(TRIM(A824),Inventory!E:E,1,0),0)=0,"X","_")</f>
        <v>_</v>
      </c>
      <c r="C824" t="str">
        <f>IF(IFERROR(VLOOKUP(TRIM(A824),'Full Inventory'!F:F,1,0),0)=0,"X","_")</f>
        <v>X</v>
      </c>
      <c r="D824" t="str">
        <f t="shared" si="48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F824" t="str">
        <f t="shared" si="49"/>
        <v>_</v>
      </c>
      <c r="K824" t="str">
        <f t="shared" ca="1" si="50"/>
        <v>_XX_</v>
      </c>
      <c r="L824" t="str">
        <f t="shared" ca="1" si="51"/>
        <v/>
      </c>
      <c r="M824" t="str">
        <f>IFERROR(INDEX(Inventory!A:A,MATCH(Scan!A824,Inventory!E:E,0)),"")</f>
        <v/>
      </c>
    </row>
    <row r="825" spans="2:13" x14ac:dyDescent="0.3">
      <c r="B825" t="str">
        <f>IF(IFERROR(VLOOKUP(TRIM(A825),Inventory!E:E,1,0),0)=0,"X","_")</f>
        <v>_</v>
      </c>
      <c r="C825" t="str">
        <f>IF(IFERROR(VLOOKUP(TRIM(A825),'Full Inventory'!F:F,1,0),0)=0,"X","_")</f>
        <v>X</v>
      </c>
      <c r="D825" t="str">
        <f t="shared" si="48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F825" t="str">
        <f t="shared" si="49"/>
        <v>_</v>
      </c>
      <c r="K825" t="str">
        <f t="shared" ca="1" si="50"/>
        <v>_XX_</v>
      </c>
      <c r="L825" t="str">
        <f t="shared" ca="1" si="51"/>
        <v/>
      </c>
      <c r="M825" t="str">
        <f>IFERROR(INDEX(Inventory!A:A,MATCH(Scan!A825,Inventory!E:E,0)),"")</f>
        <v/>
      </c>
    </row>
    <row r="826" spans="2:13" x14ac:dyDescent="0.3">
      <c r="B826" t="str">
        <f>IF(IFERROR(VLOOKUP(TRIM(A826),Inventory!E:E,1,0),0)=0,"X","_")</f>
        <v>_</v>
      </c>
      <c r="C826" t="str">
        <f>IF(IFERROR(VLOOKUP(TRIM(A826),'Full Inventory'!F:F,1,0),0)=0,"X","_")</f>
        <v>X</v>
      </c>
      <c r="D826" t="str">
        <f t="shared" si="48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F826" t="str">
        <f t="shared" si="49"/>
        <v>_</v>
      </c>
      <c r="K826" t="str">
        <f t="shared" ca="1" si="50"/>
        <v>_XX_</v>
      </c>
      <c r="L826" t="str">
        <f t="shared" ca="1" si="51"/>
        <v/>
      </c>
      <c r="M826" t="str">
        <f>IFERROR(INDEX(Inventory!A:A,MATCH(Scan!A826,Inventory!E:E,0)),"")</f>
        <v/>
      </c>
    </row>
    <row r="827" spans="2:13" x14ac:dyDescent="0.3">
      <c r="B827" t="str">
        <f>IF(IFERROR(VLOOKUP(TRIM(A827),Inventory!E:E,1,0),0)=0,"X","_")</f>
        <v>_</v>
      </c>
      <c r="C827" t="str">
        <f>IF(IFERROR(VLOOKUP(TRIM(A827),'Full Inventory'!F:F,1,0),0)=0,"X","_")</f>
        <v>X</v>
      </c>
      <c r="D827" t="str">
        <f t="shared" si="48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F827" t="str">
        <f t="shared" si="49"/>
        <v>_</v>
      </c>
      <c r="K827" t="str">
        <f t="shared" ca="1" si="50"/>
        <v>_XX_</v>
      </c>
      <c r="L827" t="str">
        <f t="shared" ca="1" si="51"/>
        <v/>
      </c>
      <c r="M827" t="str">
        <f>IFERROR(INDEX(Inventory!A:A,MATCH(Scan!A827,Inventory!E:E,0)),"")</f>
        <v/>
      </c>
    </row>
    <row r="828" spans="2:13" x14ac:dyDescent="0.3">
      <c r="B828" t="str">
        <f>IF(IFERROR(VLOOKUP(TRIM(A828),Inventory!E:E,1,0),0)=0,"X","_")</f>
        <v>_</v>
      </c>
      <c r="C828" t="str">
        <f>IF(IFERROR(VLOOKUP(TRIM(A828),'Full Inventory'!F:F,1,0),0)=0,"X","_")</f>
        <v>X</v>
      </c>
      <c r="D828" t="str">
        <f t="shared" si="48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F828" t="str">
        <f t="shared" si="49"/>
        <v>_</v>
      </c>
      <c r="K828" t="str">
        <f t="shared" ca="1" si="50"/>
        <v>_XX_</v>
      </c>
      <c r="L828" t="str">
        <f t="shared" ca="1" si="51"/>
        <v/>
      </c>
      <c r="M828" t="str">
        <f>IFERROR(INDEX(Inventory!A:A,MATCH(Scan!A828,Inventory!E:E,0)),"")</f>
        <v/>
      </c>
    </row>
    <row r="829" spans="2:13" x14ac:dyDescent="0.3">
      <c r="B829" t="str">
        <f>IF(IFERROR(VLOOKUP(TRIM(A829),Inventory!E:E,1,0),0)=0,"X","_")</f>
        <v>_</v>
      </c>
      <c r="C829" t="str">
        <f>IF(IFERROR(VLOOKUP(TRIM(A829),'Full Inventory'!F:F,1,0),0)=0,"X","_")</f>
        <v>X</v>
      </c>
      <c r="D829" t="str">
        <f t="shared" si="48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F829" t="str">
        <f t="shared" si="49"/>
        <v>_</v>
      </c>
      <c r="K829" t="str">
        <f t="shared" ca="1" si="50"/>
        <v>_XX_</v>
      </c>
      <c r="L829" t="str">
        <f t="shared" ca="1" si="51"/>
        <v/>
      </c>
      <c r="M829" t="str">
        <f>IFERROR(INDEX(Inventory!A:A,MATCH(Scan!A829,Inventory!E:E,0)),"")</f>
        <v/>
      </c>
    </row>
    <row r="830" spans="2:13" x14ac:dyDescent="0.3">
      <c r="B830" t="str">
        <f>IF(IFERROR(VLOOKUP(TRIM(A830),Inventory!E:E,1,0),0)=0,"X","_")</f>
        <v>_</v>
      </c>
      <c r="C830" t="str">
        <f>IF(IFERROR(VLOOKUP(TRIM(A830),'Full Inventory'!F:F,1,0),0)=0,"X","_")</f>
        <v>X</v>
      </c>
      <c r="D830" t="str">
        <f t="shared" si="48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F830" t="str">
        <f t="shared" si="49"/>
        <v>_</v>
      </c>
      <c r="K830" t="str">
        <f t="shared" ca="1" si="50"/>
        <v>_XX_</v>
      </c>
      <c r="L830" t="str">
        <f t="shared" ca="1" si="51"/>
        <v/>
      </c>
      <c r="M830" t="str">
        <f>IFERROR(INDEX(Inventory!A:A,MATCH(Scan!A830,Inventory!E:E,0)),"")</f>
        <v/>
      </c>
    </row>
    <row r="831" spans="2:13" x14ac:dyDescent="0.3">
      <c r="B831" t="str">
        <f>IF(IFERROR(VLOOKUP(TRIM(A831),Inventory!E:E,1,0),0)=0,"X","_")</f>
        <v>_</v>
      </c>
      <c r="C831" t="str">
        <f>IF(IFERROR(VLOOKUP(TRIM(A831),'Full Inventory'!F:F,1,0),0)=0,"X","_")</f>
        <v>X</v>
      </c>
      <c r="D831" t="str">
        <f t="shared" si="48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F831" t="str">
        <f t="shared" si="49"/>
        <v>_</v>
      </c>
      <c r="K831" t="str">
        <f t="shared" ca="1" si="50"/>
        <v>_XX_</v>
      </c>
      <c r="L831" t="str">
        <f t="shared" ca="1" si="51"/>
        <v/>
      </c>
      <c r="M831" t="str">
        <f>IFERROR(INDEX(Inventory!A:A,MATCH(Scan!A831,Inventory!E:E,0)),"")</f>
        <v/>
      </c>
    </row>
    <row r="832" spans="2:13" x14ac:dyDescent="0.3">
      <c r="B832" t="str">
        <f>IF(IFERROR(VLOOKUP(TRIM(A832),Inventory!E:E,1,0),0)=0,"X","_")</f>
        <v>_</v>
      </c>
      <c r="C832" t="str">
        <f>IF(IFERROR(VLOOKUP(TRIM(A832),'Full Inventory'!F:F,1,0),0)=0,"X","_")</f>
        <v>X</v>
      </c>
      <c r="D832" t="str">
        <f t="shared" si="48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F832" t="str">
        <f t="shared" si="49"/>
        <v>_</v>
      </c>
      <c r="K832" t="str">
        <f t="shared" ca="1" si="50"/>
        <v>_XX_</v>
      </c>
      <c r="L832" t="str">
        <f t="shared" ca="1" si="51"/>
        <v/>
      </c>
      <c r="M832" t="str">
        <f>IFERROR(INDEX(Inventory!A:A,MATCH(Scan!A832,Inventory!E:E,0)),"")</f>
        <v/>
      </c>
    </row>
    <row r="833" spans="2:13" x14ac:dyDescent="0.3">
      <c r="B833" t="str">
        <f>IF(IFERROR(VLOOKUP(TRIM(A833),Inventory!E:E,1,0),0)=0,"X","_")</f>
        <v>_</v>
      </c>
      <c r="C833" t="str">
        <f>IF(IFERROR(VLOOKUP(TRIM(A833),'Full Inventory'!F:F,1,0),0)=0,"X","_")</f>
        <v>X</v>
      </c>
      <c r="D833" t="str">
        <f t="shared" si="48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F833" t="str">
        <f t="shared" si="49"/>
        <v>_</v>
      </c>
      <c r="K833" t="str">
        <f t="shared" ca="1" si="50"/>
        <v>_XX_</v>
      </c>
      <c r="L833" t="str">
        <f t="shared" ca="1" si="51"/>
        <v/>
      </c>
      <c r="M833" t="str">
        <f>IFERROR(INDEX(Inventory!A:A,MATCH(Scan!A833,Inventory!E:E,0)),"")</f>
        <v/>
      </c>
    </row>
    <row r="834" spans="2:13" x14ac:dyDescent="0.3">
      <c r="B834" t="str">
        <f>IF(IFERROR(VLOOKUP(TRIM(A834),Inventory!E:E,1,0),0)=0,"X","_")</f>
        <v>_</v>
      </c>
      <c r="C834" t="str">
        <f>IF(IFERROR(VLOOKUP(TRIM(A834),'Full Inventory'!F:F,1,0),0)=0,"X","_")</f>
        <v>X</v>
      </c>
      <c r="D834" t="str">
        <f t="shared" ref="D834:D897" si="52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F834" t="str">
        <f t="shared" si="49"/>
        <v>_</v>
      </c>
      <c r="K834" t="str">
        <f t="shared" ca="1" si="50"/>
        <v>_XX_</v>
      </c>
      <c r="L834" t="str">
        <f t="shared" ca="1" si="51"/>
        <v/>
      </c>
      <c r="M834" t="str">
        <f>IFERROR(INDEX(Inventory!A:A,MATCH(Scan!A834,Inventory!E:E,0)),"")</f>
        <v/>
      </c>
    </row>
    <row r="835" spans="2:13" x14ac:dyDescent="0.3">
      <c r="B835" t="str">
        <f>IF(IFERROR(VLOOKUP(TRIM(A835),Inventory!E:E,1,0),0)=0,"X","_")</f>
        <v>_</v>
      </c>
      <c r="C835" t="str">
        <f>IF(IFERROR(VLOOKUP(TRIM(A835),'Full Inventory'!F:F,1,0),0)=0,"X","_")</f>
        <v>X</v>
      </c>
      <c r="D835" t="str">
        <f t="shared" si="52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F835" t="str">
        <f t="shared" ref="F835:F898" si="53">IF(IFERROR(SEARCH("ö",A835),0)&gt;0,"X","_")</f>
        <v>_</v>
      </c>
      <c r="K835" t="str">
        <f t="shared" ref="K835:K898" ca="1" si="54">B835&amp;C835&amp;D835&amp;E835</f>
        <v>_XX_</v>
      </c>
      <c r="L835" t="str">
        <f t="shared" ref="L835:L898" ca="1" si="55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3">
      <c r="B836" t="str">
        <f>IF(IFERROR(VLOOKUP(TRIM(A836),Inventory!E:E,1,0),0)=0,"X","_")</f>
        <v>_</v>
      </c>
      <c r="C836" t="str">
        <f>IF(IFERROR(VLOOKUP(TRIM(A836),'Full Inventory'!F:F,1,0),0)=0,"X","_")</f>
        <v>X</v>
      </c>
      <c r="D836" t="str">
        <f t="shared" si="52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F836" t="str">
        <f t="shared" si="53"/>
        <v>_</v>
      </c>
      <c r="K836" t="str">
        <f t="shared" ca="1" si="54"/>
        <v>_XX_</v>
      </c>
      <c r="L836" t="str">
        <f t="shared" ca="1" si="55"/>
        <v/>
      </c>
      <c r="M836" t="str">
        <f>IFERROR(INDEX(Inventory!A:A,MATCH(Scan!A836,Inventory!E:E,0)),"")</f>
        <v/>
      </c>
    </row>
    <row r="837" spans="2:13" x14ac:dyDescent="0.3">
      <c r="B837" t="str">
        <f>IF(IFERROR(VLOOKUP(TRIM(A837),Inventory!E:E,1,0),0)=0,"X","_")</f>
        <v>_</v>
      </c>
      <c r="C837" t="str">
        <f>IF(IFERROR(VLOOKUP(TRIM(A837),'Full Inventory'!F:F,1,0),0)=0,"X","_")</f>
        <v>X</v>
      </c>
      <c r="D837" t="str">
        <f t="shared" si="52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F837" t="str">
        <f t="shared" si="53"/>
        <v>_</v>
      </c>
      <c r="K837" t="str">
        <f t="shared" ca="1" si="54"/>
        <v>_XX_</v>
      </c>
      <c r="L837" t="str">
        <f t="shared" ca="1" si="55"/>
        <v/>
      </c>
      <c r="M837" t="str">
        <f>IFERROR(INDEX(Inventory!A:A,MATCH(Scan!A837,Inventory!E:E,0)),"")</f>
        <v/>
      </c>
    </row>
    <row r="838" spans="2:13" x14ac:dyDescent="0.3">
      <c r="B838" t="str">
        <f>IF(IFERROR(VLOOKUP(TRIM(A838),Inventory!E:E,1,0),0)=0,"X","_")</f>
        <v>_</v>
      </c>
      <c r="C838" t="str">
        <f>IF(IFERROR(VLOOKUP(TRIM(A838),'Full Inventory'!F:F,1,0),0)=0,"X","_")</f>
        <v>X</v>
      </c>
      <c r="D838" t="str">
        <f t="shared" si="52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F838" t="str">
        <f t="shared" si="53"/>
        <v>_</v>
      </c>
      <c r="K838" t="str">
        <f t="shared" ca="1" si="54"/>
        <v>_XX_</v>
      </c>
      <c r="L838" t="str">
        <f t="shared" ca="1" si="55"/>
        <v/>
      </c>
      <c r="M838" t="str">
        <f>IFERROR(INDEX(Inventory!A:A,MATCH(Scan!A838,Inventory!E:E,0)),"")</f>
        <v/>
      </c>
    </row>
    <row r="839" spans="2:13" x14ac:dyDescent="0.3">
      <c r="B839" t="str">
        <f>IF(IFERROR(VLOOKUP(TRIM(A839),Inventory!E:E,1,0),0)=0,"X","_")</f>
        <v>_</v>
      </c>
      <c r="C839" t="str">
        <f>IF(IFERROR(VLOOKUP(TRIM(A839),'Full Inventory'!F:F,1,0),0)=0,"X","_")</f>
        <v>X</v>
      </c>
      <c r="D839" t="str">
        <f t="shared" si="52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F839" t="str">
        <f t="shared" si="53"/>
        <v>_</v>
      </c>
      <c r="K839" t="str">
        <f t="shared" ca="1" si="54"/>
        <v>_XX_</v>
      </c>
      <c r="L839" t="str">
        <f t="shared" ca="1" si="55"/>
        <v/>
      </c>
      <c r="M839" t="str">
        <f>IFERROR(INDEX(Inventory!A:A,MATCH(Scan!A839,Inventory!E:E,0)),"")</f>
        <v/>
      </c>
    </row>
    <row r="840" spans="2:13" x14ac:dyDescent="0.3">
      <c r="B840" t="str">
        <f>IF(IFERROR(VLOOKUP(TRIM(A840),Inventory!E:E,1,0),0)=0,"X","_")</f>
        <v>_</v>
      </c>
      <c r="C840" t="str">
        <f>IF(IFERROR(VLOOKUP(TRIM(A840),'Full Inventory'!F:F,1,0),0)=0,"X","_")</f>
        <v>X</v>
      </c>
      <c r="D840" t="str">
        <f t="shared" si="52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F840" t="str">
        <f t="shared" si="53"/>
        <v>_</v>
      </c>
      <c r="K840" t="str">
        <f t="shared" ca="1" si="54"/>
        <v>_XX_</v>
      </c>
      <c r="L840" t="str">
        <f t="shared" ca="1" si="55"/>
        <v/>
      </c>
      <c r="M840" t="str">
        <f>IFERROR(INDEX(Inventory!A:A,MATCH(Scan!A840,Inventory!E:E,0)),"")</f>
        <v/>
      </c>
    </row>
    <row r="841" spans="2:13" x14ac:dyDescent="0.3">
      <c r="B841" t="str">
        <f>IF(IFERROR(VLOOKUP(TRIM(A841),Inventory!E:E,1,0),0)=0,"X","_")</f>
        <v>_</v>
      </c>
      <c r="C841" t="str">
        <f>IF(IFERROR(VLOOKUP(TRIM(A841),'Full Inventory'!F:F,1,0),0)=0,"X","_")</f>
        <v>X</v>
      </c>
      <c r="D841" t="str">
        <f t="shared" si="52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F841" t="str">
        <f t="shared" si="53"/>
        <v>_</v>
      </c>
      <c r="K841" t="str">
        <f t="shared" ca="1" si="54"/>
        <v>_XX_</v>
      </c>
      <c r="L841" t="str">
        <f t="shared" ca="1" si="55"/>
        <v/>
      </c>
      <c r="M841" t="str">
        <f>IFERROR(INDEX(Inventory!A:A,MATCH(Scan!A841,Inventory!E:E,0)),"")</f>
        <v/>
      </c>
    </row>
    <row r="842" spans="2:13" x14ac:dyDescent="0.3">
      <c r="B842" t="str">
        <f>IF(IFERROR(VLOOKUP(TRIM(A842),Inventory!E:E,1,0),0)=0,"X","_")</f>
        <v>_</v>
      </c>
      <c r="C842" t="str">
        <f>IF(IFERROR(VLOOKUP(TRIM(A842),'Full Inventory'!F:F,1,0),0)=0,"X","_")</f>
        <v>X</v>
      </c>
      <c r="D842" t="str">
        <f t="shared" si="52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F842" t="str">
        <f t="shared" si="53"/>
        <v>_</v>
      </c>
      <c r="K842" t="str">
        <f t="shared" ca="1" si="54"/>
        <v>_XX_</v>
      </c>
      <c r="L842" t="str">
        <f t="shared" ca="1" si="55"/>
        <v/>
      </c>
      <c r="M842" t="str">
        <f>IFERROR(INDEX(Inventory!A:A,MATCH(Scan!A842,Inventory!E:E,0)),"")</f>
        <v/>
      </c>
    </row>
    <row r="843" spans="2:13" x14ac:dyDescent="0.3">
      <c r="B843" t="str">
        <f>IF(IFERROR(VLOOKUP(TRIM(A843),Inventory!E:E,1,0),0)=0,"X","_")</f>
        <v>_</v>
      </c>
      <c r="C843" t="str">
        <f>IF(IFERROR(VLOOKUP(TRIM(A843),'Full Inventory'!F:F,1,0),0)=0,"X","_")</f>
        <v>X</v>
      </c>
      <c r="D843" t="str">
        <f t="shared" si="52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F843" t="str">
        <f t="shared" si="53"/>
        <v>_</v>
      </c>
      <c r="K843" t="str">
        <f t="shared" ca="1" si="54"/>
        <v>_XX_</v>
      </c>
      <c r="L843" t="str">
        <f t="shared" ca="1" si="55"/>
        <v/>
      </c>
      <c r="M843" t="str">
        <f>IFERROR(INDEX(Inventory!A:A,MATCH(Scan!A843,Inventory!E:E,0)),"")</f>
        <v/>
      </c>
    </row>
    <row r="844" spans="2:13" x14ac:dyDescent="0.3">
      <c r="B844" t="str">
        <f>IF(IFERROR(VLOOKUP(TRIM(A844),Inventory!E:E,1,0),0)=0,"X","_")</f>
        <v>_</v>
      </c>
      <c r="C844" t="str">
        <f>IF(IFERROR(VLOOKUP(TRIM(A844),'Full Inventory'!F:F,1,0),0)=0,"X","_")</f>
        <v>X</v>
      </c>
      <c r="D844" t="str">
        <f t="shared" si="52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F844" t="str">
        <f t="shared" si="53"/>
        <v>_</v>
      </c>
      <c r="K844" t="str">
        <f t="shared" ca="1" si="54"/>
        <v>_XX_</v>
      </c>
      <c r="L844" t="str">
        <f t="shared" ca="1" si="55"/>
        <v/>
      </c>
      <c r="M844" t="str">
        <f>IFERROR(INDEX(Inventory!A:A,MATCH(Scan!A844,Inventory!E:E,0)),"")</f>
        <v/>
      </c>
    </row>
    <row r="845" spans="2:13" x14ac:dyDescent="0.3">
      <c r="B845" t="str">
        <f>IF(IFERROR(VLOOKUP(TRIM(A845),Inventory!E:E,1,0),0)=0,"X","_")</f>
        <v>_</v>
      </c>
      <c r="C845" t="str">
        <f>IF(IFERROR(VLOOKUP(TRIM(A845),'Full Inventory'!F:F,1,0),0)=0,"X","_")</f>
        <v>X</v>
      </c>
      <c r="D845" t="str">
        <f t="shared" si="52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F845" t="str">
        <f t="shared" si="53"/>
        <v>_</v>
      </c>
      <c r="K845" t="str">
        <f t="shared" ca="1" si="54"/>
        <v>_XX_</v>
      </c>
      <c r="L845" t="str">
        <f t="shared" ca="1" si="55"/>
        <v/>
      </c>
      <c r="M845" t="str">
        <f>IFERROR(INDEX(Inventory!A:A,MATCH(Scan!A845,Inventory!E:E,0)),"")</f>
        <v/>
      </c>
    </row>
    <row r="846" spans="2:13" x14ac:dyDescent="0.3">
      <c r="B846" t="str">
        <f>IF(IFERROR(VLOOKUP(TRIM(A846),Inventory!E:E,1,0),0)=0,"X","_")</f>
        <v>_</v>
      </c>
      <c r="C846" t="str">
        <f>IF(IFERROR(VLOOKUP(TRIM(A846),'Full Inventory'!F:F,1,0),0)=0,"X","_")</f>
        <v>X</v>
      </c>
      <c r="D846" t="str">
        <f t="shared" si="52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F846" t="str">
        <f t="shared" si="53"/>
        <v>_</v>
      </c>
      <c r="K846" t="str">
        <f t="shared" ca="1" si="54"/>
        <v>_XX_</v>
      </c>
      <c r="L846" t="str">
        <f t="shared" ca="1" si="55"/>
        <v/>
      </c>
      <c r="M846" t="str">
        <f>IFERROR(INDEX(Inventory!A:A,MATCH(Scan!A846,Inventory!E:E,0)),"")</f>
        <v/>
      </c>
    </row>
    <row r="847" spans="2:13" x14ac:dyDescent="0.3">
      <c r="B847" t="str">
        <f>IF(IFERROR(VLOOKUP(TRIM(A847),Inventory!E:E,1,0),0)=0,"X","_")</f>
        <v>_</v>
      </c>
      <c r="C847" t="str">
        <f>IF(IFERROR(VLOOKUP(TRIM(A847),'Full Inventory'!F:F,1,0),0)=0,"X","_")</f>
        <v>X</v>
      </c>
      <c r="D847" t="str">
        <f t="shared" si="52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F847" t="str">
        <f t="shared" si="53"/>
        <v>_</v>
      </c>
      <c r="K847" t="str">
        <f t="shared" ca="1" si="54"/>
        <v>_XX_</v>
      </c>
      <c r="L847" t="str">
        <f t="shared" ca="1" si="55"/>
        <v/>
      </c>
      <c r="M847" t="str">
        <f>IFERROR(INDEX(Inventory!A:A,MATCH(Scan!A847,Inventory!E:E,0)),"")</f>
        <v/>
      </c>
    </row>
    <row r="848" spans="2:13" x14ac:dyDescent="0.3">
      <c r="B848" t="str">
        <f>IF(IFERROR(VLOOKUP(TRIM(A848),Inventory!E:E,1,0),0)=0,"X","_")</f>
        <v>_</v>
      </c>
      <c r="C848" t="str">
        <f>IF(IFERROR(VLOOKUP(TRIM(A848),'Full Inventory'!F:F,1,0),0)=0,"X","_")</f>
        <v>X</v>
      </c>
      <c r="D848" t="str">
        <f t="shared" si="52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F848" t="str">
        <f t="shared" si="53"/>
        <v>_</v>
      </c>
      <c r="K848" t="str">
        <f t="shared" ca="1" si="54"/>
        <v>_XX_</v>
      </c>
      <c r="L848" t="str">
        <f t="shared" ca="1" si="55"/>
        <v/>
      </c>
      <c r="M848" t="str">
        <f>IFERROR(INDEX(Inventory!A:A,MATCH(Scan!A848,Inventory!E:E,0)),"")</f>
        <v/>
      </c>
    </row>
    <row r="849" spans="2:13" x14ac:dyDescent="0.3">
      <c r="B849" t="str">
        <f>IF(IFERROR(VLOOKUP(TRIM(A849),Inventory!E:E,1,0),0)=0,"X","_")</f>
        <v>_</v>
      </c>
      <c r="C849" t="str">
        <f>IF(IFERROR(VLOOKUP(TRIM(A849),'Full Inventory'!F:F,1,0),0)=0,"X","_")</f>
        <v>X</v>
      </c>
      <c r="D849" t="str">
        <f t="shared" si="52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F849" t="str">
        <f t="shared" si="53"/>
        <v>_</v>
      </c>
      <c r="K849" t="str">
        <f t="shared" ca="1" si="54"/>
        <v>_XX_</v>
      </c>
      <c r="L849" t="str">
        <f t="shared" ca="1" si="55"/>
        <v/>
      </c>
      <c r="M849" t="str">
        <f>IFERROR(INDEX(Inventory!A:A,MATCH(Scan!A849,Inventory!E:E,0)),"")</f>
        <v/>
      </c>
    </row>
    <row r="850" spans="2:13" x14ac:dyDescent="0.3">
      <c r="B850" t="str">
        <f>IF(IFERROR(VLOOKUP(TRIM(A850),Inventory!E:E,1,0),0)=0,"X","_")</f>
        <v>_</v>
      </c>
      <c r="C850" t="str">
        <f>IF(IFERROR(VLOOKUP(TRIM(A850),'Full Inventory'!F:F,1,0),0)=0,"X","_")</f>
        <v>X</v>
      </c>
      <c r="D850" t="str">
        <f t="shared" si="52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F850" t="str">
        <f t="shared" si="53"/>
        <v>_</v>
      </c>
      <c r="K850" t="str">
        <f t="shared" ca="1" si="54"/>
        <v>_XX_</v>
      </c>
      <c r="L850" t="str">
        <f t="shared" ca="1" si="55"/>
        <v/>
      </c>
      <c r="M850" t="str">
        <f>IFERROR(INDEX(Inventory!A:A,MATCH(Scan!A850,Inventory!E:E,0)),"")</f>
        <v/>
      </c>
    </row>
    <row r="851" spans="2:13" x14ac:dyDescent="0.3">
      <c r="B851" t="str">
        <f>IF(IFERROR(VLOOKUP(TRIM(A851),Inventory!E:E,1,0),0)=0,"X","_")</f>
        <v>_</v>
      </c>
      <c r="C851" t="str">
        <f>IF(IFERROR(VLOOKUP(TRIM(A851),'Full Inventory'!F:F,1,0),0)=0,"X","_")</f>
        <v>X</v>
      </c>
      <c r="D851" t="str">
        <f t="shared" si="52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F851" t="str">
        <f t="shared" si="53"/>
        <v>_</v>
      </c>
      <c r="K851" t="str">
        <f t="shared" ca="1" si="54"/>
        <v>_XX_</v>
      </c>
      <c r="L851" t="str">
        <f t="shared" ca="1" si="55"/>
        <v/>
      </c>
      <c r="M851" t="str">
        <f>IFERROR(INDEX(Inventory!A:A,MATCH(Scan!A851,Inventory!E:E,0)),"")</f>
        <v/>
      </c>
    </row>
    <row r="852" spans="2:13" x14ac:dyDescent="0.3">
      <c r="B852" t="str">
        <f>IF(IFERROR(VLOOKUP(TRIM(A852),Inventory!E:E,1,0),0)=0,"X","_")</f>
        <v>_</v>
      </c>
      <c r="C852" t="str">
        <f>IF(IFERROR(VLOOKUP(TRIM(A852),'Full Inventory'!F:F,1,0),0)=0,"X","_")</f>
        <v>X</v>
      </c>
      <c r="D852" t="str">
        <f t="shared" si="52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F852" t="str">
        <f t="shared" si="53"/>
        <v>_</v>
      </c>
      <c r="K852" t="str">
        <f t="shared" ca="1" si="54"/>
        <v>_XX_</v>
      </c>
      <c r="L852" t="str">
        <f t="shared" ca="1" si="55"/>
        <v/>
      </c>
      <c r="M852" t="str">
        <f>IFERROR(INDEX(Inventory!A:A,MATCH(Scan!A852,Inventory!E:E,0)),"")</f>
        <v/>
      </c>
    </row>
    <row r="853" spans="2:13" x14ac:dyDescent="0.3">
      <c r="B853" t="str">
        <f>IF(IFERROR(VLOOKUP(TRIM(A853),Inventory!E:E,1,0),0)=0,"X","_")</f>
        <v>_</v>
      </c>
      <c r="C853" t="str">
        <f>IF(IFERROR(VLOOKUP(TRIM(A853),'Full Inventory'!F:F,1,0),0)=0,"X","_")</f>
        <v>X</v>
      </c>
      <c r="D853" t="str">
        <f t="shared" si="52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F853" t="str">
        <f t="shared" si="53"/>
        <v>_</v>
      </c>
      <c r="K853" t="str">
        <f t="shared" ca="1" si="54"/>
        <v>_XX_</v>
      </c>
      <c r="L853" t="str">
        <f t="shared" ca="1" si="55"/>
        <v/>
      </c>
      <c r="M853" t="str">
        <f>IFERROR(INDEX(Inventory!A:A,MATCH(Scan!A853,Inventory!E:E,0)),"")</f>
        <v/>
      </c>
    </row>
    <row r="854" spans="2:13" x14ac:dyDescent="0.3">
      <c r="B854" t="str">
        <f>IF(IFERROR(VLOOKUP(TRIM(A854),Inventory!E:E,1,0),0)=0,"X","_")</f>
        <v>_</v>
      </c>
      <c r="C854" t="str">
        <f>IF(IFERROR(VLOOKUP(TRIM(A854),'Full Inventory'!F:F,1,0),0)=0,"X","_")</f>
        <v>X</v>
      </c>
      <c r="D854" t="str">
        <f t="shared" si="52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F854" t="str">
        <f t="shared" si="53"/>
        <v>_</v>
      </c>
      <c r="K854" t="str">
        <f t="shared" ca="1" si="54"/>
        <v>_XX_</v>
      </c>
      <c r="L854" t="str">
        <f t="shared" ca="1" si="55"/>
        <v/>
      </c>
      <c r="M854" t="str">
        <f>IFERROR(INDEX(Inventory!A:A,MATCH(Scan!A854,Inventory!E:E,0)),"")</f>
        <v/>
      </c>
    </row>
    <row r="855" spans="2:13" x14ac:dyDescent="0.3">
      <c r="B855" t="str">
        <f>IF(IFERROR(VLOOKUP(TRIM(A855),Inventory!E:E,1,0),0)=0,"X","_")</f>
        <v>_</v>
      </c>
      <c r="C855" t="str">
        <f>IF(IFERROR(VLOOKUP(TRIM(A855),'Full Inventory'!F:F,1,0),0)=0,"X","_")</f>
        <v>X</v>
      </c>
      <c r="D855" t="str">
        <f t="shared" si="52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F855" t="str">
        <f t="shared" si="53"/>
        <v>_</v>
      </c>
      <c r="K855" t="str">
        <f t="shared" ca="1" si="54"/>
        <v>_XX_</v>
      </c>
      <c r="L855" t="str">
        <f t="shared" ca="1" si="55"/>
        <v/>
      </c>
      <c r="M855" t="str">
        <f>IFERROR(INDEX(Inventory!A:A,MATCH(Scan!A855,Inventory!E:E,0)),"")</f>
        <v/>
      </c>
    </row>
    <row r="856" spans="2:13" x14ac:dyDescent="0.3">
      <c r="B856" t="str">
        <f>IF(IFERROR(VLOOKUP(TRIM(A856),Inventory!E:E,1,0),0)=0,"X","_")</f>
        <v>_</v>
      </c>
      <c r="C856" t="str">
        <f>IF(IFERROR(VLOOKUP(TRIM(A856),'Full Inventory'!F:F,1,0),0)=0,"X","_")</f>
        <v>X</v>
      </c>
      <c r="D856" t="str">
        <f t="shared" si="52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F856" t="str">
        <f t="shared" si="53"/>
        <v>_</v>
      </c>
      <c r="K856" t="str">
        <f t="shared" ca="1" si="54"/>
        <v>_XX_</v>
      </c>
      <c r="L856" t="str">
        <f t="shared" ca="1" si="55"/>
        <v/>
      </c>
      <c r="M856" t="str">
        <f>IFERROR(INDEX(Inventory!A:A,MATCH(Scan!A856,Inventory!E:E,0)),"")</f>
        <v/>
      </c>
    </row>
    <row r="857" spans="2:13" x14ac:dyDescent="0.3">
      <c r="B857" t="str">
        <f>IF(IFERROR(VLOOKUP(TRIM(A857),Inventory!E:E,1,0),0)=0,"X","_")</f>
        <v>_</v>
      </c>
      <c r="C857" t="str">
        <f>IF(IFERROR(VLOOKUP(TRIM(A857),'Full Inventory'!F:F,1,0),0)=0,"X","_")</f>
        <v>X</v>
      </c>
      <c r="D857" t="str">
        <f t="shared" si="52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F857" t="str">
        <f t="shared" si="53"/>
        <v>_</v>
      </c>
      <c r="K857" t="str">
        <f t="shared" ca="1" si="54"/>
        <v>_XX_</v>
      </c>
      <c r="L857" t="str">
        <f t="shared" ca="1" si="55"/>
        <v/>
      </c>
      <c r="M857" t="str">
        <f>IFERROR(INDEX(Inventory!A:A,MATCH(Scan!A857,Inventory!E:E,0)),"")</f>
        <v/>
      </c>
    </row>
    <row r="858" spans="2:13" x14ac:dyDescent="0.3">
      <c r="B858" t="str">
        <f>IF(IFERROR(VLOOKUP(TRIM(A858),Inventory!E:E,1,0),0)=0,"X","_")</f>
        <v>_</v>
      </c>
      <c r="C858" t="str">
        <f>IF(IFERROR(VLOOKUP(TRIM(A858),'Full Inventory'!F:F,1,0),0)=0,"X","_")</f>
        <v>X</v>
      </c>
      <c r="D858" t="str">
        <f t="shared" si="52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F858" t="str">
        <f t="shared" si="53"/>
        <v>_</v>
      </c>
      <c r="K858" t="str">
        <f t="shared" ca="1" si="54"/>
        <v>_XX_</v>
      </c>
      <c r="L858" t="str">
        <f t="shared" ca="1" si="55"/>
        <v/>
      </c>
      <c r="M858" t="str">
        <f>IFERROR(INDEX(Inventory!A:A,MATCH(Scan!A858,Inventory!E:E,0)),"")</f>
        <v/>
      </c>
    </row>
    <row r="859" spans="2:13" x14ac:dyDescent="0.3">
      <c r="B859" t="str">
        <f>IF(IFERROR(VLOOKUP(TRIM(A859),Inventory!E:E,1,0),0)=0,"X","_")</f>
        <v>_</v>
      </c>
      <c r="C859" t="str">
        <f>IF(IFERROR(VLOOKUP(TRIM(A859),'Full Inventory'!F:F,1,0),0)=0,"X","_")</f>
        <v>X</v>
      </c>
      <c r="D859" t="str">
        <f t="shared" si="52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F859" t="str">
        <f t="shared" si="53"/>
        <v>_</v>
      </c>
      <c r="K859" t="str">
        <f t="shared" ca="1" si="54"/>
        <v>_XX_</v>
      </c>
      <c r="L859" t="str">
        <f t="shared" ca="1" si="55"/>
        <v/>
      </c>
      <c r="M859" t="str">
        <f>IFERROR(INDEX(Inventory!A:A,MATCH(Scan!A859,Inventory!E:E,0)),"")</f>
        <v/>
      </c>
    </row>
    <row r="860" spans="2:13" x14ac:dyDescent="0.3">
      <c r="B860" t="str">
        <f>IF(IFERROR(VLOOKUP(TRIM(A860),Inventory!E:E,1,0),0)=0,"X","_")</f>
        <v>_</v>
      </c>
      <c r="C860" t="str">
        <f>IF(IFERROR(VLOOKUP(TRIM(A860),'Full Inventory'!F:F,1,0),0)=0,"X","_")</f>
        <v>X</v>
      </c>
      <c r="D860" t="str">
        <f t="shared" si="52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F860" t="str">
        <f t="shared" si="53"/>
        <v>_</v>
      </c>
      <c r="K860" t="str">
        <f t="shared" ca="1" si="54"/>
        <v>_XX_</v>
      </c>
      <c r="L860" t="str">
        <f t="shared" ca="1" si="55"/>
        <v/>
      </c>
      <c r="M860" t="str">
        <f>IFERROR(INDEX(Inventory!A:A,MATCH(Scan!A860,Inventory!E:E,0)),"")</f>
        <v/>
      </c>
    </row>
    <row r="861" spans="2:13" x14ac:dyDescent="0.3">
      <c r="B861" t="str">
        <f>IF(IFERROR(VLOOKUP(TRIM(A861),Inventory!E:E,1,0),0)=0,"X","_")</f>
        <v>_</v>
      </c>
      <c r="C861" t="str">
        <f>IF(IFERROR(VLOOKUP(TRIM(A861),'Full Inventory'!F:F,1,0),0)=0,"X","_")</f>
        <v>X</v>
      </c>
      <c r="D861" t="str">
        <f t="shared" si="52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F861" t="str">
        <f t="shared" si="53"/>
        <v>_</v>
      </c>
      <c r="K861" t="str">
        <f t="shared" ca="1" si="54"/>
        <v>_XX_</v>
      </c>
      <c r="L861" t="str">
        <f t="shared" ca="1" si="55"/>
        <v/>
      </c>
      <c r="M861" t="str">
        <f>IFERROR(INDEX(Inventory!A:A,MATCH(Scan!A861,Inventory!E:E,0)),"")</f>
        <v/>
      </c>
    </row>
    <row r="862" spans="2:13" x14ac:dyDescent="0.3">
      <c r="B862" t="str">
        <f>IF(IFERROR(VLOOKUP(TRIM(A862),Inventory!E:E,1,0),0)=0,"X","_")</f>
        <v>_</v>
      </c>
      <c r="C862" t="str">
        <f>IF(IFERROR(VLOOKUP(TRIM(A862),'Full Inventory'!F:F,1,0),0)=0,"X","_")</f>
        <v>X</v>
      </c>
      <c r="D862" t="str">
        <f t="shared" si="52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F862" t="str">
        <f t="shared" si="53"/>
        <v>_</v>
      </c>
      <c r="K862" t="str">
        <f t="shared" ca="1" si="54"/>
        <v>_XX_</v>
      </c>
      <c r="L862" t="str">
        <f t="shared" ca="1" si="55"/>
        <v/>
      </c>
      <c r="M862" t="str">
        <f>IFERROR(INDEX(Inventory!A:A,MATCH(Scan!A862,Inventory!E:E,0)),"")</f>
        <v/>
      </c>
    </row>
    <row r="863" spans="2:13" x14ac:dyDescent="0.3">
      <c r="B863" t="str">
        <f>IF(IFERROR(VLOOKUP(TRIM(A863),Inventory!E:E,1,0),0)=0,"X","_")</f>
        <v>_</v>
      </c>
      <c r="C863" t="str">
        <f>IF(IFERROR(VLOOKUP(TRIM(A863),'Full Inventory'!F:F,1,0),0)=0,"X","_")</f>
        <v>X</v>
      </c>
      <c r="D863" t="str">
        <f t="shared" si="52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F863" t="str">
        <f t="shared" si="53"/>
        <v>_</v>
      </c>
      <c r="K863" t="str">
        <f t="shared" ca="1" si="54"/>
        <v>_XX_</v>
      </c>
      <c r="L863" t="str">
        <f t="shared" ca="1" si="55"/>
        <v/>
      </c>
      <c r="M863" t="str">
        <f>IFERROR(INDEX(Inventory!A:A,MATCH(Scan!A863,Inventory!E:E,0)),"")</f>
        <v/>
      </c>
    </row>
    <row r="864" spans="2:13" x14ac:dyDescent="0.3">
      <c r="B864" t="str">
        <f>IF(IFERROR(VLOOKUP(TRIM(A864),Inventory!E:E,1,0),0)=0,"X","_")</f>
        <v>_</v>
      </c>
      <c r="C864" t="str">
        <f>IF(IFERROR(VLOOKUP(TRIM(A864),'Full Inventory'!F:F,1,0),0)=0,"X","_")</f>
        <v>X</v>
      </c>
      <c r="D864" t="str">
        <f t="shared" si="52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F864" t="str">
        <f t="shared" si="53"/>
        <v>_</v>
      </c>
      <c r="K864" t="str">
        <f t="shared" ca="1" si="54"/>
        <v>_XX_</v>
      </c>
      <c r="L864" t="str">
        <f t="shared" ca="1" si="55"/>
        <v/>
      </c>
      <c r="M864" t="str">
        <f>IFERROR(INDEX(Inventory!A:A,MATCH(Scan!A864,Inventory!E:E,0)),"")</f>
        <v/>
      </c>
    </row>
    <row r="865" spans="2:13" x14ac:dyDescent="0.3">
      <c r="B865" t="str">
        <f>IF(IFERROR(VLOOKUP(TRIM(A865),Inventory!E:E,1,0),0)=0,"X","_")</f>
        <v>_</v>
      </c>
      <c r="C865" t="str">
        <f>IF(IFERROR(VLOOKUP(TRIM(A865),'Full Inventory'!F:F,1,0),0)=0,"X","_")</f>
        <v>X</v>
      </c>
      <c r="D865" t="str">
        <f t="shared" si="52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F865" t="str">
        <f t="shared" si="53"/>
        <v>_</v>
      </c>
      <c r="K865" t="str">
        <f t="shared" ca="1" si="54"/>
        <v>_XX_</v>
      </c>
      <c r="L865" t="str">
        <f t="shared" ca="1" si="55"/>
        <v/>
      </c>
      <c r="M865" t="str">
        <f>IFERROR(INDEX(Inventory!A:A,MATCH(Scan!A865,Inventory!E:E,0)),"")</f>
        <v/>
      </c>
    </row>
    <row r="866" spans="2:13" x14ac:dyDescent="0.3">
      <c r="B866" t="str">
        <f>IF(IFERROR(VLOOKUP(TRIM(A866),Inventory!E:E,1,0),0)=0,"X","_")</f>
        <v>_</v>
      </c>
      <c r="C866" t="str">
        <f>IF(IFERROR(VLOOKUP(TRIM(A866),'Full Inventory'!F:F,1,0),0)=0,"X","_")</f>
        <v>X</v>
      </c>
      <c r="D866" t="str">
        <f t="shared" si="52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F866" t="str">
        <f t="shared" si="53"/>
        <v>_</v>
      </c>
      <c r="K866" t="str">
        <f t="shared" ca="1" si="54"/>
        <v>_XX_</v>
      </c>
      <c r="L866" t="str">
        <f t="shared" ca="1" si="55"/>
        <v/>
      </c>
      <c r="M866" t="str">
        <f>IFERROR(INDEX(Inventory!A:A,MATCH(Scan!A866,Inventory!E:E,0)),"")</f>
        <v/>
      </c>
    </row>
    <row r="867" spans="2:13" x14ac:dyDescent="0.3">
      <c r="B867" t="str">
        <f>IF(IFERROR(VLOOKUP(TRIM(A867),Inventory!E:E,1,0),0)=0,"X","_")</f>
        <v>_</v>
      </c>
      <c r="C867" t="str">
        <f>IF(IFERROR(VLOOKUP(TRIM(A867),'Full Inventory'!F:F,1,0),0)=0,"X","_")</f>
        <v>X</v>
      </c>
      <c r="D867" t="str">
        <f t="shared" si="52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F867" t="str">
        <f t="shared" si="53"/>
        <v>_</v>
      </c>
      <c r="K867" t="str">
        <f t="shared" ca="1" si="54"/>
        <v>_XX_</v>
      </c>
      <c r="L867" t="str">
        <f t="shared" ca="1" si="55"/>
        <v/>
      </c>
      <c r="M867" t="str">
        <f>IFERROR(INDEX(Inventory!A:A,MATCH(Scan!A867,Inventory!E:E,0)),"")</f>
        <v/>
      </c>
    </row>
    <row r="868" spans="2:13" x14ac:dyDescent="0.3">
      <c r="B868" t="str">
        <f>IF(IFERROR(VLOOKUP(TRIM(A868),Inventory!E:E,1,0),0)=0,"X","_")</f>
        <v>_</v>
      </c>
      <c r="C868" t="str">
        <f>IF(IFERROR(VLOOKUP(TRIM(A868),'Full Inventory'!F:F,1,0),0)=0,"X","_")</f>
        <v>X</v>
      </c>
      <c r="D868" t="str">
        <f t="shared" si="52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F868" t="str">
        <f t="shared" si="53"/>
        <v>_</v>
      </c>
      <c r="K868" t="str">
        <f t="shared" ca="1" si="54"/>
        <v>_XX_</v>
      </c>
      <c r="L868" t="str">
        <f t="shared" ca="1" si="55"/>
        <v/>
      </c>
      <c r="M868" t="str">
        <f>IFERROR(INDEX(Inventory!A:A,MATCH(Scan!A868,Inventory!E:E,0)),"")</f>
        <v/>
      </c>
    </row>
    <row r="869" spans="2:13" x14ac:dyDescent="0.3">
      <c r="B869" t="str">
        <f>IF(IFERROR(VLOOKUP(TRIM(A869),Inventory!E:E,1,0),0)=0,"X","_")</f>
        <v>_</v>
      </c>
      <c r="C869" t="str">
        <f>IF(IFERROR(VLOOKUP(TRIM(A869),'Full Inventory'!F:F,1,0),0)=0,"X","_")</f>
        <v>X</v>
      </c>
      <c r="D869" t="str">
        <f t="shared" si="52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F869" t="str">
        <f t="shared" si="53"/>
        <v>_</v>
      </c>
      <c r="K869" t="str">
        <f t="shared" ca="1" si="54"/>
        <v>_XX_</v>
      </c>
      <c r="L869" t="str">
        <f t="shared" ca="1" si="55"/>
        <v/>
      </c>
      <c r="M869" t="str">
        <f>IFERROR(INDEX(Inventory!A:A,MATCH(Scan!A869,Inventory!E:E,0)),"")</f>
        <v/>
      </c>
    </row>
    <row r="870" spans="2:13" x14ac:dyDescent="0.3">
      <c r="B870" t="str">
        <f>IF(IFERROR(VLOOKUP(TRIM(A870),Inventory!E:E,1,0),0)=0,"X","_")</f>
        <v>_</v>
      </c>
      <c r="C870" t="str">
        <f>IF(IFERROR(VLOOKUP(TRIM(A870),'Full Inventory'!F:F,1,0),0)=0,"X","_")</f>
        <v>X</v>
      </c>
      <c r="D870" t="str">
        <f t="shared" si="52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F870" t="str">
        <f t="shared" si="53"/>
        <v>_</v>
      </c>
      <c r="K870" t="str">
        <f t="shared" ca="1" si="54"/>
        <v>_XX_</v>
      </c>
      <c r="L870" t="str">
        <f t="shared" ca="1" si="55"/>
        <v/>
      </c>
      <c r="M870" t="str">
        <f>IFERROR(INDEX(Inventory!A:A,MATCH(Scan!A870,Inventory!E:E,0)),"")</f>
        <v/>
      </c>
    </row>
    <row r="871" spans="2:13" x14ac:dyDescent="0.3">
      <c r="B871" t="str">
        <f>IF(IFERROR(VLOOKUP(TRIM(A871),Inventory!E:E,1,0),0)=0,"X","_")</f>
        <v>_</v>
      </c>
      <c r="C871" t="str">
        <f>IF(IFERROR(VLOOKUP(TRIM(A871),'Full Inventory'!F:F,1,0),0)=0,"X","_")</f>
        <v>X</v>
      </c>
      <c r="D871" t="str">
        <f t="shared" si="52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F871" t="str">
        <f t="shared" si="53"/>
        <v>_</v>
      </c>
      <c r="K871" t="str">
        <f t="shared" ca="1" si="54"/>
        <v>_XX_</v>
      </c>
      <c r="L871" t="str">
        <f t="shared" ca="1" si="55"/>
        <v/>
      </c>
      <c r="M871" t="str">
        <f>IFERROR(INDEX(Inventory!A:A,MATCH(Scan!A871,Inventory!E:E,0)),"")</f>
        <v/>
      </c>
    </row>
    <row r="872" spans="2:13" x14ac:dyDescent="0.3">
      <c r="B872" t="str">
        <f>IF(IFERROR(VLOOKUP(TRIM(A872),Inventory!E:E,1,0),0)=0,"X","_")</f>
        <v>_</v>
      </c>
      <c r="C872" t="str">
        <f>IF(IFERROR(VLOOKUP(TRIM(A872),'Full Inventory'!F:F,1,0),0)=0,"X","_")</f>
        <v>X</v>
      </c>
      <c r="D872" t="str">
        <f t="shared" si="52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F872" t="str">
        <f t="shared" si="53"/>
        <v>_</v>
      </c>
      <c r="K872" t="str">
        <f t="shared" ca="1" si="54"/>
        <v>_XX_</v>
      </c>
      <c r="L872" t="str">
        <f t="shared" ca="1" si="55"/>
        <v/>
      </c>
      <c r="M872" t="str">
        <f>IFERROR(INDEX(Inventory!A:A,MATCH(Scan!A872,Inventory!E:E,0)),"")</f>
        <v/>
      </c>
    </row>
    <row r="873" spans="2:13" x14ac:dyDescent="0.3">
      <c r="B873" t="str">
        <f>IF(IFERROR(VLOOKUP(TRIM(A873),Inventory!E:E,1,0),0)=0,"X","_")</f>
        <v>_</v>
      </c>
      <c r="C873" t="str">
        <f>IF(IFERROR(VLOOKUP(TRIM(A873),'Full Inventory'!F:F,1,0),0)=0,"X","_")</f>
        <v>X</v>
      </c>
      <c r="D873" t="str">
        <f t="shared" si="52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F873" t="str">
        <f t="shared" si="53"/>
        <v>_</v>
      </c>
      <c r="K873" t="str">
        <f t="shared" ca="1" si="54"/>
        <v>_XX_</v>
      </c>
      <c r="L873" t="str">
        <f t="shared" ca="1" si="55"/>
        <v/>
      </c>
      <c r="M873" t="str">
        <f>IFERROR(INDEX(Inventory!A:A,MATCH(Scan!A873,Inventory!E:E,0)),"")</f>
        <v/>
      </c>
    </row>
    <row r="874" spans="2:13" x14ac:dyDescent="0.3">
      <c r="B874" t="str">
        <f>IF(IFERROR(VLOOKUP(TRIM(A874),Inventory!E:E,1,0),0)=0,"X","_")</f>
        <v>_</v>
      </c>
      <c r="C874" t="str">
        <f>IF(IFERROR(VLOOKUP(TRIM(A874),'Full Inventory'!F:F,1,0),0)=0,"X","_")</f>
        <v>X</v>
      </c>
      <c r="D874" t="str">
        <f t="shared" si="52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F874" t="str">
        <f t="shared" si="53"/>
        <v>_</v>
      </c>
      <c r="K874" t="str">
        <f t="shared" ca="1" si="54"/>
        <v>_XX_</v>
      </c>
      <c r="L874" t="str">
        <f t="shared" ca="1" si="55"/>
        <v/>
      </c>
      <c r="M874" t="str">
        <f>IFERROR(INDEX(Inventory!A:A,MATCH(Scan!A874,Inventory!E:E,0)),"")</f>
        <v/>
      </c>
    </row>
    <row r="875" spans="2:13" x14ac:dyDescent="0.3">
      <c r="B875" t="str">
        <f>IF(IFERROR(VLOOKUP(TRIM(A875),Inventory!E:E,1,0),0)=0,"X","_")</f>
        <v>_</v>
      </c>
      <c r="C875" t="str">
        <f>IF(IFERROR(VLOOKUP(TRIM(A875),'Full Inventory'!F:F,1,0),0)=0,"X","_")</f>
        <v>X</v>
      </c>
      <c r="D875" t="str">
        <f t="shared" si="52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F875" t="str">
        <f t="shared" si="53"/>
        <v>_</v>
      </c>
      <c r="K875" t="str">
        <f t="shared" ca="1" si="54"/>
        <v>_XX_</v>
      </c>
      <c r="L875" t="str">
        <f t="shared" ca="1" si="55"/>
        <v/>
      </c>
      <c r="M875" t="str">
        <f>IFERROR(INDEX(Inventory!A:A,MATCH(Scan!A875,Inventory!E:E,0)),"")</f>
        <v/>
      </c>
    </row>
    <row r="876" spans="2:13" x14ac:dyDescent="0.3">
      <c r="B876" t="str">
        <f>IF(IFERROR(VLOOKUP(TRIM(A876),Inventory!E:E,1,0),0)=0,"X","_")</f>
        <v>_</v>
      </c>
      <c r="C876" t="str">
        <f>IF(IFERROR(VLOOKUP(TRIM(A876),'Full Inventory'!F:F,1,0),0)=0,"X","_")</f>
        <v>X</v>
      </c>
      <c r="D876" t="str">
        <f t="shared" si="52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F876" t="str">
        <f t="shared" si="53"/>
        <v>_</v>
      </c>
      <c r="K876" t="str">
        <f t="shared" ca="1" si="54"/>
        <v>_XX_</v>
      </c>
      <c r="L876" t="str">
        <f t="shared" ca="1" si="55"/>
        <v/>
      </c>
      <c r="M876" t="str">
        <f>IFERROR(INDEX(Inventory!A:A,MATCH(Scan!A876,Inventory!E:E,0)),"")</f>
        <v/>
      </c>
    </row>
    <row r="877" spans="2:13" x14ac:dyDescent="0.3">
      <c r="B877" t="str">
        <f>IF(IFERROR(VLOOKUP(TRIM(A877),Inventory!E:E,1,0),0)=0,"X","_")</f>
        <v>_</v>
      </c>
      <c r="C877" t="str">
        <f>IF(IFERROR(VLOOKUP(TRIM(A877),'Full Inventory'!F:F,1,0),0)=0,"X","_")</f>
        <v>X</v>
      </c>
      <c r="D877" t="str">
        <f t="shared" si="52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F877" t="str">
        <f t="shared" si="53"/>
        <v>_</v>
      </c>
      <c r="K877" t="str">
        <f t="shared" ca="1" si="54"/>
        <v>_XX_</v>
      </c>
      <c r="L877" t="str">
        <f t="shared" ca="1" si="55"/>
        <v/>
      </c>
      <c r="M877" t="str">
        <f>IFERROR(INDEX(Inventory!A:A,MATCH(Scan!A877,Inventory!E:E,0)),"")</f>
        <v/>
      </c>
    </row>
    <row r="878" spans="2:13" x14ac:dyDescent="0.3">
      <c r="B878" t="str">
        <f>IF(IFERROR(VLOOKUP(TRIM(A878),Inventory!E:E,1,0),0)=0,"X","_")</f>
        <v>_</v>
      </c>
      <c r="C878" t="str">
        <f>IF(IFERROR(VLOOKUP(TRIM(A878),'Full Inventory'!F:F,1,0),0)=0,"X","_")</f>
        <v>X</v>
      </c>
      <c r="D878" t="str">
        <f t="shared" si="52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F878" t="str">
        <f t="shared" si="53"/>
        <v>_</v>
      </c>
      <c r="K878" t="str">
        <f t="shared" ca="1" si="54"/>
        <v>_XX_</v>
      </c>
      <c r="L878" t="str">
        <f t="shared" ca="1" si="55"/>
        <v/>
      </c>
      <c r="M878" t="str">
        <f>IFERROR(INDEX(Inventory!A:A,MATCH(Scan!A878,Inventory!E:E,0)),"")</f>
        <v/>
      </c>
    </row>
    <row r="879" spans="2:13" x14ac:dyDescent="0.3">
      <c r="B879" t="str">
        <f>IF(IFERROR(VLOOKUP(TRIM(A879),Inventory!E:E,1,0),0)=0,"X","_")</f>
        <v>_</v>
      </c>
      <c r="C879" t="str">
        <f>IF(IFERROR(VLOOKUP(TRIM(A879),'Full Inventory'!F:F,1,0),0)=0,"X","_")</f>
        <v>X</v>
      </c>
      <c r="D879" t="str">
        <f t="shared" si="52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F879" t="str">
        <f t="shared" si="53"/>
        <v>_</v>
      </c>
      <c r="K879" t="str">
        <f t="shared" ca="1" si="54"/>
        <v>_XX_</v>
      </c>
      <c r="L879" t="str">
        <f t="shared" ca="1" si="55"/>
        <v/>
      </c>
      <c r="M879" t="str">
        <f>IFERROR(INDEX(Inventory!A:A,MATCH(Scan!A879,Inventory!E:E,0)),"")</f>
        <v/>
      </c>
    </row>
    <row r="880" spans="2:13" x14ac:dyDescent="0.3">
      <c r="B880" t="str">
        <f>IF(IFERROR(VLOOKUP(TRIM(A880),Inventory!E:E,1,0),0)=0,"X","_")</f>
        <v>_</v>
      </c>
      <c r="C880" t="str">
        <f>IF(IFERROR(VLOOKUP(TRIM(A880),'Full Inventory'!F:F,1,0),0)=0,"X","_")</f>
        <v>X</v>
      </c>
      <c r="D880" t="str">
        <f t="shared" si="52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F880" t="str">
        <f t="shared" si="53"/>
        <v>_</v>
      </c>
      <c r="K880" t="str">
        <f t="shared" ca="1" si="54"/>
        <v>_XX_</v>
      </c>
      <c r="L880" t="str">
        <f t="shared" ca="1" si="55"/>
        <v/>
      </c>
      <c r="M880" t="str">
        <f>IFERROR(INDEX(Inventory!A:A,MATCH(Scan!A880,Inventory!E:E,0)),"")</f>
        <v/>
      </c>
    </row>
    <row r="881" spans="2:13" x14ac:dyDescent="0.3">
      <c r="B881" t="str">
        <f>IF(IFERROR(VLOOKUP(TRIM(A881),Inventory!E:E,1,0),0)=0,"X","_")</f>
        <v>_</v>
      </c>
      <c r="C881" t="str">
        <f>IF(IFERROR(VLOOKUP(TRIM(A881),'Full Inventory'!F:F,1,0),0)=0,"X","_")</f>
        <v>X</v>
      </c>
      <c r="D881" t="str">
        <f t="shared" si="52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F881" t="str">
        <f t="shared" si="53"/>
        <v>_</v>
      </c>
      <c r="K881" t="str">
        <f t="shared" ca="1" si="54"/>
        <v>_XX_</v>
      </c>
      <c r="L881" t="str">
        <f t="shared" ca="1" si="55"/>
        <v/>
      </c>
      <c r="M881" t="str">
        <f>IFERROR(INDEX(Inventory!A:A,MATCH(Scan!A881,Inventory!E:E,0)),"")</f>
        <v/>
      </c>
    </row>
    <row r="882" spans="2:13" x14ac:dyDescent="0.3">
      <c r="B882" t="str">
        <f>IF(IFERROR(VLOOKUP(TRIM(A882),Inventory!E:E,1,0),0)=0,"X","_")</f>
        <v>_</v>
      </c>
      <c r="C882" t="str">
        <f>IF(IFERROR(VLOOKUP(TRIM(A882),'Full Inventory'!F:F,1,0),0)=0,"X","_")</f>
        <v>X</v>
      </c>
      <c r="D882" t="str">
        <f t="shared" si="52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F882" t="str">
        <f t="shared" si="53"/>
        <v>_</v>
      </c>
      <c r="K882" t="str">
        <f t="shared" ca="1" si="54"/>
        <v>_XX_</v>
      </c>
      <c r="L882" t="str">
        <f t="shared" ca="1" si="55"/>
        <v/>
      </c>
      <c r="M882" t="str">
        <f>IFERROR(INDEX(Inventory!A:A,MATCH(Scan!A882,Inventory!E:E,0)),"")</f>
        <v/>
      </c>
    </row>
    <row r="883" spans="2:13" x14ac:dyDescent="0.3">
      <c r="B883" t="str">
        <f>IF(IFERROR(VLOOKUP(TRIM(A883),Inventory!E:E,1,0),0)=0,"X","_")</f>
        <v>_</v>
      </c>
      <c r="C883" t="str">
        <f>IF(IFERROR(VLOOKUP(TRIM(A883),'Full Inventory'!F:F,1,0),0)=0,"X","_")</f>
        <v>X</v>
      </c>
      <c r="D883" t="str">
        <f t="shared" si="52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F883" t="str">
        <f t="shared" si="53"/>
        <v>_</v>
      </c>
      <c r="K883" t="str">
        <f t="shared" ca="1" si="54"/>
        <v>_XX_</v>
      </c>
      <c r="L883" t="str">
        <f t="shared" ca="1" si="55"/>
        <v/>
      </c>
      <c r="M883" t="str">
        <f>IFERROR(INDEX(Inventory!A:A,MATCH(Scan!A883,Inventory!E:E,0)),"")</f>
        <v/>
      </c>
    </row>
    <row r="884" spans="2:13" x14ac:dyDescent="0.3">
      <c r="B884" t="str">
        <f>IF(IFERROR(VLOOKUP(TRIM(A884),Inventory!E:E,1,0),0)=0,"X","_")</f>
        <v>_</v>
      </c>
      <c r="C884" t="str">
        <f>IF(IFERROR(VLOOKUP(TRIM(A884),'Full Inventory'!F:F,1,0),0)=0,"X","_")</f>
        <v>X</v>
      </c>
      <c r="D884" t="str">
        <f t="shared" si="52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F884" t="str">
        <f t="shared" si="53"/>
        <v>_</v>
      </c>
      <c r="K884" t="str">
        <f t="shared" ca="1" si="54"/>
        <v>_XX_</v>
      </c>
      <c r="L884" t="str">
        <f t="shared" ca="1" si="55"/>
        <v/>
      </c>
      <c r="M884" t="str">
        <f>IFERROR(INDEX(Inventory!A:A,MATCH(Scan!A884,Inventory!E:E,0)),"")</f>
        <v/>
      </c>
    </row>
    <row r="885" spans="2:13" x14ac:dyDescent="0.3">
      <c r="B885" t="str">
        <f>IF(IFERROR(VLOOKUP(TRIM(A885),Inventory!E:E,1,0),0)=0,"X","_")</f>
        <v>_</v>
      </c>
      <c r="C885" t="str">
        <f>IF(IFERROR(VLOOKUP(TRIM(A885),'Full Inventory'!F:F,1,0),0)=0,"X","_")</f>
        <v>X</v>
      </c>
      <c r="D885" t="str">
        <f t="shared" si="52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F885" t="str">
        <f t="shared" si="53"/>
        <v>_</v>
      </c>
      <c r="K885" t="str">
        <f t="shared" ca="1" si="54"/>
        <v>_XX_</v>
      </c>
      <c r="L885" t="str">
        <f t="shared" ca="1" si="55"/>
        <v/>
      </c>
      <c r="M885" t="str">
        <f>IFERROR(INDEX(Inventory!A:A,MATCH(Scan!A885,Inventory!E:E,0)),"")</f>
        <v/>
      </c>
    </row>
    <row r="886" spans="2:13" x14ac:dyDescent="0.3">
      <c r="B886" t="str">
        <f>IF(IFERROR(VLOOKUP(TRIM(A886),Inventory!E:E,1,0),0)=0,"X","_")</f>
        <v>_</v>
      </c>
      <c r="C886" t="str">
        <f>IF(IFERROR(VLOOKUP(TRIM(A886),'Full Inventory'!F:F,1,0),0)=0,"X","_")</f>
        <v>X</v>
      </c>
      <c r="D886" t="str">
        <f t="shared" si="52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F886" t="str">
        <f t="shared" si="53"/>
        <v>_</v>
      </c>
      <c r="K886" t="str">
        <f t="shared" ca="1" si="54"/>
        <v>_XX_</v>
      </c>
      <c r="L886" t="str">
        <f t="shared" ca="1" si="55"/>
        <v/>
      </c>
      <c r="M886" t="str">
        <f>IFERROR(INDEX(Inventory!A:A,MATCH(Scan!A886,Inventory!E:E,0)),"")</f>
        <v/>
      </c>
    </row>
    <row r="887" spans="2:13" x14ac:dyDescent="0.3">
      <c r="B887" t="str">
        <f>IF(IFERROR(VLOOKUP(TRIM(A887),Inventory!E:E,1,0),0)=0,"X","_")</f>
        <v>_</v>
      </c>
      <c r="C887" t="str">
        <f>IF(IFERROR(VLOOKUP(TRIM(A887),'Full Inventory'!F:F,1,0),0)=0,"X","_")</f>
        <v>X</v>
      </c>
      <c r="D887" t="str">
        <f t="shared" si="52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F887" t="str">
        <f t="shared" si="53"/>
        <v>_</v>
      </c>
      <c r="K887" t="str">
        <f t="shared" ca="1" si="54"/>
        <v>_XX_</v>
      </c>
      <c r="L887" t="str">
        <f t="shared" ca="1" si="55"/>
        <v/>
      </c>
      <c r="M887" t="str">
        <f>IFERROR(INDEX(Inventory!A:A,MATCH(Scan!A887,Inventory!E:E,0)),"")</f>
        <v/>
      </c>
    </row>
    <row r="888" spans="2:13" x14ac:dyDescent="0.3">
      <c r="B888" t="str">
        <f>IF(IFERROR(VLOOKUP(TRIM(A888),Inventory!E:E,1,0),0)=0,"X","_")</f>
        <v>_</v>
      </c>
      <c r="C888" t="str">
        <f>IF(IFERROR(VLOOKUP(TRIM(A888),'Full Inventory'!F:F,1,0),0)=0,"X","_")</f>
        <v>X</v>
      </c>
      <c r="D888" t="str">
        <f t="shared" si="52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F888" t="str">
        <f t="shared" si="53"/>
        <v>_</v>
      </c>
      <c r="K888" t="str">
        <f t="shared" ca="1" si="54"/>
        <v>_XX_</v>
      </c>
      <c r="L888" t="str">
        <f t="shared" ca="1" si="55"/>
        <v/>
      </c>
      <c r="M888" t="str">
        <f>IFERROR(INDEX(Inventory!A:A,MATCH(Scan!A888,Inventory!E:E,0)),"")</f>
        <v/>
      </c>
    </row>
    <row r="889" spans="2:13" x14ac:dyDescent="0.3">
      <c r="B889" t="str">
        <f>IF(IFERROR(VLOOKUP(TRIM(A889),Inventory!E:E,1,0),0)=0,"X","_")</f>
        <v>_</v>
      </c>
      <c r="C889" t="str">
        <f>IF(IFERROR(VLOOKUP(TRIM(A889),'Full Inventory'!F:F,1,0),0)=0,"X","_")</f>
        <v>X</v>
      </c>
      <c r="D889" t="str">
        <f t="shared" si="52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F889" t="str">
        <f t="shared" si="53"/>
        <v>_</v>
      </c>
      <c r="K889" t="str">
        <f t="shared" ca="1" si="54"/>
        <v>_XX_</v>
      </c>
      <c r="L889" t="str">
        <f t="shared" ca="1" si="55"/>
        <v/>
      </c>
      <c r="M889" t="str">
        <f>IFERROR(INDEX(Inventory!A:A,MATCH(Scan!A889,Inventory!E:E,0)),"")</f>
        <v/>
      </c>
    </row>
    <row r="890" spans="2:13" x14ac:dyDescent="0.3">
      <c r="B890" t="str">
        <f>IF(IFERROR(VLOOKUP(TRIM(A890),Inventory!E:E,1,0),0)=0,"X","_")</f>
        <v>_</v>
      </c>
      <c r="C890" t="str">
        <f>IF(IFERROR(VLOOKUP(TRIM(A890),'Full Inventory'!F:F,1,0),0)=0,"X","_")</f>
        <v>X</v>
      </c>
      <c r="D890" t="str">
        <f t="shared" si="52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F890" t="str">
        <f t="shared" si="53"/>
        <v>_</v>
      </c>
      <c r="K890" t="str">
        <f t="shared" ca="1" si="54"/>
        <v>_XX_</v>
      </c>
      <c r="L890" t="str">
        <f t="shared" ca="1" si="55"/>
        <v/>
      </c>
      <c r="M890" t="str">
        <f>IFERROR(INDEX(Inventory!A:A,MATCH(Scan!A890,Inventory!E:E,0)),"")</f>
        <v/>
      </c>
    </row>
    <row r="891" spans="2:13" x14ac:dyDescent="0.3">
      <c r="B891" t="str">
        <f>IF(IFERROR(VLOOKUP(TRIM(A891),Inventory!E:E,1,0),0)=0,"X","_")</f>
        <v>_</v>
      </c>
      <c r="C891" t="str">
        <f>IF(IFERROR(VLOOKUP(TRIM(A891),'Full Inventory'!F:F,1,0),0)=0,"X","_")</f>
        <v>X</v>
      </c>
      <c r="D891" t="str">
        <f t="shared" si="52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F891" t="str">
        <f t="shared" si="53"/>
        <v>_</v>
      </c>
      <c r="K891" t="str">
        <f t="shared" ca="1" si="54"/>
        <v>_XX_</v>
      </c>
      <c r="L891" t="str">
        <f t="shared" ca="1" si="55"/>
        <v/>
      </c>
      <c r="M891" t="str">
        <f>IFERROR(INDEX(Inventory!A:A,MATCH(Scan!A891,Inventory!E:E,0)),"")</f>
        <v/>
      </c>
    </row>
    <row r="892" spans="2:13" x14ac:dyDescent="0.3">
      <c r="B892" t="str">
        <f>IF(IFERROR(VLOOKUP(TRIM(A892),Inventory!E:E,1,0),0)=0,"X","_")</f>
        <v>_</v>
      </c>
      <c r="C892" t="str">
        <f>IF(IFERROR(VLOOKUP(TRIM(A892),'Full Inventory'!F:F,1,0),0)=0,"X","_")</f>
        <v>X</v>
      </c>
      <c r="D892" t="str">
        <f t="shared" si="52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F892" t="str">
        <f t="shared" si="53"/>
        <v>_</v>
      </c>
      <c r="K892" t="str">
        <f t="shared" ca="1" si="54"/>
        <v>_XX_</v>
      </c>
      <c r="L892" t="str">
        <f t="shared" ca="1" si="55"/>
        <v/>
      </c>
      <c r="M892" t="str">
        <f>IFERROR(INDEX(Inventory!A:A,MATCH(Scan!A892,Inventory!E:E,0)),"")</f>
        <v/>
      </c>
    </row>
    <row r="893" spans="2:13" x14ac:dyDescent="0.3">
      <c r="B893" t="str">
        <f>IF(IFERROR(VLOOKUP(TRIM(A893),Inventory!E:E,1,0),0)=0,"X","_")</f>
        <v>_</v>
      </c>
      <c r="C893" t="str">
        <f>IF(IFERROR(VLOOKUP(TRIM(A893),'Full Inventory'!F:F,1,0),0)=0,"X","_")</f>
        <v>X</v>
      </c>
      <c r="D893" t="str">
        <f t="shared" si="52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F893" t="str">
        <f t="shared" si="53"/>
        <v>_</v>
      </c>
      <c r="K893" t="str">
        <f t="shared" ca="1" si="54"/>
        <v>_XX_</v>
      </c>
      <c r="L893" t="str">
        <f t="shared" ca="1" si="55"/>
        <v/>
      </c>
      <c r="M893" t="str">
        <f>IFERROR(INDEX(Inventory!A:A,MATCH(Scan!A893,Inventory!E:E,0)),"")</f>
        <v/>
      </c>
    </row>
    <row r="894" spans="2:13" x14ac:dyDescent="0.3">
      <c r="B894" t="str">
        <f>IF(IFERROR(VLOOKUP(TRIM(A894),Inventory!E:E,1,0),0)=0,"X","_")</f>
        <v>_</v>
      </c>
      <c r="C894" t="str">
        <f>IF(IFERROR(VLOOKUP(TRIM(A894),'Full Inventory'!F:F,1,0),0)=0,"X","_")</f>
        <v>X</v>
      </c>
      <c r="D894" t="str">
        <f t="shared" si="52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F894" t="str">
        <f t="shared" si="53"/>
        <v>_</v>
      </c>
      <c r="K894" t="str">
        <f t="shared" ca="1" si="54"/>
        <v>_XX_</v>
      </c>
      <c r="L894" t="str">
        <f t="shared" ca="1" si="55"/>
        <v/>
      </c>
      <c r="M894" t="str">
        <f>IFERROR(INDEX(Inventory!A:A,MATCH(Scan!A894,Inventory!E:E,0)),"")</f>
        <v/>
      </c>
    </row>
    <row r="895" spans="2:13" x14ac:dyDescent="0.3">
      <c r="B895" t="str">
        <f>IF(IFERROR(VLOOKUP(TRIM(A895),Inventory!E:E,1,0),0)=0,"X","_")</f>
        <v>_</v>
      </c>
      <c r="C895" t="str">
        <f>IF(IFERROR(VLOOKUP(TRIM(A895),'Full Inventory'!F:F,1,0),0)=0,"X","_")</f>
        <v>X</v>
      </c>
      <c r="D895" t="str">
        <f t="shared" si="52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F895" t="str">
        <f t="shared" si="53"/>
        <v>_</v>
      </c>
      <c r="K895" t="str">
        <f t="shared" ca="1" si="54"/>
        <v>_XX_</v>
      </c>
      <c r="L895" t="str">
        <f t="shared" ca="1" si="55"/>
        <v/>
      </c>
      <c r="M895" t="str">
        <f>IFERROR(INDEX(Inventory!A:A,MATCH(Scan!A895,Inventory!E:E,0)),"")</f>
        <v/>
      </c>
    </row>
    <row r="896" spans="2:13" x14ac:dyDescent="0.3">
      <c r="B896" t="str">
        <f>IF(IFERROR(VLOOKUP(TRIM(A896),Inventory!E:E,1,0),0)=0,"X","_")</f>
        <v>_</v>
      </c>
      <c r="C896" t="str">
        <f>IF(IFERROR(VLOOKUP(TRIM(A896),'Full Inventory'!F:F,1,0),0)=0,"X","_")</f>
        <v>X</v>
      </c>
      <c r="D896" t="str">
        <f t="shared" si="52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F896" t="str">
        <f t="shared" si="53"/>
        <v>_</v>
      </c>
      <c r="K896" t="str">
        <f t="shared" ca="1" si="54"/>
        <v>_XX_</v>
      </c>
      <c r="L896" t="str">
        <f t="shared" ca="1" si="55"/>
        <v/>
      </c>
      <c r="M896" t="str">
        <f>IFERROR(INDEX(Inventory!A:A,MATCH(Scan!A896,Inventory!E:E,0)),"")</f>
        <v/>
      </c>
    </row>
    <row r="897" spans="2:13" x14ac:dyDescent="0.3">
      <c r="B897" t="str">
        <f>IF(IFERROR(VLOOKUP(TRIM(A897),Inventory!E:E,1,0),0)=0,"X","_")</f>
        <v>_</v>
      </c>
      <c r="C897" t="str">
        <f>IF(IFERROR(VLOOKUP(TRIM(A897),'Full Inventory'!F:F,1,0),0)=0,"X","_")</f>
        <v>X</v>
      </c>
      <c r="D897" t="str">
        <f t="shared" si="52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F897" t="str">
        <f t="shared" si="53"/>
        <v>_</v>
      </c>
      <c r="K897" t="str">
        <f t="shared" ca="1" si="54"/>
        <v>_XX_</v>
      </c>
      <c r="L897" t="str">
        <f t="shared" ca="1" si="55"/>
        <v/>
      </c>
      <c r="M897" t="str">
        <f>IFERROR(INDEX(Inventory!A:A,MATCH(Scan!A897,Inventory!E:E,0)),"")</f>
        <v/>
      </c>
    </row>
    <row r="898" spans="2:13" x14ac:dyDescent="0.3">
      <c r="B898" t="str">
        <f>IF(IFERROR(VLOOKUP(TRIM(A898),Inventory!E:E,1,0),0)=0,"X","_")</f>
        <v>_</v>
      </c>
      <c r="C898" t="str">
        <f>IF(IFERROR(VLOOKUP(TRIM(A898),'Full Inventory'!F:F,1,0),0)=0,"X","_")</f>
        <v>X</v>
      </c>
      <c r="D898" t="str">
        <f t="shared" ref="D898:D961" si="56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F898" t="str">
        <f t="shared" si="53"/>
        <v>_</v>
      </c>
      <c r="K898" t="str">
        <f t="shared" ca="1" si="54"/>
        <v>_XX_</v>
      </c>
      <c r="L898" t="str">
        <f t="shared" ca="1" si="55"/>
        <v/>
      </c>
      <c r="M898" t="str">
        <f>IFERROR(INDEX(Inventory!A:A,MATCH(Scan!A898,Inventory!E:E,0)),"")</f>
        <v/>
      </c>
    </row>
    <row r="899" spans="2:13" x14ac:dyDescent="0.3">
      <c r="B899" t="str">
        <f>IF(IFERROR(VLOOKUP(TRIM(A899),Inventory!E:E,1,0),0)=0,"X","_")</f>
        <v>_</v>
      </c>
      <c r="C899" t="str">
        <f>IF(IFERROR(VLOOKUP(TRIM(A899),'Full Inventory'!F:F,1,0),0)=0,"X","_")</f>
        <v>X</v>
      </c>
      <c r="D899" t="str">
        <f t="shared" si="56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F899" t="str">
        <f t="shared" ref="F899:F962" si="57">IF(IFERROR(SEARCH("ö",A899),0)&gt;0,"X","_")</f>
        <v>_</v>
      </c>
      <c r="K899" t="str">
        <f t="shared" ref="K899:K962" ca="1" si="58">B899&amp;C899&amp;D899&amp;E899</f>
        <v>_XX_</v>
      </c>
      <c r="L899" t="str">
        <f t="shared" ref="L899:L962" ca="1" si="59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3">
      <c r="B900" t="str">
        <f>IF(IFERROR(VLOOKUP(TRIM(A900),Inventory!E:E,1,0),0)=0,"X","_")</f>
        <v>_</v>
      </c>
      <c r="C900" t="str">
        <f>IF(IFERROR(VLOOKUP(TRIM(A900),'Full Inventory'!F:F,1,0),0)=0,"X","_")</f>
        <v>X</v>
      </c>
      <c r="D900" t="str">
        <f t="shared" si="56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F900" t="str">
        <f t="shared" si="57"/>
        <v>_</v>
      </c>
      <c r="K900" t="str">
        <f t="shared" ca="1" si="58"/>
        <v>_XX_</v>
      </c>
      <c r="L900" t="str">
        <f t="shared" ca="1" si="59"/>
        <v/>
      </c>
      <c r="M900" t="str">
        <f>IFERROR(INDEX(Inventory!A:A,MATCH(Scan!A900,Inventory!E:E,0)),"")</f>
        <v/>
      </c>
    </row>
    <row r="901" spans="2:13" x14ac:dyDescent="0.3">
      <c r="B901" t="str">
        <f>IF(IFERROR(VLOOKUP(TRIM(A901),Inventory!E:E,1,0),0)=0,"X","_")</f>
        <v>_</v>
      </c>
      <c r="C901" t="str">
        <f>IF(IFERROR(VLOOKUP(TRIM(A901),'Full Inventory'!F:F,1,0),0)=0,"X","_")</f>
        <v>X</v>
      </c>
      <c r="D901" t="str">
        <f t="shared" si="56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F901" t="str">
        <f t="shared" si="57"/>
        <v>_</v>
      </c>
      <c r="K901" t="str">
        <f t="shared" ca="1" si="58"/>
        <v>_XX_</v>
      </c>
      <c r="L901" t="str">
        <f t="shared" ca="1" si="59"/>
        <v/>
      </c>
      <c r="M901" t="str">
        <f>IFERROR(INDEX(Inventory!A:A,MATCH(Scan!A901,Inventory!E:E,0)),"")</f>
        <v/>
      </c>
    </row>
    <row r="902" spans="2:13" x14ac:dyDescent="0.3">
      <c r="B902" t="str">
        <f>IF(IFERROR(VLOOKUP(TRIM(A902),Inventory!E:E,1,0),0)=0,"X","_")</f>
        <v>_</v>
      </c>
      <c r="C902" t="str">
        <f>IF(IFERROR(VLOOKUP(TRIM(A902),'Full Inventory'!F:F,1,0),0)=0,"X","_")</f>
        <v>X</v>
      </c>
      <c r="D902" t="str">
        <f t="shared" si="56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F902" t="str">
        <f t="shared" si="57"/>
        <v>_</v>
      </c>
      <c r="K902" t="str">
        <f t="shared" ca="1" si="58"/>
        <v>_XX_</v>
      </c>
      <c r="L902" t="str">
        <f t="shared" ca="1" si="59"/>
        <v/>
      </c>
      <c r="M902" t="str">
        <f>IFERROR(INDEX(Inventory!A:A,MATCH(Scan!A902,Inventory!E:E,0)),"")</f>
        <v/>
      </c>
    </row>
    <row r="903" spans="2:13" x14ac:dyDescent="0.3">
      <c r="B903" t="str">
        <f>IF(IFERROR(VLOOKUP(TRIM(A903),Inventory!E:E,1,0),0)=0,"X","_")</f>
        <v>_</v>
      </c>
      <c r="C903" t="str">
        <f>IF(IFERROR(VLOOKUP(TRIM(A903),'Full Inventory'!F:F,1,0),0)=0,"X","_")</f>
        <v>X</v>
      </c>
      <c r="D903" t="str">
        <f t="shared" si="56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F903" t="str">
        <f t="shared" si="57"/>
        <v>_</v>
      </c>
      <c r="K903" t="str">
        <f t="shared" ca="1" si="58"/>
        <v>_XX_</v>
      </c>
      <c r="L903" t="str">
        <f t="shared" ca="1" si="59"/>
        <v/>
      </c>
      <c r="M903" t="str">
        <f>IFERROR(INDEX(Inventory!A:A,MATCH(Scan!A903,Inventory!E:E,0)),"")</f>
        <v/>
      </c>
    </row>
    <row r="904" spans="2:13" x14ac:dyDescent="0.3">
      <c r="B904" t="str">
        <f>IF(IFERROR(VLOOKUP(TRIM(A904),Inventory!E:E,1,0),0)=0,"X","_")</f>
        <v>_</v>
      </c>
      <c r="C904" t="str">
        <f>IF(IFERROR(VLOOKUP(TRIM(A904),'Full Inventory'!F:F,1,0),0)=0,"X","_")</f>
        <v>X</v>
      </c>
      <c r="D904" t="str">
        <f t="shared" si="56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F904" t="str">
        <f t="shared" si="57"/>
        <v>_</v>
      </c>
      <c r="K904" t="str">
        <f t="shared" ca="1" si="58"/>
        <v>_XX_</v>
      </c>
      <c r="L904" t="str">
        <f t="shared" ca="1" si="59"/>
        <v/>
      </c>
      <c r="M904" t="str">
        <f>IFERROR(INDEX(Inventory!A:A,MATCH(Scan!A904,Inventory!E:E,0)),"")</f>
        <v/>
      </c>
    </row>
    <row r="905" spans="2:13" x14ac:dyDescent="0.3">
      <c r="B905" t="str">
        <f>IF(IFERROR(VLOOKUP(TRIM(A905),Inventory!E:E,1,0),0)=0,"X","_")</f>
        <v>_</v>
      </c>
      <c r="C905" t="str">
        <f>IF(IFERROR(VLOOKUP(TRIM(A905),'Full Inventory'!F:F,1,0),0)=0,"X","_")</f>
        <v>X</v>
      </c>
      <c r="D905" t="str">
        <f t="shared" si="56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F905" t="str">
        <f t="shared" si="57"/>
        <v>_</v>
      </c>
      <c r="K905" t="str">
        <f t="shared" ca="1" si="58"/>
        <v>_XX_</v>
      </c>
      <c r="L905" t="str">
        <f t="shared" ca="1" si="59"/>
        <v/>
      </c>
      <c r="M905" t="str">
        <f>IFERROR(INDEX(Inventory!A:A,MATCH(Scan!A905,Inventory!E:E,0)),"")</f>
        <v/>
      </c>
    </row>
    <row r="906" spans="2:13" x14ac:dyDescent="0.3">
      <c r="B906" t="str">
        <f>IF(IFERROR(VLOOKUP(TRIM(A906),Inventory!E:E,1,0),0)=0,"X","_")</f>
        <v>_</v>
      </c>
      <c r="C906" t="str">
        <f>IF(IFERROR(VLOOKUP(TRIM(A906),'Full Inventory'!F:F,1,0),0)=0,"X","_")</f>
        <v>X</v>
      </c>
      <c r="D906" t="str">
        <f t="shared" si="56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F906" t="str">
        <f t="shared" si="57"/>
        <v>_</v>
      </c>
      <c r="K906" t="str">
        <f t="shared" ca="1" si="58"/>
        <v>_XX_</v>
      </c>
      <c r="L906" t="str">
        <f t="shared" ca="1" si="59"/>
        <v/>
      </c>
      <c r="M906" t="str">
        <f>IFERROR(INDEX(Inventory!A:A,MATCH(Scan!A906,Inventory!E:E,0)),"")</f>
        <v/>
      </c>
    </row>
    <row r="907" spans="2:13" x14ac:dyDescent="0.3">
      <c r="B907" t="str">
        <f>IF(IFERROR(VLOOKUP(TRIM(A907),Inventory!E:E,1,0),0)=0,"X","_")</f>
        <v>_</v>
      </c>
      <c r="C907" t="str">
        <f>IF(IFERROR(VLOOKUP(TRIM(A907),'Full Inventory'!F:F,1,0),0)=0,"X","_")</f>
        <v>X</v>
      </c>
      <c r="D907" t="str">
        <f t="shared" si="56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F907" t="str">
        <f t="shared" si="57"/>
        <v>_</v>
      </c>
      <c r="K907" t="str">
        <f t="shared" ca="1" si="58"/>
        <v>_XX_</v>
      </c>
      <c r="L907" t="str">
        <f t="shared" ca="1" si="59"/>
        <v/>
      </c>
      <c r="M907" t="str">
        <f>IFERROR(INDEX(Inventory!A:A,MATCH(Scan!A907,Inventory!E:E,0)),"")</f>
        <v/>
      </c>
    </row>
    <row r="908" spans="2:13" x14ac:dyDescent="0.3">
      <c r="B908" t="str">
        <f>IF(IFERROR(VLOOKUP(TRIM(A908),Inventory!E:E,1,0),0)=0,"X","_")</f>
        <v>_</v>
      </c>
      <c r="C908" t="str">
        <f>IF(IFERROR(VLOOKUP(TRIM(A908),'Full Inventory'!F:F,1,0),0)=0,"X","_")</f>
        <v>X</v>
      </c>
      <c r="D908" t="str">
        <f t="shared" si="56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F908" t="str">
        <f t="shared" si="57"/>
        <v>_</v>
      </c>
      <c r="K908" t="str">
        <f t="shared" ca="1" si="58"/>
        <v>_XX_</v>
      </c>
      <c r="L908" t="str">
        <f t="shared" ca="1" si="59"/>
        <v/>
      </c>
      <c r="M908" t="str">
        <f>IFERROR(INDEX(Inventory!A:A,MATCH(Scan!A908,Inventory!E:E,0)),"")</f>
        <v/>
      </c>
    </row>
    <row r="909" spans="2:13" x14ac:dyDescent="0.3">
      <c r="B909" t="str">
        <f>IF(IFERROR(VLOOKUP(TRIM(A909),Inventory!E:E,1,0),0)=0,"X","_")</f>
        <v>_</v>
      </c>
      <c r="C909" t="str">
        <f>IF(IFERROR(VLOOKUP(TRIM(A909),'Full Inventory'!F:F,1,0),0)=0,"X","_")</f>
        <v>X</v>
      </c>
      <c r="D909" t="str">
        <f t="shared" si="56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F909" t="str">
        <f t="shared" si="57"/>
        <v>_</v>
      </c>
      <c r="K909" t="str">
        <f t="shared" ca="1" si="58"/>
        <v>_XX_</v>
      </c>
      <c r="L909" t="str">
        <f t="shared" ca="1" si="59"/>
        <v/>
      </c>
      <c r="M909" t="str">
        <f>IFERROR(INDEX(Inventory!A:A,MATCH(Scan!A909,Inventory!E:E,0)),"")</f>
        <v/>
      </c>
    </row>
    <row r="910" spans="2:13" x14ac:dyDescent="0.3">
      <c r="B910" t="str">
        <f>IF(IFERROR(VLOOKUP(TRIM(A910),Inventory!E:E,1,0),0)=0,"X","_")</f>
        <v>_</v>
      </c>
      <c r="C910" t="str">
        <f>IF(IFERROR(VLOOKUP(TRIM(A910),'Full Inventory'!F:F,1,0),0)=0,"X","_")</f>
        <v>X</v>
      </c>
      <c r="D910" t="str">
        <f t="shared" si="56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F910" t="str">
        <f t="shared" si="57"/>
        <v>_</v>
      </c>
      <c r="K910" t="str">
        <f t="shared" ca="1" si="58"/>
        <v>_XX_</v>
      </c>
      <c r="L910" t="str">
        <f t="shared" ca="1" si="59"/>
        <v/>
      </c>
      <c r="M910" t="str">
        <f>IFERROR(INDEX(Inventory!A:A,MATCH(Scan!A910,Inventory!E:E,0)),"")</f>
        <v/>
      </c>
    </row>
    <row r="911" spans="2:13" x14ac:dyDescent="0.3">
      <c r="B911" t="str">
        <f>IF(IFERROR(VLOOKUP(TRIM(A911),Inventory!E:E,1,0),0)=0,"X","_")</f>
        <v>_</v>
      </c>
      <c r="C911" t="str">
        <f>IF(IFERROR(VLOOKUP(TRIM(A911),'Full Inventory'!F:F,1,0),0)=0,"X","_")</f>
        <v>X</v>
      </c>
      <c r="D911" t="str">
        <f t="shared" si="56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F911" t="str">
        <f t="shared" si="57"/>
        <v>_</v>
      </c>
      <c r="K911" t="str">
        <f t="shared" ca="1" si="58"/>
        <v>_XX_</v>
      </c>
      <c r="L911" t="str">
        <f t="shared" ca="1" si="59"/>
        <v/>
      </c>
      <c r="M911" t="str">
        <f>IFERROR(INDEX(Inventory!A:A,MATCH(Scan!A911,Inventory!E:E,0)),"")</f>
        <v/>
      </c>
    </row>
    <row r="912" spans="2:13" x14ac:dyDescent="0.3">
      <c r="B912" t="str">
        <f>IF(IFERROR(VLOOKUP(TRIM(A912),Inventory!E:E,1,0),0)=0,"X","_")</f>
        <v>_</v>
      </c>
      <c r="C912" t="str">
        <f>IF(IFERROR(VLOOKUP(TRIM(A912),'Full Inventory'!F:F,1,0),0)=0,"X","_")</f>
        <v>X</v>
      </c>
      <c r="D912" t="str">
        <f t="shared" si="56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F912" t="str">
        <f t="shared" si="57"/>
        <v>_</v>
      </c>
      <c r="K912" t="str">
        <f t="shared" ca="1" si="58"/>
        <v>_XX_</v>
      </c>
      <c r="L912" t="str">
        <f t="shared" ca="1" si="59"/>
        <v/>
      </c>
      <c r="M912" t="str">
        <f>IFERROR(INDEX(Inventory!A:A,MATCH(Scan!A912,Inventory!E:E,0)),"")</f>
        <v/>
      </c>
    </row>
    <row r="913" spans="2:13" x14ac:dyDescent="0.3">
      <c r="B913" t="str">
        <f>IF(IFERROR(VLOOKUP(TRIM(A913),Inventory!E:E,1,0),0)=0,"X","_")</f>
        <v>_</v>
      </c>
      <c r="C913" t="str">
        <f>IF(IFERROR(VLOOKUP(TRIM(A913),'Full Inventory'!F:F,1,0),0)=0,"X","_")</f>
        <v>X</v>
      </c>
      <c r="D913" t="str">
        <f t="shared" si="56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F913" t="str">
        <f t="shared" si="57"/>
        <v>_</v>
      </c>
      <c r="K913" t="str">
        <f t="shared" ca="1" si="58"/>
        <v>_XX_</v>
      </c>
      <c r="L913" t="str">
        <f t="shared" ca="1" si="59"/>
        <v/>
      </c>
      <c r="M913" t="str">
        <f>IFERROR(INDEX(Inventory!A:A,MATCH(Scan!A913,Inventory!E:E,0)),"")</f>
        <v/>
      </c>
    </row>
    <row r="914" spans="2:13" x14ac:dyDescent="0.3">
      <c r="B914" t="str">
        <f>IF(IFERROR(VLOOKUP(TRIM(A914),Inventory!E:E,1,0),0)=0,"X","_")</f>
        <v>_</v>
      </c>
      <c r="C914" t="str">
        <f>IF(IFERROR(VLOOKUP(TRIM(A914),'Full Inventory'!F:F,1,0),0)=0,"X","_")</f>
        <v>X</v>
      </c>
      <c r="D914" t="str">
        <f t="shared" si="56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F914" t="str">
        <f t="shared" si="57"/>
        <v>_</v>
      </c>
      <c r="K914" t="str">
        <f t="shared" ca="1" si="58"/>
        <v>_XX_</v>
      </c>
      <c r="L914" t="str">
        <f t="shared" ca="1" si="59"/>
        <v/>
      </c>
      <c r="M914" t="str">
        <f>IFERROR(INDEX(Inventory!A:A,MATCH(Scan!A914,Inventory!E:E,0)),"")</f>
        <v/>
      </c>
    </row>
    <row r="915" spans="2:13" x14ac:dyDescent="0.3">
      <c r="B915" t="str">
        <f>IF(IFERROR(VLOOKUP(TRIM(A915),Inventory!E:E,1,0),0)=0,"X","_")</f>
        <v>_</v>
      </c>
      <c r="C915" t="str">
        <f>IF(IFERROR(VLOOKUP(TRIM(A915),'Full Inventory'!F:F,1,0),0)=0,"X","_")</f>
        <v>X</v>
      </c>
      <c r="D915" t="str">
        <f t="shared" si="56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F915" t="str">
        <f t="shared" si="57"/>
        <v>_</v>
      </c>
      <c r="K915" t="str">
        <f t="shared" ca="1" si="58"/>
        <v>_XX_</v>
      </c>
      <c r="L915" t="str">
        <f t="shared" ca="1" si="59"/>
        <v/>
      </c>
      <c r="M915" t="str">
        <f>IFERROR(INDEX(Inventory!A:A,MATCH(Scan!A915,Inventory!E:E,0)),"")</f>
        <v/>
      </c>
    </row>
    <row r="916" spans="2:13" x14ac:dyDescent="0.3">
      <c r="B916" t="str">
        <f>IF(IFERROR(VLOOKUP(TRIM(A916),Inventory!E:E,1,0),0)=0,"X","_")</f>
        <v>_</v>
      </c>
      <c r="C916" t="str">
        <f>IF(IFERROR(VLOOKUP(TRIM(A916),'Full Inventory'!F:F,1,0),0)=0,"X","_")</f>
        <v>X</v>
      </c>
      <c r="D916" t="str">
        <f t="shared" si="56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F916" t="str">
        <f t="shared" si="57"/>
        <v>_</v>
      </c>
      <c r="K916" t="str">
        <f t="shared" ca="1" si="58"/>
        <v>_XX_</v>
      </c>
      <c r="L916" t="str">
        <f t="shared" ca="1" si="59"/>
        <v/>
      </c>
      <c r="M916" t="str">
        <f>IFERROR(INDEX(Inventory!A:A,MATCH(Scan!A916,Inventory!E:E,0)),"")</f>
        <v/>
      </c>
    </row>
    <row r="917" spans="2:13" x14ac:dyDescent="0.3">
      <c r="B917" t="str">
        <f>IF(IFERROR(VLOOKUP(TRIM(A917),Inventory!E:E,1,0),0)=0,"X","_")</f>
        <v>_</v>
      </c>
      <c r="C917" t="str">
        <f>IF(IFERROR(VLOOKUP(TRIM(A917),'Full Inventory'!F:F,1,0),0)=0,"X","_")</f>
        <v>X</v>
      </c>
      <c r="D917" t="str">
        <f t="shared" si="56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F917" t="str">
        <f t="shared" si="57"/>
        <v>_</v>
      </c>
      <c r="K917" t="str">
        <f t="shared" ca="1" si="58"/>
        <v>_XX_</v>
      </c>
      <c r="L917" t="str">
        <f t="shared" ca="1" si="59"/>
        <v/>
      </c>
      <c r="M917" t="str">
        <f>IFERROR(INDEX(Inventory!A:A,MATCH(Scan!A917,Inventory!E:E,0)),"")</f>
        <v/>
      </c>
    </row>
    <row r="918" spans="2:13" x14ac:dyDescent="0.3">
      <c r="B918" t="str">
        <f>IF(IFERROR(VLOOKUP(TRIM(A918),Inventory!E:E,1,0),0)=0,"X","_")</f>
        <v>_</v>
      </c>
      <c r="C918" t="str">
        <f>IF(IFERROR(VLOOKUP(TRIM(A918),'Full Inventory'!F:F,1,0),0)=0,"X","_")</f>
        <v>X</v>
      </c>
      <c r="D918" t="str">
        <f t="shared" si="56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F918" t="str">
        <f t="shared" si="57"/>
        <v>_</v>
      </c>
      <c r="K918" t="str">
        <f t="shared" ca="1" si="58"/>
        <v>_XX_</v>
      </c>
      <c r="L918" t="str">
        <f t="shared" ca="1" si="59"/>
        <v/>
      </c>
      <c r="M918" t="str">
        <f>IFERROR(INDEX(Inventory!A:A,MATCH(Scan!A918,Inventory!E:E,0)),"")</f>
        <v/>
      </c>
    </row>
    <row r="919" spans="2:13" x14ac:dyDescent="0.3">
      <c r="B919" t="str">
        <f>IF(IFERROR(VLOOKUP(TRIM(A919),Inventory!E:E,1,0),0)=0,"X","_")</f>
        <v>_</v>
      </c>
      <c r="C919" t="str">
        <f>IF(IFERROR(VLOOKUP(TRIM(A919),'Full Inventory'!F:F,1,0),0)=0,"X","_")</f>
        <v>X</v>
      </c>
      <c r="D919" t="str">
        <f t="shared" si="56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F919" t="str">
        <f t="shared" si="57"/>
        <v>_</v>
      </c>
      <c r="K919" t="str">
        <f t="shared" ca="1" si="58"/>
        <v>_XX_</v>
      </c>
      <c r="L919" t="str">
        <f t="shared" ca="1" si="59"/>
        <v/>
      </c>
      <c r="M919" t="str">
        <f>IFERROR(INDEX(Inventory!A:A,MATCH(Scan!A919,Inventory!E:E,0)),"")</f>
        <v/>
      </c>
    </row>
    <row r="920" spans="2:13" x14ac:dyDescent="0.3">
      <c r="B920" t="str">
        <f>IF(IFERROR(VLOOKUP(TRIM(A920),Inventory!E:E,1,0),0)=0,"X","_")</f>
        <v>_</v>
      </c>
      <c r="C920" t="str">
        <f>IF(IFERROR(VLOOKUP(TRIM(A920),'Full Inventory'!F:F,1,0),0)=0,"X","_")</f>
        <v>X</v>
      </c>
      <c r="D920" t="str">
        <f t="shared" si="56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F920" t="str">
        <f t="shared" si="57"/>
        <v>_</v>
      </c>
      <c r="K920" t="str">
        <f t="shared" ca="1" si="58"/>
        <v>_XX_</v>
      </c>
      <c r="L920" t="str">
        <f t="shared" ca="1" si="59"/>
        <v/>
      </c>
      <c r="M920" t="str">
        <f>IFERROR(INDEX(Inventory!A:A,MATCH(Scan!A920,Inventory!E:E,0)),"")</f>
        <v/>
      </c>
    </row>
    <row r="921" spans="2:13" x14ac:dyDescent="0.3">
      <c r="B921" t="str">
        <f>IF(IFERROR(VLOOKUP(TRIM(A921),Inventory!E:E,1,0),0)=0,"X","_")</f>
        <v>_</v>
      </c>
      <c r="C921" t="str">
        <f>IF(IFERROR(VLOOKUP(TRIM(A921),'Full Inventory'!F:F,1,0),0)=0,"X","_")</f>
        <v>X</v>
      </c>
      <c r="D921" t="str">
        <f t="shared" si="56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F921" t="str">
        <f t="shared" si="57"/>
        <v>_</v>
      </c>
      <c r="K921" t="str">
        <f t="shared" ca="1" si="58"/>
        <v>_XX_</v>
      </c>
      <c r="L921" t="str">
        <f t="shared" ca="1" si="59"/>
        <v/>
      </c>
      <c r="M921" t="str">
        <f>IFERROR(INDEX(Inventory!A:A,MATCH(Scan!A921,Inventory!E:E,0)),"")</f>
        <v/>
      </c>
    </row>
    <row r="922" spans="2:13" x14ac:dyDescent="0.3">
      <c r="B922" t="str">
        <f>IF(IFERROR(VLOOKUP(TRIM(A922),Inventory!E:E,1,0),0)=0,"X","_")</f>
        <v>_</v>
      </c>
      <c r="C922" t="str">
        <f>IF(IFERROR(VLOOKUP(TRIM(A922),'Full Inventory'!F:F,1,0),0)=0,"X","_")</f>
        <v>X</v>
      </c>
      <c r="D922" t="str">
        <f t="shared" si="56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F922" t="str">
        <f t="shared" si="57"/>
        <v>_</v>
      </c>
      <c r="K922" t="str">
        <f t="shared" ca="1" si="58"/>
        <v>_XX_</v>
      </c>
      <c r="L922" t="str">
        <f t="shared" ca="1" si="59"/>
        <v/>
      </c>
      <c r="M922" t="str">
        <f>IFERROR(INDEX(Inventory!A:A,MATCH(Scan!A922,Inventory!E:E,0)),"")</f>
        <v/>
      </c>
    </row>
    <row r="923" spans="2:13" x14ac:dyDescent="0.3">
      <c r="B923" t="str">
        <f>IF(IFERROR(VLOOKUP(TRIM(A923),Inventory!E:E,1,0),0)=0,"X","_")</f>
        <v>_</v>
      </c>
      <c r="C923" t="str">
        <f>IF(IFERROR(VLOOKUP(TRIM(A923),'Full Inventory'!F:F,1,0),0)=0,"X","_")</f>
        <v>X</v>
      </c>
      <c r="D923" t="str">
        <f t="shared" si="56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F923" t="str">
        <f t="shared" si="57"/>
        <v>_</v>
      </c>
      <c r="K923" t="str">
        <f t="shared" ca="1" si="58"/>
        <v>_XX_</v>
      </c>
      <c r="L923" t="str">
        <f t="shared" ca="1" si="59"/>
        <v/>
      </c>
      <c r="M923" t="str">
        <f>IFERROR(INDEX(Inventory!A:A,MATCH(Scan!A923,Inventory!E:E,0)),"")</f>
        <v/>
      </c>
    </row>
    <row r="924" spans="2:13" x14ac:dyDescent="0.3">
      <c r="B924" t="str">
        <f>IF(IFERROR(VLOOKUP(TRIM(A924),Inventory!E:E,1,0),0)=0,"X","_")</f>
        <v>_</v>
      </c>
      <c r="C924" t="str">
        <f>IF(IFERROR(VLOOKUP(TRIM(A924),'Full Inventory'!F:F,1,0),0)=0,"X","_")</f>
        <v>X</v>
      </c>
      <c r="D924" t="str">
        <f t="shared" si="56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F924" t="str">
        <f t="shared" si="57"/>
        <v>_</v>
      </c>
      <c r="K924" t="str">
        <f t="shared" ca="1" si="58"/>
        <v>_XX_</v>
      </c>
      <c r="L924" t="str">
        <f t="shared" ca="1" si="59"/>
        <v/>
      </c>
      <c r="M924" t="str">
        <f>IFERROR(INDEX(Inventory!A:A,MATCH(Scan!A924,Inventory!E:E,0)),"")</f>
        <v/>
      </c>
    </row>
    <row r="925" spans="2:13" x14ac:dyDescent="0.3">
      <c r="B925" t="str">
        <f>IF(IFERROR(VLOOKUP(TRIM(A925),Inventory!E:E,1,0),0)=0,"X","_")</f>
        <v>_</v>
      </c>
      <c r="C925" t="str">
        <f>IF(IFERROR(VLOOKUP(TRIM(A925),'Full Inventory'!F:F,1,0),0)=0,"X","_")</f>
        <v>X</v>
      </c>
      <c r="D925" t="str">
        <f t="shared" si="56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F925" t="str">
        <f t="shared" si="57"/>
        <v>_</v>
      </c>
      <c r="K925" t="str">
        <f t="shared" ca="1" si="58"/>
        <v>_XX_</v>
      </c>
      <c r="L925" t="str">
        <f t="shared" ca="1" si="59"/>
        <v/>
      </c>
      <c r="M925" t="str">
        <f>IFERROR(INDEX(Inventory!A:A,MATCH(Scan!A925,Inventory!E:E,0)),"")</f>
        <v/>
      </c>
    </row>
    <row r="926" spans="2:13" x14ac:dyDescent="0.3">
      <c r="B926" t="str">
        <f>IF(IFERROR(VLOOKUP(TRIM(A926),Inventory!E:E,1,0),0)=0,"X","_")</f>
        <v>_</v>
      </c>
      <c r="C926" t="str">
        <f>IF(IFERROR(VLOOKUP(TRIM(A926),'Full Inventory'!F:F,1,0),0)=0,"X","_")</f>
        <v>X</v>
      </c>
      <c r="D926" t="str">
        <f t="shared" si="56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F926" t="str">
        <f t="shared" si="57"/>
        <v>_</v>
      </c>
      <c r="K926" t="str">
        <f t="shared" ca="1" si="58"/>
        <v>_XX_</v>
      </c>
      <c r="L926" t="str">
        <f t="shared" ca="1" si="59"/>
        <v/>
      </c>
      <c r="M926" t="str">
        <f>IFERROR(INDEX(Inventory!A:A,MATCH(Scan!A926,Inventory!E:E,0)),"")</f>
        <v/>
      </c>
    </row>
    <row r="927" spans="2:13" x14ac:dyDescent="0.3">
      <c r="B927" t="str">
        <f>IF(IFERROR(VLOOKUP(TRIM(A927),Inventory!E:E,1,0),0)=0,"X","_")</f>
        <v>_</v>
      </c>
      <c r="C927" t="str">
        <f>IF(IFERROR(VLOOKUP(TRIM(A927),'Full Inventory'!F:F,1,0),0)=0,"X","_")</f>
        <v>X</v>
      </c>
      <c r="D927" t="str">
        <f t="shared" si="56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F927" t="str">
        <f t="shared" si="57"/>
        <v>_</v>
      </c>
      <c r="K927" t="str">
        <f t="shared" ca="1" si="58"/>
        <v>_XX_</v>
      </c>
      <c r="L927" t="str">
        <f t="shared" ca="1" si="59"/>
        <v/>
      </c>
      <c r="M927" t="str">
        <f>IFERROR(INDEX(Inventory!A:A,MATCH(Scan!A927,Inventory!E:E,0)),"")</f>
        <v/>
      </c>
    </row>
    <row r="928" spans="2:13" x14ac:dyDescent="0.3">
      <c r="B928" t="str">
        <f>IF(IFERROR(VLOOKUP(TRIM(A928),Inventory!E:E,1,0),0)=0,"X","_")</f>
        <v>_</v>
      </c>
      <c r="C928" t="str">
        <f>IF(IFERROR(VLOOKUP(TRIM(A928),'Full Inventory'!F:F,1,0),0)=0,"X","_")</f>
        <v>X</v>
      </c>
      <c r="D928" t="str">
        <f t="shared" si="56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F928" t="str">
        <f t="shared" si="57"/>
        <v>_</v>
      </c>
      <c r="K928" t="str">
        <f t="shared" ca="1" si="58"/>
        <v>_XX_</v>
      </c>
      <c r="L928" t="str">
        <f t="shared" ca="1" si="59"/>
        <v/>
      </c>
      <c r="M928" t="str">
        <f>IFERROR(INDEX(Inventory!A:A,MATCH(Scan!A928,Inventory!E:E,0)),"")</f>
        <v/>
      </c>
    </row>
    <row r="929" spans="2:13" x14ac:dyDescent="0.3">
      <c r="B929" t="str">
        <f>IF(IFERROR(VLOOKUP(TRIM(A929),Inventory!E:E,1,0),0)=0,"X","_")</f>
        <v>_</v>
      </c>
      <c r="C929" t="str">
        <f>IF(IFERROR(VLOOKUP(TRIM(A929),'Full Inventory'!F:F,1,0),0)=0,"X","_")</f>
        <v>X</v>
      </c>
      <c r="D929" t="str">
        <f t="shared" si="56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F929" t="str">
        <f t="shared" si="57"/>
        <v>_</v>
      </c>
      <c r="K929" t="str">
        <f t="shared" ca="1" si="58"/>
        <v>_XX_</v>
      </c>
      <c r="L929" t="str">
        <f t="shared" ca="1" si="59"/>
        <v/>
      </c>
      <c r="M929" t="str">
        <f>IFERROR(INDEX(Inventory!A:A,MATCH(Scan!A929,Inventory!E:E,0)),"")</f>
        <v/>
      </c>
    </row>
    <row r="930" spans="2:13" x14ac:dyDescent="0.3">
      <c r="B930" t="str">
        <f>IF(IFERROR(VLOOKUP(TRIM(A930),Inventory!E:E,1,0),0)=0,"X","_")</f>
        <v>_</v>
      </c>
      <c r="C930" t="str">
        <f>IF(IFERROR(VLOOKUP(TRIM(A930),'Full Inventory'!F:F,1,0),0)=0,"X","_")</f>
        <v>X</v>
      </c>
      <c r="D930" t="str">
        <f t="shared" si="56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F930" t="str">
        <f t="shared" si="57"/>
        <v>_</v>
      </c>
      <c r="K930" t="str">
        <f t="shared" ca="1" si="58"/>
        <v>_XX_</v>
      </c>
      <c r="L930" t="str">
        <f t="shared" ca="1" si="59"/>
        <v/>
      </c>
      <c r="M930" t="str">
        <f>IFERROR(INDEX(Inventory!A:A,MATCH(Scan!A930,Inventory!E:E,0)),"")</f>
        <v/>
      </c>
    </row>
    <row r="931" spans="2:13" x14ac:dyDescent="0.3">
      <c r="B931" t="str">
        <f>IF(IFERROR(VLOOKUP(TRIM(A931),Inventory!E:E,1,0),0)=0,"X","_")</f>
        <v>_</v>
      </c>
      <c r="C931" t="str">
        <f>IF(IFERROR(VLOOKUP(TRIM(A931),'Full Inventory'!F:F,1,0),0)=0,"X","_")</f>
        <v>X</v>
      </c>
      <c r="D931" t="str">
        <f t="shared" si="56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F931" t="str">
        <f t="shared" si="57"/>
        <v>_</v>
      </c>
      <c r="K931" t="str">
        <f t="shared" ca="1" si="58"/>
        <v>_XX_</v>
      </c>
      <c r="L931" t="str">
        <f t="shared" ca="1" si="59"/>
        <v/>
      </c>
      <c r="M931" t="str">
        <f>IFERROR(INDEX(Inventory!A:A,MATCH(Scan!A931,Inventory!E:E,0)),"")</f>
        <v/>
      </c>
    </row>
    <row r="932" spans="2:13" x14ac:dyDescent="0.3">
      <c r="B932" t="str">
        <f>IF(IFERROR(VLOOKUP(TRIM(A932),Inventory!E:E,1,0),0)=0,"X","_")</f>
        <v>_</v>
      </c>
      <c r="C932" t="str">
        <f>IF(IFERROR(VLOOKUP(TRIM(A932),'Full Inventory'!F:F,1,0),0)=0,"X","_")</f>
        <v>X</v>
      </c>
      <c r="D932" t="str">
        <f t="shared" si="56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F932" t="str">
        <f t="shared" si="57"/>
        <v>_</v>
      </c>
      <c r="K932" t="str">
        <f t="shared" ca="1" si="58"/>
        <v>_XX_</v>
      </c>
      <c r="L932" t="str">
        <f t="shared" ca="1" si="59"/>
        <v/>
      </c>
      <c r="M932" t="str">
        <f>IFERROR(INDEX(Inventory!A:A,MATCH(Scan!A932,Inventory!E:E,0)),"")</f>
        <v/>
      </c>
    </row>
    <row r="933" spans="2:13" x14ac:dyDescent="0.3">
      <c r="B933" t="str">
        <f>IF(IFERROR(VLOOKUP(TRIM(A933),Inventory!E:E,1,0),0)=0,"X","_")</f>
        <v>_</v>
      </c>
      <c r="C933" t="str">
        <f>IF(IFERROR(VLOOKUP(TRIM(A933),'Full Inventory'!F:F,1,0),0)=0,"X","_")</f>
        <v>X</v>
      </c>
      <c r="D933" t="str">
        <f t="shared" si="56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F933" t="str">
        <f t="shared" si="57"/>
        <v>_</v>
      </c>
      <c r="K933" t="str">
        <f t="shared" ca="1" si="58"/>
        <v>_XX_</v>
      </c>
      <c r="L933" t="str">
        <f t="shared" ca="1" si="59"/>
        <v/>
      </c>
      <c r="M933" t="str">
        <f>IFERROR(INDEX(Inventory!A:A,MATCH(Scan!A933,Inventory!E:E,0)),"")</f>
        <v/>
      </c>
    </row>
    <row r="934" spans="2:13" x14ac:dyDescent="0.3">
      <c r="B934" t="str">
        <f>IF(IFERROR(VLOOKUP(TRIM(A934),Inventory!E:E,1,0),0)=0,"X","_")</f>
        <v>_</v>
      </c>
      <c r="C934" t="str">
        <f>IF(IFERROR(VLOOKUP(TRIM(A934),'Full Inventory'!F:F,1,0),0)=0,"X","_")</f>
        <v>X</v>
      </c>
      <c r="D934" t="str">
        <f t="shared" si="56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F934" t="str">
        <f t="shared" si="57"/>
        <v>_</v>
      </c>
      <c r="K934" t="str">
        <f t="shared" ca="1" si="58"/>
        <v>_XX_</v>
      </c>
      <c r="L934" t="str">
        <f t="shared" ca="1" si="59"/>
        <v/>
      </c>
      <c r="M934" t="str">
        <f>IFERROR(INDEX(Inventory!A:A,MATCH(Scan!A934,Inventory!E:E,0)),"")</f>
        <v/>
      </c>
    </row>
    <row r="935" spans="2:13" x14ac:dyDescent="0.3">
      <c r="B935" t="str">
        <f>IF(IFERROR(VLOOKUP(TRIM(A935),Inventory!E:E,1,0),0)=0,"X","_")</f>
        <v>_</v>
      </c>
      <c r="C935" t="str">
        <f>IF(IFERROR(VLOOKUP(TRIM(A935),'Full Inventory'!F:F,1,0),0)=0,"X","_")</f>
        <v>X</v>
      </c>
      <c r="D935" t="str">
        <f t="shared" si="56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F935" t="str">
        <f t="shared" si="57"/>
        <v>_</v>
      </c>
      <c r="K935" t="str">
        <f t="shared" ca="1" si="58"/>
        <v>_XX_</v>
      </c>
      <c r="L935" t="str">
        <f t="shared" ca="1" si="59"/>
        <v/>
      </c>
      <c r="M935" t="str">
        <f>IFERROR(INDEX(Inventory!A:A,MATCH(Scan!A935,Inventory!E:E,0)),"")</f>
        <v/>
      </c>
    </row>
    <row r="936" spans="2:13" x14ac:dyDescent="0.3">
      <c r="B936" t="str">
        <f>IF(IFERROR(VLOOKUP(TRIM(A936),Inventory!E:E,1,0),0)=0,"X","_")</f>
        <v>_</v>
      </c>
      <c r="C936" t="str">
        <f>IF(IFERROR(VLOOKUP(TRIM(A936),'Full Inventory'!F:F,1,0),0)=0,"X","_")</f>
        <v>X</v>
      </c>
      <c r="D936" t="str">
        <f t="shared" si="56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F936" t="str">
        <f t="shared" si="57"/>
        <v>_</v>
      </c>
      <c r="K936" t="str">
        <f t="shared" ca="1" si="58"/>
        <v>_XX_</v>
      </c>
      <c r="L936" t="str">
        <f t="shared" ca="1" si="59"/>
        <v/>
      </c>
      <c r="M936" t="str">
        <f>IFERROR(INDEX(Inventory!A:A,MATCH(Scan!A936,Inventory!E:E,0)),"")</f>
        <v/>
      </c>
    </row>
    <row r="937" spans="2:13" x14ac:dyDescent="0.3">
      <c r="B937" t="str">
        <f>IF(IFERROR(VLOOKUP(TRIM(A937),Inventory!E:E,1,0),0)=0,"X","_")</f>
        <v>_</v>
      </c>
      <c r="C937" t="str">
        <f>IF(IFERROR(VLOOKUP(TRIM(A937),'Full Inventory'!F:F,1,0),0)=0,"X","_")</f>
        <v>X</v>
      </c>
      <c r="D937" t="str">
        <f t="shared" si="56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F937" t="str">
        <f t="shared" si="57"/>
        <v>_</v>
      </c>
      <c r="K937" t="str">
        <f t="shared" ca="1" si="58"/>
        <v>_XX_</v>
      </c>
      <c r="L937" t="str">
        <f t="shared" ca="1" si="59"/>
        <v/>
      </c>
      <c r="M937" t="str">
        <f>IFERROR(INDEX(Inventory!A:A,MATCH(Scan!A937,Inventory!E:E,0)),"")</f>
        <v/>
      </c>
    </row>
    <row r="938" spans="2:13" x14ac:dyDescent="0.3">
      <c r="B938" t="str">
        <f>IF(IFERROR(VLOOKUP(TRIM(A938),Inventory!E:E,1,0),0)=0,"X","_")</f>
        <v>_</v>
      </c>
      <c r="C938" t="str">
        <f>IF(IFERROR(VLOOKUP(TRIM(A938),'Full Inventory'!F:F,1,0),0)=0,"X","_")</f>
        <v>X</v>
      </c>
      <c r="D938" t="str">
        <f t="shared" si="56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F938" t="str">
        <f t="shared" si="57"/>
        <v>_</v>
      </c>
      <c r="K938" t="str">
        <f t="shared" ca="1" si="58"/>
        <v>_XX_</v>
      </c>
      <c r="L938" t="str">
        <f t="shared" ca="1" si="59"/>
        <v/>
      </c>
      <c r="M938" t="str">
        <f>IFERROR(INDEX(Inventory!A:A,MATCH(Scan!A938,Inventory!E:E,0)),"")</f>
        <v/>
      </c>
    </row>
    <row r="939" spans="2:13" x14ac:dyDescent="0.3">
      <c r="B939" t="str">
        <f>IF(IFERROR(VLOOKUP(TRIM(A939),Inventory!E:E,1,0),0)=0,"X","_")</f>
        <v>_</v>
      </c>
      <c r="C939" t="str">
        <f>IF(IFERROR(VLOOKUP(TRIM(A939),'Full Inventory'!F:F,1,0),0)=0,"X","_")</f>
        <v>X</v>
      </c>
      <c r="D939" t="str">
        <f t="shared" si="56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F939" t="str">
        <f t="shared" si="57"/>
        <v>_</v>
      </c>
      <c r="K939" t="str">
        <f t="shared" ca="1" si="58"/>
        <v>_XX_</v>
      </c>
      <c r="L939" t="str">
        <f t="shared" ca="1" si="59"/>
        <v/>
      </c>
      <c r="M939" t="str">
        <f>IFERROR(INDEX(Inventory!A:A,MATCH(Scan!A939,Inventory!E:E,0)),"")</f>
        <v/>
      </c>
    </row>
    <row r="940" spans="2:13" x14ac:dyDescent="0.3">
      <c r="B940" t="str">
        <f>IF(IFERROR(VLOOKUP(TRIM(A940),Inventory!E:E,1,0),0)=0,"X","_")</f>
        <v>_</v>
      </c>
      <c r="C940" t="str">
        <f>IF(IFERROR(VLOOKUP(TRIM(A940),'Full Inventory'!F:F,1,0),0)=0,"X","_")</f>
        <v>X</v>
      </c>
      <c r="D940" t="str">
        <f t="shared" si="56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F940" t="str">
        <f t="shared" si="57"/>
        <v>_</v>
      </c>
      <c r="K940" t="str">
        <f t="shared" ca="1" si="58"/>
        <v>_XX_</v>
      </c>
      <c r="L940" t="str">
        <f t="shared" ca="1" si="59"/>
        <v/>
      </c>
      <c r="M940" t="str">
        <f>IFERROR(INDEX(Inventory!A:A,MATCH(Scan!A940,Inventory!E:E,0)),"")</f>
        <v/>
      </c>
    </row>
    <row r="941" spans="2:13" x14ac:dyDescent="0.3">
      <c r="B941" t="str">
        <f>IF(IFERROR(VLOOKUP(TRIM(A941),Inventory!E:E,1,0),0)=0,"X","_")</f>
        <v>_</v>
      </c>
      <c r="C941" t="str">
        <f>IF(IFERROR(VLOOKUP(TRIM(A941),'Full Inventory'!F:F,1,0),0)=0,"X","_")</f>
        <v>X</v>
      </c>
      <c r="D941" t="str">
        <f t="shared" si="56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F941" t="str">
        <f t="shared" si="57"/>
        <v>_</v>
      </c>
      <c r="K941" t="str">
        <f t="shared" ca="1" si="58"/>
        <v>_XX_</v>
      </c>
      <c r="L941" t="str">
        <f t="shared" ca="1" si="59"/>
        <v/>
      </c>
      <c r="M941" t="str">
        <f>IFERROR(INDEX(Inventory!A:A,MATCH(Scan!A941,Inventory!E:E,0)),"")</f>
        <v/>
      </c>
    </row>
    <row r="942" spans="2:13" x14ac:dyDescent="0.3">
      <c r="B942" t="str">
        <f>IF(IFERROR(VLOOKUP(TRIM(A942),Inventory!E:E,1,0),0)=0,"X","_")</f>
        <v>_</v>
      </c>
      <c r="C942" t="str">
        <f>IF(IFERROR(VLOOKUP(TRIM(A942),'Full Inventory'!F:F,1,0),0)=0,"X","_")</f>
        <v>X</v>
      </c>
      <c r="D942" t="str">
        <f t="shared" si="56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F942" t="str">
        <f t="shared" si="57"/>
        <v>_</v>
      </c>
      <c r="K942" t="str">
        <f t="shared" ca="1" si="58"/>
        <v>_XX_</v>
      </c>
      <c r="L942" t="str">
        <f t="shared" ca="1" si="59"/>
        <v/>
      </c>
      <c r="M942" t="str">
        <f>IFERROR(INDEX(Inventory!A:A,MATCH(Scan!A942,Inventory!E:E,0)),"")</f>
        <v/>
      </c>
    </row>
    <row r="943" spans="2:13" x14ac:dyDescent="0.3">
      <c r="B943" t="str">
        <f>IF(IFERROR(VLOOKUP(TRIM(A943),Inventory!E:E,1,0),0)=0,"X","_")</f>
        <v>_</v>
      </c>
      <c r="C943" t="str">
        <f>IF(IFERROR(VLOOKUP(TRIM(A943),'Full Inventory'!F:F,1,0),0)=0,"X","_")</f>
        <v>X</v>
      </c>
      <c r="D943" t="str">
        <f t="shared" si="56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F943" t="str">
        <f t="shared" si="57"/>
        <v>_</v>
      </c>
      <c r="K943" t="str">
        <f t="shared" ca="1" si="58"/>
        <v>_XX_</v>
      </c>
      <c r="L943" t="str">
        <f t="shared" ca="1" si="59"/>
        <v/>
      </c>
      <c r="M943" t="str">
        <f>IFERROR(INDEX(Inventory!A:A,MATCH(Scan!A943,Inventory!E:E,0)),"")</f>
        <v/>
      </c>
    </row>
    <row r="944" spans="2:13" x14ac:dyDescent="0.3">
      <c r="B944" t="str">
        <f>IF(IFERROR(VLOOKUP(TRIM(A944),Inventory!E:E,1,0),0)=0,"X","_")</f>
        <v>_</v>
      </c>
      <c r="C944" t="str">
        <f>IF(IFERROR(VLOOKUP(TRIM(A944),'Full Inventory'!F:F,1,0),0)=0,"X","_")</f>
        <v>X</v>
      </c>
      <c r="D944" t="str">
        <f t="shared" si="56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F944" t="str">
        <f t="shared" si="57"/>
        <v>_</v>
      </c>
      <c r="K944" t="str">
        <f t="shared" ca="1" si="58"/>
        <v>_XX_</v>
      </c>
      <c r="L944" t="str">
        <f t="shared" ca="1" si="59"/>
        <v/>
      </c>
      <c r="M944" t="str">
        <f>IFERROR(INDEX(Inventory!A:A,MATCH(Scan!A944,Inventory!E:E,0)),"")</f>
        <v/>
      </c>
    </row>
    <row r="945" spans="2:13" x14ac:dyDescent="0.3">
      <c r="B945" t="str">
        <f>IF(IFERROR(VLOOKUP(TRIM(A945),Inventory!E:E,1,0),0)=0,"X","_")</f>
        <v>_</v>
      </c>
      <c r="C945" t="str">
        <f>IF(IFERROR(VLOOKUP(TRIM(A945),'Full Inventory'!F:F,1,0),0)=0,"X","_")</f>
        <v>X</v>
      </c>
      <c r="D945" t="str">
        <f t="shared" si="56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F945" t="str">
        <f t="shared" si="57"/>
        <v>_</v>
      </c>
      <c r="K945" t="str">
        <f t="shared" ca="1" si="58"/>
        <v>_XX_</v>
      </c>
      <c r="L945" t="str">
        <f t="shared" ca="1" si="59"/>
        <v/>
      </c>
      <c r="M945" t="str">
        <f>IFERROR(INDEX(Inventory!A:A,MATCH(Scan!A945,Inventory!E:E,0)),"")</f>
        <v/>
      </c>
    </row>
    <row r="946" spans="2:13" x14ac:dyDescent="0.3">
      <c r="B946" t="str">
        <f>IF(IFERROR(VLOOKUP(TRIM(A946),Inventory!E:E,1,0),0)=0,"X","_")</f>
        <v>_</v>
      </c>
      <c r="C946" t="str">
        <f>IF(IFERROR(VLOOKUP(TRIM(A946),'Full Inventory'!F:F,1,0),0)=0,"X","_")</f>
        <v>X</v>
      </c>
      <c r="D946" t="str">
        <f t="shared" si="56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F946" t="str">
        <f t="shared" si="57"/>
        <v>_</v>
      </c>
      <c r="K946" t="str">
        <f t="shared" ca="1" si="58"/>
        <v>_XX_</v>
      </c>
      <c r="L946" t="str">
        <f t="shared" ca="1" si="59"/>
        <v/>
      </c>
      <c r="M946" t="str">
        <f>IFERROR(INDEX(Inventory!A:A,MATCH(Scan!A946,Inventory!E:E,0)),"")</f>
        <v/>
      </c>
    </row>
    <row r="947" spans="2:13" x14ac:dyDescent="0.3">
      <c r="B947" t="str">
        <f>IF(IFERROR(VLOOKUP(TRIM(A947),Inventory!E:E,1,0),0)=0,"X","_")</f>
        <v>_</v>
      </c>
      <c r="C947" t="str">
        <f>IF(IFERROR(VLOOKUP(TRIM(A947),'Full Inventory'!F:F,1,0),0)=0,"X","_")</f>
        <v>X</v>
      </c>
      <c r="D947" t="str">
        <f t="shared" si="56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F947" t="str">
        <f t="shared" si="57"/>
        <v>_</v>
      </c>
      <c r="K947" t="str">
        <f t="shared" ca="1" si="58"/>
        <v>_XX_</v>
      </c>
      <c r="L947" t="str">
        <f t="shared" ca="1" si="59"/>
        <v/>
      </c>
      <c r="M947" t="str">
        <f>IFERROR(INDEX(Inventory!A:A,MATCH(Scan!A947,Inventory!E:E,0)),"")</f>
        <v/>
      </c>
    </row>
    <row r="948" spans="2:13" x14ac:dyDescent="0.3">
      <c r="B948" t="str">
        <f>IF(IFERROR(VLOOKUP(TRIM(A948),Inventory!E:E,1,0),0)=0,"X","_")</f>
        <v>_</v>
      </c>
      <c r="C948" t="str">
        <f>IF(IFERROR(VLOOKUP(TRIM(A948),'Full Inventory'!F:F,1,0),0)=0,"X","_")</f>
        <v>X</v>
      </c>
      <c r="D948" t="str">
        <f t="shared" si="56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F948" t="str">
        <f t="shared" si="57"/>
        <v>_</v>
      </c>
      <c r="K948" t="str">
        <f t="shared" ca="1" si="58"/>
        <v>_XX_</v>
      </c>
      <c r="L948" t="str">
        <f t="shared" ca="1" si="59"/>
        <v/>
      </c>
      <c r="M948" t="str">
        <f>IFERROR(INDEX(Inventory!A:A,MATCH(Scan!A948,Inventory!E:E,0)),"")</f>
        <v/>
      </c>
    </row>
    <row r="949" spans="2:13" x14ac:dyDescent="0.3">
      <c r="B949" t="str">
        <f>IF(IFERROR(VLOOKUP(TRIM(A949),Inventory!E:E,1,0),0)=0,"X","_")</f>
        <v>_</v>
      </c>
      <c r="C949" t="str">
        <f>IF(IFERROR(VLOOKUP(TRIM(A949),'Full Inventory'!F:F,1,0),0)=0,"X","_")</f>
        <v>X</v>
      </c>
      <c r="D949" t="str">
        <f t="shared" si="56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F949" t="str">
        <f t="shared" si="57"/>
        <v>_</v>
      </c>
      <c r="K949" t="str">
        <f t="shared" ca="1" si="58"/>
        <v>_XX_</v>
      </c>
      <c r="L949" t="str">
        <f t="shared" ca="1" si="59"/>
        <v/>
      </c>
      <c r="M949" t="str">
        <f>IFERROR(INDEX(Inventory!A:A,MATCH(Scan!A949,Inventory!E:E,0)),"")</f>
        <v/>
      </c>
    </row>
    <row r="950" spans="2:13" x14ac:dyDescent="0.3">
      <c r="B950" t="str">
        <f>IF(IFERROR(VLOOKUP(TRIM(A950),Inventory!E:E,1,0),0)=0,"X","_")</f>
        <v>_</v>
      </c>
      <c r="C950" t="str">
        <f>IF(IFERROR(VLOOKUP(TRIM(A950),'Full Inventory'!F:F,1,0),0)=0,"X","_")</f>
        <v>X</v>
      </c>
      <c r="D950" t="str">
        <f t="shared" si="56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F950" t="str">
        <f t="shared" si="57"/>
        <v>_</v>
      </c>
      <c r="K950" t="str">
        <f t="shared" ca="1" si="58"/>
        <v>_XX_</v>
      </c>
      <c r="L950" t="str">
        <f t="shared" ca="1" si="59"/>
        <v/>
      </c>
      <c r="M950" t="str">
        <f>IFERROR(INDEX(Inventory!A:A,MATCH(Scan!A950,Inventory!E:E,0)),"")</f>
        <v/>
      </c>
    </row>
    <row r="951" spans="2:13" x14ac:dyDescent="0.3">
      <c r="B951" t="str">
        <f>IF(IFERROR(VLOOKUP(TRIM(A951),Inventory!E:E,1,0),0)=0,"X","_")</f>
        <v>_</v>
      </c>
      <c r="C951" t="str">
        <f>IF(IFERROR(VLOOKUP(TRIM(A951),'Full Inventory'!F:F,1,0),0)=0,"X","_")</f>
        <v>X</v>
      </c>
      <c r="D951" t="str">
        <f t="shared" si="56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F951" t="str">
        <f t="shared" si="57"/>
        <v>_</v>
      </c>
      <c r="K951" t="str">
        <f t="shared" ca="1" si="58"/>
        <v>_XX_</v>
      </c>
      <c r="L951" t="str">
        <f t="shared" ca="1" si="59"/>
        <v/>
      </c>
      <c r="M951" t="str">
        <f>IFERROR(INDEX(Inventory!A:A,MATCH(Scan!A951,Inventory!E:E,0)),"")</f>
        <v/>
      </c>
    </row>
    <row r="952" spans="2:13" x14ac:dyDescent="0.3">
      <c r="B952" t="str">
        <f>IF(IFERROR(VLOOKUP(TRIM(A952),Inventory!E:E,1,0),0)=0,"X","_")</f>
        <v>_</v>
      </c>
      <c r="C952" t="str">
        <f>IF(IFERROR(VLOOKUP(TRIM(A952),'Full Inventory'!F:F,1,0),0)=0,"X","_")</f>
        <v>X</v>
      </c>
      <c r="D952" t="str">
        <f t="shared" si="56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F952" t="str">
        <f t="shared" si="57"/>
        <v>_</v>
      </c>
      <c r="K952" t="str">
        <f t="shared" ca="1" si="58"/>
        <v>_XX_</v>
      </c>
      <c r="L952" t="str">
        <f t="shared" ca="1" si="59"/>
        <v/>
      </c>
      <c r="M952" t="str">
        <f>IFERROR(INDEX(Inventory!A:A,MATCH(Scan!A952,Inventory!E:E,0)),"")</f>
        <v/>
      </c>
    </row>
    <row r="953" spans="2:13" x14ac:dyDescent="0.3">
      <c r="B953" t="str">
        <f>IF(IFERROR(VLOOKUP(TRIM(A953),Inventory!E:E,1,0),0)=0,"X","_")</f>
        <v>_</v>
      </c>
      <c r="C953" t="str">
        <f>IF(IFERROR(VLOOKUP(TRIM(A953),'Full Inventory'!F:F,1,0),0)=0,"X","_")</f>
        <v>X</v>
      </c>
      <c r="D953" t="str">
        <f t="shared" si="56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F953" t="str">
        <f t="shared" si="57"/>
        <v>_</v>
      </c>
      <c r="K953" t="str">
        <f t="shared" ca="1" si="58"/>
        <v>_XX_</v>
      </c>
      <c r="L953" t="str">
        <f t="shared" ca="1" si="59"/>
        <v/>
      </c>
      <c r="M953" t="str">
        <f>IFERROR(INDEX(Inventory!A:A,MATCH(Scan!A953,Inventory!E:E,0)),"")</f>
        <v/>
      </c>
    </row>
    <row r="954" spans="2:13" x14ac:dyDescent="0.3">
      <c r="B954" t="str">
        <f>IF(IFERROR(VLOOKUP(TRIM(A954),Inventory!E:E,1,0),0)=0,"X","_")</f>
        <v>_</v>
      </c>
      <c r="C954" t="str">
        <f>IF(IFERROR(VLOOKUP(TRIM(A954),'Full Inventory'!F:F,1,0),0)=0,"X","_")</f>
        <v>X</v>
      </c>
      <c r="D954" t="str">
        <f t="shared" si="56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F954" t="str">
        <f t="shared" si="57"/>
        <v>_</v>
      </c>
      <c r="K954" t="str">
        <f t="shared" ca="1" si="58"/>
        <v>_XX_</v>
      </c>
      <c r="L954" t="str">
        <f t="shared" ca="1" si="59"/>
        <v/>
      </c>
      <c r="M954" t="str">
        <f>IFERROR(INDEX(Inventory!A:A,MATCH(Scan!A954,Inventory!E:E,0)),"")</f>
        <v/>
      </c>
    </row>
    <row r="955" spans="2:13" x14ac:dyDescent="0.3">
      <c r="B955" t="str">
        <f>IF(IFERROR(VLOOKUP(TRIM(A955),Inventory!E:E,1,0),0)=0,"X","_")</f>
        <v>_</v>
      </c>
      <c r="C955" t="str">
        <f>IF(IFERROR(VLOOKUP(TRIM(A955),'Full Inventory'!F:F,1,0),0)=0,"X","_")</f>
        <v>X</v>
      </c>
      <c r="D955" t="str">
        <f t="shared" si="56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F955" t="str">
        <f t="shared" si="57"/>
        <v>_</v>
      </c>
      <c r="K955" t="str">
        <f t="shared" ca="1" si="58"/>
        <v>_XX_</v>
      </c>
      <c r="L955" t="str">
        <f t="shared" ca="1" si="59"/>
        <v/>
      </c>
      <c r="M955" t="str">
        <f>IFERROR(INDEX(Inventory!A:A,MATCH(Scan!A955,Inventory!E:E,0)),"")</f>
        <v/>
      </c>
    </row>
    <row r="956" spans="2:13" x14ac:dyDescent="0.3">
      <c r="B956" t="str">
        <f>IF(IFERROR(VLOOKUP(TRIM(A956),Inventory!E:E,1,0),0)=0,"X","_")</f>
        <v>_</v>
      </c>
      <c r="C956" t="str">
        <f>IF(IFERROR(VLOOKUP(TRIM(A956),'Full Inventory'!F:F,1,0),0)=0,"X","_")</f>
        <v>X</v>
      </c>
      <c r="D956" t="str">
        <f t="shared" si="56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F956" t="str">
        <f t="shared" si="57"/>
        <v>_</v>
      </c>
      <c r="K956" t="str">
        <f t="shared" ca="1" si="58"/>
        <v>_XX_</v>
      </c>
      <c r="L956" t="str">
        <f t="shared" ca="1" si="59"/>
        <v/>
      </c>
      <c r="M956" t="str">
        <f>IFERROR(INDEX(Inventory!A:A,MATCH(Scan!A956,Inventory!E:E,0)),"")</f>
        <v/>
      </c>
    </row>
    <row r="957" spans="2:13" x14ac:dyDescent="0.3">
      <c r="B957" t="str">
        <f>IF(IFERROR(VLOOKUP(TRIM(A957),Inventory!E:E,1,0),0)=0,"X","_")</f>
        <v>_</v>
      </c>
      <c r="C957" t="str">
        <f>IF(IFERROR(VLOOKUP(TRIM(A957),'Full Inventory'!F:F,1,0),0)=0,"X","_")</f>
        <v>X</v>
      </c>
      <c r="D957" t="str">
        <f t="shared" si="56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F957" t="str">
        <f t="shared" si="57"/>
        <v>_</v>
      </c>
      <c r="K957" t="str">
        <f t="shared" ca="1" si="58"/>
        <v>_XX_</v>
      </c>
      <c r="L957" t="str">
        <f t="shared" ca="1" si="59"/>
        <v/>
      </c>
      <c r="M957" t="str">
        <f>IFERROR(INDEX(Inventory!A:A,MATCH(Scan!A957,Inventory!E:E,0)),"")</f>
        <v/>
      </c>
    </row>
    <row r="958" spans="2:13" x14ac:dyDescent="0.3">
      <c r="B958" t="str">
        <f>IF(IFERROR(VLOOKUP(TRIM(A958),Inventory!E:E,1,0),0)=0,"X","_")</f>
        <v>_</v>
      </c>
      <c r="C958" t="str">
        <f>IF(IFERROR(VLOOKUP(TRIM(A958),'Full Inventory'!F:F,1,0),0)=0,"X","_")</f>
        <v>X</v>
      </c>
      <c r="D958" t="str">
        <f t="shared" si="56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F958" t="str">
        <f t="shared" si="57"/>
        <v>_</v>
      </c>
      <c r="K958" t="str">
        <f t="shared" ca="1" si="58"/>
        <v>_XX_</v>
      </c>
      <c r="L958" t="str">
        <f t="shared" ca="1" si="59"/>
        <v/>
      </c>
      <c r="M958" t="str">
        <f>IFERROR(INDEX(Inventory!A:A,MATCH(Scan!A958,Inventory!E:E,0)),"")</f>
        <v/>
      </c>
    </row>
    <row r="959" spans="2:13" x14ac:dyDescent="0.3">
      <c r="B959" t="str">
        <f>IF(IFERROR(VLOOKUP(TRIM(A959),Inventory!E:E,1,0),0)=0,"X","_")</f>
        <v>_</v>
      </c>
      <c r="C959" t="str">
        <f>IF(IFERROR(VLOOKUP(TRIM(A959),'Full Inventory'!F:F,1,0),0)=0,"X","_")</f>
        <v>X</v>
      </c>
      <c r="D959" t="str">
        <f t="shared" si="56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F959" t="str">
        <f t="shared" si="57"/>
        <v>_</v>
      </c>
      <c r="K959" t="str">
        <f t="shared" ca="1" si="58"/>
        <v>_XX_</v>
      </c>
      <c r="L959" t="str">
        <f t="shared" ca="1" si="59"/>
        <v/>
      </c>
      <c r="M959" t="str">
        <f>IFERROR(INDEX(Inventory!A:A,MATCH(Scan!A959,Inventory!E:E,0)),"")</f>
        <v/>
      </c>
    </row>
    <row r="960" spans="2:13" x14ac:dyDescent="0.3">
      <c r="B960" t="str">
        <f>IF(IFERROR(VLOOKUP(TRIM(A960),Inventory!E:E,1,0),0)=0,"X","_")</f>
        <v>_</v>
      </c>
      <c r="C960" t="str">
        <f>IF(IFERROR(VLOOKUP(TRIM(A960),'Full Inventory'!F:F,1,0),0)=0,"X","_")</f>
        <v>X</v>
      </c>
      <c r="D960" t="str">
        <f t="shared" si="56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F960" t="str">
        <f t="shared" si="57"/>
        <v>_</v>
      </c>
      <c r="K960" t="str">
        <f t="shared" ca="1" si="58"/>
        <v>_XX_</v>
      </c>
      <c r="L960" t="str">
        <f t="shared" ca="1" si="59"/>
        <v/>
      </c>
      <c r="M960" t="str">
        <f>IFERROR(INDEX(Inventory!A:A,MATCH(Scan!A960,Inventory!E:E,0)),"")</f>
        <v/>
      </c>
    </row>
    <row r="961" spans="2:13" x14ac:dyDescent="0.3">
      <c r="B961" t="str">
        <f>IF(IFERROR(VLOOKUP(TRIM(A961),Inventory!E:E,1,0),0)=0,"X","_")</f>
        <v>_</v>
      </c>
      <c r="C961" t="str">
        <f>IF(IFERROR(VLOOKUP(TRIM(A961),'Full Inventory'!F:F,1,0),0)=0,"X","_")</f>
        <v>X</v>
      </c>
      <c r="D961" t="str">
        <f t="shared" si="56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F961" t="str">
        <f t="shared" si="57"/>
        <v>_</v>
      </c>
      <c r="K961" t="str">
        <f t="shared" ca="1" si="58"/>
        <v>_XX_</v>
      </c>
      <c r="L961" t="str">
        <f t="shared" ca="1" si="59"/>
        <v/>
      </c>
      <c r="M961" t="str">
        <f>IFERROR(INDEX(Inventory!A:A,MATCH(Scan!A961,Inventory!E:E,0)),"")</f>
        <v/>
      </c>
    </row>
    <row r="962" spans="2:13" x14ac:dyDescent="0.3">
      <c r="B962" t="str">
        <f>IF(IFERROR(VLOOKUP(TRIM(A962),Inventory!E:E,1,0),0)=0,"X","_")</f>
        <v>_</v>
      </c>
      <c r="C962" t="str">
        <f>IF(IFERROR(VLOOKUP(TRIM(A962),'Full Inventory'!F:F,1,0),0)=0,"X","_")</f>
        <v>X</v>
      </c>
      <c r="D962" t="str">
        <f t="shared" ref="D962:D1025" si="60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F962" t="str">
        <f t="shared" si="57"/>
        <v>_</v>
      </c>
      <c r="K962" t="str">
        <f t="shared" ca="1" si="58"/>
        <v>_XX_</v>
      </c>
      <c r="L962" t="str">
        <f t="shared" ca="1" si="59"/>
        <v/>
      </c>
      <c r="M962" t="str">
        <f>IFERROR(INDEX(Inventory!A:A,MATCH(Scan!A962,Inventory!E:E,0)),"")</f>
        <v/>
      </c>
    </row>
    <row r="963" spans="2:13" x14ac:dyDescent="0.3">
      <c r="B963" t="str">
        <f>IF(IFERROR(VLOOKUP(TRIM(A963),Inventory!E:E,1,0),0)=0,"X","_")</f>
        <v>_</v>
      </c>
      <c r="C963" t="str">
        <f>IF(IFERROR(VLOOKUP(TRIM(A963),'Full Inventory'!F:F,1,0),0)=0,"X","_")</f>
        <v>X</v>
      </c>
      <c r="D963" t="str">
        <f t="shared" si="60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F963" t="str">
        <f t="shared" ref="F963:F1026" si="61">IF(IFERROR(SEARCH("ö",A963),0)&gt;0,"X","_")</f>
        <v>_</v>
      </c>
      <c r="K963" t="str">
        <f t="shared" ref="K963:K1026" ca="1" si="62">B963&amp;C963&amp;D963&amp;E963</f>
        <v>_XX_</v>
      </c>
      <c r="L963" t="str">
        <f t="shared" ref="L963:L1026" ca="1" si="63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3">
      <c r="B964" t="str">
        <f>IF(IFERROR(VLOOKUP(TRIM(A964),Inventory!E:E,1,0),0)=0,"X","_")</f>
        <v>_</v>
      </c>
      <c r="C964" t="str">
        <f>IF(IFERROR(VLOOKUP(TRIM(A964),'Full Inventory'!F:F,1,0),0)=0,"X","_")</f>
        <v>X</v>
      </c>
      <c r="D964" t="str">
        <f t="shared" si="60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F964" t="str">
        <f t="shared" si="61"/>
        <v>_</v>
      </c>
      <c r="K964" t="str">
        <f t="shared" ca="1" si="62"/>
        <v>_XX_</v>
      </c>
      <c r="L964" t="str">
        <f t="shared" ca="1" si="63"/>
        <v/>
      </c>
      <c r="M964" t="str">
        <f>IFERROR(INDEX(Inventory!A:A,MATCH(Scan!A964,Inventory!E:E,0)),"")</f>
        <v/>
      </c>
    </row>
    <row r="965" spans="2:13" x14ac:dyDescent="0.3">
      <c r="B965" t="str">
        <f>IF(IFERROR(VLOOKUP(TRIM(A965),Inventory!E:E,1,0),0)=0,"X","_")</f>
        <v>_</v>
      </c>
      <c r="C965" t="str">
        <f>IF(IFERROR(VLOOKUP(TRIM(A965),'Full Inventory'!F:F,1,0),0)=0,"X","_")</f>
        <v>X</v>
      </c>
      <c r="D965" t="str">
        <f t="shared" si="60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F965" t="str">
        <f t="shared" si="61"/>
        <v>_</v>
      </c>
      <c r="K965" t="str">
        <f t="shared" ca="1" si="62"/>
        <v>_XX_</v>
      </c>
      <c r="L965" t="str">
        <f t="shared" ca="1" si="63"/>
        <v/>
      </c>
      <c r="M965" t="str">
        <f>IFERROR(INDEX(Inventory!A:A,MATCH(Scan!A965,Inventory!E:E,0)),"")</f>
        <v/>
      </c>
    </row>
    <row r="966" spans="2:13" x14ac:dyDescent="0.3">
      <c r="B966" t="str">
        <f>IF(IFERROR(VLOOKUP(TRIM(A966),Inventory!E:E,1,0),0)=0,"X","_")</f>
        <v>_</v>
      </c>
      <c r="C966" t="str">
        <f>IF(IFERROR(VLOOKUP(TRIM(A966),'Full Inventory'!F:F,1,0),0)=0,"X","_")</f>
        <v>X</v>
      </c>
      <c r="D966" t="str">
        <f t="shared" si="60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F966" t="str">
        <f t="shared" si="61"/>
        <v>_</v>
      </c>
      <c r="K966" t="str">
        <f t="shared" ca="1" si="62"/>
        <v>_XX_</v>
      </c>
      <c r="L966" t="str">
        <f t="shared" ca="1" si="63"/>
        <v/>
      </c>
      <c r="M966" t="str">
        <f>IFERROR(INDEX(Inventory!A:A,MATCH(Scan!A966,Inventory!E:E,0)),"")</f>
        <v/>
      </c>
    </row>
    <row r="967" spans="2:13" x14ac:dyDescent="0.3">
      <c r="B967" t="str">
        <f>IF(IFERROR(VLOOKUP(TRIM(A967),Inventory!E:E,1,0),0)=0,"X","_")</f>
        <v>_</v>
      </c>
      <c r="C967" t="str">
        <f>IF(IFERROR(VLOOKUP(TRIM(A967),'Full Inventory'!F:F,1,0),0)=0,"X","_")</f>
        <v>X</v>
      </c>
      <c r="D967" t="str">
        <f t="shared" si="60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F967" t="str">
        <f t="shared" si="61"/>
        <v>_</v>
      </c>
      <c r="K967" t="str">
        <f t="shared" ca="1" si="62"/>
        <v>_XX_</v>
      </c>
      <c r="L967" t="str">
        <f t="shared" ca="1" si="63"/>
        <v/>
      </c>
      <c r="M967" t="str">
        <f>IFERROR(INDEX(Inventory!A:A,MATCH(Scan!A967,Inventory!E:E,0)),"")</f>
        <v/>
      </c>
    </row>
    <row r="968" spans="2:13" x14ac:dyDescent="0.3">
      <c r="B968" t="str">
        <f>IF(IFERROR(VLOOKUP(TRIM(A968),Inventory!E:E,1,0),0)=0,"X","_")</f>
        <v>_</v>
      </c>
      <c r="C968" t="str">
        <f>IF(IFERROR(VLOOKUP(TRIM(A968),'Full Inventory'!F:F,1,0),0)=0,"X","_")</f>
        <v>X</v>
      </c>
      <c r="D968" t="str">
        <f t="shared" si="60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F968" t="str">
        <f t="shared" si="61"/>
        <v>_</v>
      </c>
      <c r="K968" t="str">
        <f t="shared" ca="1" si="62"/>
        <v>_XX_</v>
      </c>
      <c r="L968" t="str">
        <f t="shared" ca="1" si="63"/>
        <v/>
      </c>
      <c r="M968" t="str">
        <f>IFERROR(INDEX(Inventory!A:A,MATCH(Scan!A968,Inventory!E:E,0)),"")</f>
        <v/>
      </c>
    </row>
    <row r="969" spans="2:13" x14ac:dyDescent="0.3">
      <c r="B969" t="str">
        <f>IF(IFERROR(VLOOKUP(TRIM(A969),Inventory!E:E,1,0),0)=0,"X","_")</f>
        <v>_</v>
      </c>
      <c r="C969" t="str">
        <f>IF(IFERROR(VLOOKUP(TRIM(A969),'Full Inventory'!F:F,1,0),0)=0,"X","_")</f>
        <v>X</v>
      </c>
      <c r="D969" t="str">
        <f t="shared" si="60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F969" t="str">
        <f t="shared" si="61"/>
        <v>_</v>
      </c>
      <c r="K969" t="str">
        <f t="shared" ca="1" si="62"/>
        <v>_XX_</v>
      </c>
      <c r="L969" t="str">
        <f t="shared" ca="1" si="63"/>
        <v/>
      </c>
      <c r="M969" t="str">
        <f>IFERROR(INDEX(Inventory!A:A,MATCH(Scan!A969,Inventory!E:E,0)),"")</f>
        <v/>
      </c>
    </row>
    <row r="970" spans="2:13" x14ac:dyDescent="0.3">
      <c r="B970" t="str">
        <f>IF(IFERROR(VLOOKUP(TRIM(A970),Inventory!E:E,1,0),0)=0,"X","_")</f>
        <v>_</v>
      </c>
      <c r="C970" t="str">
        <f>IF(IFERROR(VLOOKUP(TRIM(A970),'Full Inventory'!F:F,1,0),0)=0,"X","_")</f>
        <v>X</v>
      </c>
      <c r="D970" t="str">
        <f t="shared" si="60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F970" t="str">
        <f t="shared" si="61"/>
        <v>_</v>
      </c>
      <c r="K970" t="str">
        <f t="shared" ca="1" si="62"/>
        <v>_XX_</v>
      </c>
      <c r="L970" t="str">
        <f t="shared" ca="1" si="63"/>
        <v/>
      </c>
      <c r="M970" t="str">
        <f>IFERROR(INDEX(Inventory!A:A,MATCH(Scan!A970,Inventory!E:E,0)),"")</f>
        <v/>
      </c>
    </row>
    <row r="971" spans="2:13" x14ac:dyDescent="0.3">
      <c r="B971" t="str">
        <f>IF(IFERROR(VLOOKUP(TRIM(A971),Inventory!E:E,1,0),0)=0,"X","_")</f>
        <v>_</v>
      </c>
      <c r="C971" t="str">
        <f>IF(IFERROR(VLOOKUP(TRIM(A971),'Full Inventory'!F:F,1,0),0)=0,"X","_")</f>
        <v>X</v>
      </c>
      <c r="D971" t="str">
        <f t="shared" si="60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F971" t="str">
        <f t="shared" si="61"/>
        <v>_</v>
      </c>
      <c r="K971" t="str">
        <f t="shared" ca="1" si="62"/>
        <v>_XX_</v>
      </c>
      <c r="L971" t="str">
        <f t="shared" ca="1" si="63"/>
        <v/>
      </c>
      <c r="M971" t="str">
        <f>IFERROR(INDEX(Inventory!A:A,MATCH(Scan!A971,Inventory!E:E,0)),"")</f>
        <v/>
      </c>
    </row>
    <row r="972" spans="2:13" x14ac:dyDescent="0.3">
      <c r="B972" t="str">
        <f>IF(IFERROR(VLOOKUP(TRIM(A972),Inventory!E:E,1,0),0)=0,"X","_")</f>
        <v>_</v>
      </c>
      <c r="C972" t="str">
        <f>IF(IFERROR(VLOOKUP(TRIM(A972),'Full Inventory'!F:F,1,0),0)=0,"X","_")</f>
        <v>X</v>
      </c>
      <c r="D972" t="str">
        <f t="shared" si="60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F972" t="str">
        <f t="shared" si="61"/>
        <v>_</v>
      </c>
      <c r="K972" t="str">
        <f t="shared" ca="1" si="62"/>
        <v>_XX_</v>
      </c>
      <c r="L972" t="str">
        <f t="shared" ca="1" si="63"/>
        <v/>
      </c>
      <c r="M972" t="str">
        <f>IFERROR(INDEX(Inventory!A:A,MATCH(Scan!A972,Inventory!E:E,0)),"")</f>
        <v/>
      </c>
    </row>
    <row r="973" spans="2:13" x14ac:dyDescent="0.3">
      <c r="B973" t="str">
        <f>IF(IFERROR(VLOOKUP(TRIM(A973),Inventory!E:E,1,0),0)=0,"X","_")</f>
        <v>_</v>
      </c>
      <c r="C973" t="str">
        <f>IF(IFERROR(VLOOKUP(TRIM(A973),'Full Inventory'!F:F,1,0),0)=0,"X","_")</f>
        <v>X</v>
      </c>
      <c r="D973" t="str">
        <f t="shared" si="60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F973" t="str">
        <f t="shared" si="61"/>
        <v>_</v>
      </c>
      <c r="K973" t="str">
        <f t="shared" ca="1" si="62"/>
        <v>_XX_</v>
      </c>
      <c r="L973" t="str">
        <f t="shared" ca="1" si="63"/>
        <v/>
      </c>
      <c r="M973" t="str">
        <f>IFERROR(INDEX(Inventory!A:A,MATCH(Scan!A973,Inventory!E:E,0)),"")</f>
        <v/>
      </c>
    </row>
    <row r="974" spans="2:13" x14ac:dyDescent="0.3">
      <c r="B974" t="str">
        <f>IF(IFERROR(VLOOKUP(TRIM(A974),Inventory!E:E,1,0),0)=0,"X","_")</f>
        <v>_</v>
      </c>
      <c r="C974" t="str">
        <f>IF(IFERROR(VLOOKUP(TRIM(A974),'Full Inventory'!F:F,1,0),0)=0,"X","_")</f>
        <v>X</v>
      </c>
      <c r="D974" t="str">
        <f t="shared" si="60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F974" t="str">
        <f t="shared" si="61"/>
        <v>_</v>
      </c>
      <c r="K974" t="str">
        <f t="shared" ca="1" si="62"/>
        <v>_XX_</v>
      </c>
      <c r="L974" t="str">
        <f t="shared" ca="1" si="63"/>
        <v/>
      </c>
      <c r="M974" t="str">
        <f>IFERROR(INDEX(Inventory!A:A,MATCH(Scan!A974,Inventory!E:E,0)),"")</f>
        <v/>
      </c>
    </row>
    <row r="975" spans="2:13" x14ac:dyDescent="0.3">
      <c r="B975" t="str">
        <f>IF(IFERROR(VLOOKUP(TRIM(A975),Inventory!E:E,1,0),0)=0,"X","_")</f>
        <v>_</v>
      </c>
      <c r="C975" t="str">
        <f>IF(IFERROR(VLOOKUP(TRIM(A975),'Full Inventory'!F:F,1,0),0)=0,"X","_")</f>
        <v>X</v>
      </c>
      <c r="D975" t="str">
        <f t="shared" si="60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F975" t="str">
        <f t="shared" si="61"/>
        <v>_</v>
      </c>
      <c r="K975" t="str">
        <f t="shared" ca="1" si="62"/>
        <v>_XX_</v>
      </c>
      <c r="L975" t="str">
        <f t="shared" ca="1" si="63"/>
        <v/>
      </c>
      <c r="M975" t="str">
        <f>IFERROR(INDEX(Inventory!A:A,MATCH(Scan!A975,Inventory!E:E,0)),"")</f>
        <v/>
      </c>
    </row>
    <row r="976" spans="2:13" x14ac:dyDescent="0.3">
      <c r="B976" t="str">
        <f>IF(IFERROR(VLOOKUP(TRIM(A976),Inventory!E:E,1,0),0)=0,"X","_")</f>
        <v>_</v>
      </c>
      <c r="C976" t="str">
        <f>IF(IFERROR(VLOOKUP(TRIM(A976),'Full Inventory'!F:F,1,0),0)=0,"X","_")</f>
        <v>X</v>
      </c>
      <c r="D976" t="str">
        <f t="shared" si="60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F976" t="str">
        <f t="shared" si="61"/>
        <v>_</v>
      </c>
      <c r="K976" t="str">
        <f t="shared" ca="1" si="62"/>
        <v>_XX_</v>
      </c>
      <c r="L976" t="str">
        <f t="shared" ca="1" si="63"/>
        <v/>
      </c>
      <c r="M976" t="str">
        <f>IFERROR(INDEX(Inventory!A:A,MATCH(Scan!A976,Inventory!E:E,0)),"")</f>
        <v/>
      </c>
    </row>
    <row r="977" spans="2:13" x14ac:dyDescent="0.3">
      <c r="B977" t="str">
        <f>IF(IFERROR(VLOOKUP(TRIM(A977),Inventory!E:E,1,0),0)=0,"X","_")</f>
        <v>_</v>
      </c>
      <c r="C977" t="str">
        <f>IF(IFERROR(VLOOKUP(TRIM(A977),'Full Inventory'!F:F,1,0),0)=0,"X","_")</f>
        <v>X</v>
      </c>
      <c r="D977" t="str">
        <f t="shared" si="60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F977" t="str">
        <f t="shared" si="61"/>
        <v>_</v>
      </c>
      <c r="K977" t="str">
        <f t="shared" ca="1" si="62"/>
        <v>_XX_</v>
      </c>
      <c r="L977" t="str">
        <f t="shared" ca="1" si="63"/>
        <v/>
      </c>
      <c r="M977" t="str">
        <f>IFERROR(INDEX(Inventory!A:A,MATCH(Scan!A977,Inventory!E:E,0)),"")</f>
        <v/>
      </c>
    </row>
    <row r="978" spans="2:13" x14ac:dyDescent="0.3">
      <c r="B978" t="str">
        <f>IF(IFERROR(VLOOKUP(TRIM(A978),Inventory!E:E,1,0),0)=0,"X","_")</f>
        <v>_</v>
      </c>
      <c r="C978" t="str">
        <f>IF(IFERROR(VLOOKUP(TRIM(A978),'Full Inventory'!F:F,1,0),0)=0,"X","_")</f>
        <v>X</v>
      </c>
      <c r="D978" t="str">
        <f t="shared" si="60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F978" t="str">
        <f t="shared" si="61"/>
        <v>_</v>
      </c>
      <c r="K978" t="str">
        <f t="shared" ca="1" si="62"/>
        <v>_XX_</v>
      </c>
      <c r="L978" t="str">
        <f t="shared" ca="1" si="63"/>
        <v/>
      </c>
      <c r="M978" t="str">
        <f>IFERROR(INDEX(Inventory!A:A,MATCH(Scan!A978,Inventory!E:E,0)),"")</f>
        <v/>
      </c>
    </row>
    <row r="979" spans="2:13" x14ac:dyDescent="0.3">
      <c r="B979" t="str">
        <f>IF(IFERROR(VLOOKUP(TRIM(A979),Inventory!E:E,1,0),0)=0,"X","_")</f>
        <v>_</v>
      </c>
      <c r="C979" t="str">
        <f>IF(IFERROR(VLOOKUP(TRIM(A979),'Full Inventory'!F:F,1,0),0)=0,"X","_")</f>
        <v>X</v>
      </c>
      <c r="D979" t="str">
        <f t="shared" si="60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F979" t="str">
        <f t="shared" si="61"/>
        <v>_</v>
      </c>
      <c r="K979" t="str">
        <f t="shared" ca="1" si="62"/>
        <v>_XX_</v>
      </c>
      <c r="L979" t="str">
        <f t="shared" ca="1" si="63"/>
        <v/>
      </c>
      <c r="M979" t="str">
        <f>IFERROR(INDEX(Inventory!A:A,MATCH(Scan!A979,Inventory!E:E,0)),"")</f>
        <v/>
      </c>
    </row>
    <row r="980" spans="2:13" x14ac:dyDescent="0.3">
      <c r="B980" t="str">
        <f>IF(IFERROR(VLOOKUP(TRIM(A980),Inventory!E:E,1,0),0)=0,"X","_")</f>
        <v>_</v>
      </c>
      <c r="C980" t="str">
        <f>IF(IFERROR(VLOOKUP(TRIM(A980),'Full Inventory'!F:F,1,0),0)=0,"X","_")</f>
        <v>X</v>
      </c>
      <c r="D980" t="str">
        <f t="shared" si="60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F980" t="str">
        <f t="shared" si="61"/>
        <v>_</v>
      </c>
      <c r="K980" t="str">
        <f t="shared" ca="1" si="62"/>
        <v>_XX_</v>
      </c>
      <c r="L980" t="str">
        <f t="shared" ca="1" si="63"/>
        <v/>
      </c>
      <c r="M980" t="str">
        <f>IFERROR(INDEX(Inventory!A:A,MATCH(Scan!A980,Inventory!E:E,0)),"")</f>
        <v/>
      </c>
    </row>
    <row r="981" spans="2:13" x14ac:dyDescent="0.3">
      <c r="B981" t="str">
        <f>IF(IFERROR(VLOOKUP(TRIM(A981),Inventory!E:E,1,0),0)=0,"X","_")</f>
        <v>_</v>
      </c>
      <c r="C981" t="str">
        <f>IF(IFERROR(VLOOKUP(TRIM(A981),'Full Inventory'!F:F,1,0),0)=0,"X","_")</f>
        <v>X</v>
      </c>
      <c r="D981" t="str">
        <f t="shared" si="60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F981" t="str">
        <f t="shared" si="61"/>
        <v>_</v>
      </c>
      <c r="K981" t="str">
        <f t="shared" ca="1" si="62"/>
        <v>_XX_</v>
      </c>
      <c r="L981" t="str">
        <f t="shared" ca="1" si="63"/>
        <v/>
      </c>
      <c r="M981" t="str">
        <f>IFERROR(INDEX(Inventory!A:A,MATCH(Scan!A981,Inventory!E:E,0)),"")</f>
        <v/>
      </c>
    </row>
    <row r="982" spans="2:13" x14ac:dyDescent="0.3">
      <c r="B982" t="str">
        <f>IF(IFERROR(VLOOKUP(TRIM(A982),Inventory!E:E,1,0),0)=0,"X","_")</f>
        <v>_</v>
      </c>
      <c r="C982" t="str">
        <f>IF(IFERROR(VLOOKUP(TRIM(A982),'Full Inventory'!F:F,1,0),0)=0,"X","_")</f>
        <v>X</v>
      </c>
      <c r="D982" t="str">
        <f t="shared" si="60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F982" t="str">
        <f t="shared" si="61"/>
        <v>_</v>
      </c>
      <c r="K982" t="str">
        <f t="shared" ca="1" si="62"/>
        <v>_XX_</v>
      </c>
      <c r="L982" t="str">
        <f t="shared" ca="1" si="63"/>
        <v/>
      </c>
      <c r="M982" t="str">
        <f>IFERROR(INDEX(Inventory!A:A,MATCH(Scan!A982,Inventory!E:E,0)),"")</f>
        <v/>
      </c>
    </row>
    <row r="983" spans="2:13" x14ac:dyDescent="0.3">
      <c r="B983" t="str">
        <f>IF(IFERROR(VLOOKUP(TRIM(A983),Inventory!E:E,1,0),0)=0,"X","_")</f>
        <v>_</v>
      </c>
      <c r="C983" t="str">
        <f>IF(IFERROR(VLOOKUP(TRIM(A983),'Full Inventory'!F:F,1,0),0)=0,"X","_")</f>
        <v>X</v>
      </c>
      <c r="D983" t="str">
        <f t="shared" si="60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F983" t="str">
        <f t="shared" si="61"/>
        <v>_</v>
      </c>
      <c r="K983" t="str">
        <f t="shared" ca="1" si="62"/>
        <v>_XX_</v>
      </c>
      <c r="L983" t="str">
        <f t="shared" ca="1" si="63"/>
        <v/>
      </c>
      <c r="M983" t="str">
        <f>IFERROR(INDEX(Inventory!A:A,MATCH(Scan!A983,Inventory!E:E,0)),"")</f>
        <v/>
      </c>
    </row>
    <row r="984" spans="2:13" x14ac:dyDescent="0.3">
      <c r="B984" t="str">
        <f>IF(IFERROR(VLOOKUP(TRIM(A984),Inventory!E:E,1,0),0)=0,"X","_")</f>
        <v>_</v>
      </c>
      <c r="C984" t="str">
        <f>IF(IFERROR(VLOOKUP(TRIM(A984),'Full Inventory'!F:F,1,0),0)=0,"X","_")</f>
        <v>X</v>
      </c>
      <c r="D984" t="str">
        <f t="shared" si="60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F984" t="str">
        <f t="shared" si="61"/>
        <v>_</v>
      </c>
      <c r="K984" t="str">
        <f t="shared" ca="1" si="62"/>
        <v>_XX_</v>
      </c>
      <c r="L984" t="str">
        <f t="shared" ca="1" si="63"/>
        <v/>
      </c>
      <c r="M984" t="str">
        <f>IFERROR(INDEX(Inventory!A:A,MATCH(Scan!A984,Inventory!E:E,0)),"")</f>
        <v/>
      </c>
    </row>
    <row r="985" spans="2:13" x14ac:dyDescent="0.3">
      <c r="B985" t="str">
        <f>IF(IFERROR(VLOOKUP(TRIM(A985),Inventory!E:E,1,0),0)=0,"X","_")</f>
        <v>_</v>
      </c>
      <c r="C985" t="str">
        <f>IF(IFERROR(VLOOKUP(TRIM(A985),'Full Inventory'!F:F,1,0),0)=0,"X","_")</f>
        <v>X</v>
      </c>
      <c r="D985" t="str">
        <f t="shared" si="60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F985" t="str">
        <f t="shared" si="61"/>
        <v>_</v>
      </c>
      <c r="K985" t="str">
        <f t="shared" ca="1" si="62"/>
        <v>_XX_</v>
      </c>
      <c r="L985" t="str">
        <f t="shared" ca="1" si="63"/>
        <v/>
      </c>
      <c r="M985" t="str">
        <f>IFERROR(INDEX(Inventory!A:A,MATCH(Scan!A985,Inventory!E:E,0)),"")</f>
        <v/>
      </c>
    </row>
    <row r="986" spans="2:13" x14ac:dyDescent="0.3">
      <c r="B986" t="str">
        <f>IF(IFERROR(VLOOKUP(TRIM(A986),Inventory!E:E,1,0),0)=0,"X","_")</f>
        <v>_</v>
      </c>
      <c r="C986" t="str">
        <f>IF(IFERROR(VLOOKUP(TRIM(A986),'Full Inventory'!F:F,1,0),0)=0,"X","_")</f>
        <v>X</v>
      </c>
      <c r="D986" t="str">
        <f t="shared" si="60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F986" t="str">
        <f t="shared" si="61"/>
        <v>_</v>
      </c>
      <c r="K986" t="str">
        <f t="shared" ca="1" si="62"/>
        <v>_XX_</v>
      </c>
      <c r="L986" t="str">
        <f t="shared" ca="1" si="63"/>
        <v/>
      </c>
      <c r="M986" t="str">
        <f>IFERROR(INDEX(Inventory!A:A,MATCH(Scan!A986,Inventory!E:E,0)),"")</f>
        <v/>
      </c>
    </row>
    <row r="987" spans="2:13" x14ac:dyDescent="0.3">
      <c r="B987" t="str">
        <f>IF(IFERROR(VLOOKUP(TRIM(A987),Inventory!E:E,1,0),0)=0,"X","_")</f>
        <v>_</v>
      </c>
      <c r="C987" t="str">
        <f>IF(IFERROR(VLOOKUP(TRIM(A987),'Full Inventory'!F:F,1,0),0)=0,"X","_")</f>
        <v>X</v>
      </c>
      <c r="D987" t="str">
        <f t="shared" si="60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F987" t="str">
        <f t="shared" si="61"/>
        <v>_</v>
      </c>
      <c r="K987" t="str">
        <f t="shared" ca="1" si="62"/>
        <v>_XX_</v>
      </c>
      <c r="L987" t="str">
        <f t="shared" ca="1" si="63"/>
        <v/>
      </c>
      <c r="M987" t="str">
        <f>IFERROR(INDEX(Inventory!A:A,MATCH(Scan!A987,Inventory!E:E,0)),"")</f>
        <v/>
      </c>
    </row>
    <row r="988" spans="2:13" x14ac:dyDescent="0.3">
      <c r="B988" t="str">
        <f>IF(IFERROR(VLOOKUP(TRIM(A988),Inventory!E:E,1,0),0)=0,"X","_")</f>
        <v>_</v>
      </c>
      <c r="C988" t="str">
        <f>IF(IFERROR(VLOOKUP(TRIM(A988),'Full Inventory'!F:F,1,0),0)=0,"X","_")</f>
        <v>X</v>
      </c>
      <c r="D988" t="str">
        <f t="shared" si="60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F988" t="str">
        <f t="shared" si="61"/>
        <v>_</v>
      </c>
      <c r="K988" t="str">
        <f t="shared" ca="1" si="62"/>
        <v>_XX_</v>
      </c>
      <c r="L988" t="str">
        <f t="shared" ca="1" si="63"/>
        <v/>
      </c>
      <c r="M988" t="str">
        <f>IFERROR(INDEX(Inventory!A:A,MATCH(Scan!A988,Inventory!E:E,0)),"")</f>
        <v/>
      </c>
    </row>
    <row r="989" spans="2:13" x14ac:dyDescent="0.3">
      <c r="B989" t="str">
        <f>IF(IFERROR(VLOOKUP(TRIM(A989),Inventory!E:E,1,0),0)=0,"X","_")</f>
        <v>_</v>
      </c>
      <c r="C989" t="str">
        <f>IF(IFERROR(VLOOKUP(TRIM(A989),'Full Inventory'!F:F,1,0),0)=0,"X","_")</f>
        <v>X</v>
      </c>
      <c r="D989" t="str">
        <f t="shared" si="60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F989" t="str">
        <f t="shared" si="61"/>
        <v>_</v>
      </c>
      <c r="K989" t="str">
        <f t="shared" ca="1" si="62"/>
        <v>_XX_</v>
      </c>
      <c r="L989" t="str">
        <f t="shared" ca="1" si="63"/>
        <v/>
      </c>
      <c r="M989" t="str">
        <f>IFERROR(INDEX(Inventory!A:A,MATCH(Scan!A989,Inventory!E:E,0)),"")</f>
        <v/>
      </c>
    </row>
    <row r="990" spans="2:13" x14ac:dyDescent="0.3">
      <c r="B990" t="str">
        <f>IF(IFERROR(VLOOKUP(TRIM(A990),Inventory!E:E,1,0),0)=0,"X","_")</f>
        <v>_</v>
      </c>
      <c r="C990" t="str">
        <f>IF(IFERROR(VLOOKUP(TRIM(A990),'Full Inventory'!F:F,1,0),0)=0,"X","_")</f>
        <v>X</v>
      </c>
      <c r="D990" t="str">
        <f t="shared" si="60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F990" t="str">
        <f t="shared" si="61"/>
        <v>_</v>
      </c>
      <c r="K990" t="str">
        <f t="shared" ca="1" si="62"/>
        <v>_XX_</v>
      </c>
      <c r="L990" t="str">
        <f t="shared" ca="1" si="63"/>
        <v/>
      </c>
      <c r="M990" t="str">
        <f>IFERROR(INDEX(Inventory!A:A,MATCH(Scan!A990,Inventory!E:E,0)),"")</f>
        <v/>
      </c>
    </row>
    <row r="991" spans="2:13" x14ac:dyDescent="0.3">
      <c r="B991" t="str">
        <f>IF(IFERROR(VLOOKUP(TRIM(A991),Inventory!E:E,1,0),0)=0,"X","_")</f>
        <v>_</v>
      </c>
      <c r="C991" t="str">
        <f>IF(IFERROR(VLOOKUP(TRIM(A991),'Full Inventory'!F:F,1,0),0)=0,"X","_")</f>
        <v>X</v>
      </c>
      <c r="D991" t="str">
        <f t="shared" si="60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F991" t="str">
        <f t="shared" si="61"/>
        <v>_</v>
      </c>
      <c r="K991" t="str">
        <f t="shared" ca="1" si="62"/>
        <v>_XX_</v>
      </c>
      <c r="L991" t="str">
        <f t="shared" ca="1" si="63"/>
        <v/>
      </c>
      <c r="M991" t="str">
        <f>IFERROR(INDEX(Inventory!A:A,MATCH(Scan!A991,Inventory!E:E,0)),"")</f>
        <v/>
      </c>
    </row>
    <row r="992" spans="2:13" x14ac:dyDescent="0.3">
      <c r="B992" t="str">
        <f>IF(IFERROR(VLOOKUP(TRIM(A992),Inventory!E:E,1,0),0)=0,"X","_")</f>
        <v>_</v>
      </c>
      <c r="C992" t="str">
        <f>IF(IFERROR(VLOOKUP(TRIM(A992),'Full Inventory'!F:F,1,0),0)=0,"X","_")</f>
        <v>X</v>
      </c>
      <c r="D992" t="str">
        <f t="shared" si="60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F992" t="str">
        <f t="shared" si="61"/>
        <v>_</v>
      </c>
      <c r="K992" t="str">
        <f t="shared" ca="1" si="62"/>
        <v>_XX_</v>
      </c>
      <c r="L992" t="str">
        <f t="shared" ca="1" si="63"/>
        <v/>
      </c>
      <c r="M992" t="str">
        <f>IFERROR(INDEX(Inventory!A:A,MATCH(Scan!A992,Inventory!E:E,0)),"")</f>
        <v/>
      </c>
    </row>
    <row r="993" spans="2:13" x14ac:dyDescent="0.3">
      <c r="B993" t="str">
        <f>IF(IFERROR(VLOOKUP(TRIM(A993),Inventory!E:E,1,0),0)=0,"X","_")</f>
        <v>_</v>
      </c>
      <c r="C993" t="str">
        <f>IF(IFERROR(VLOOKUP(TRIM(A993),'Full Inventory'!F:F,1,0),0)=0,"X","_")</f>
        <v>X</v>
      </c>
      <c r="D993" t="str">
        <f t="shared" si="60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F993" t="str">
        <f t="shared" si="61"/>
        <v>_</v>
      </c>
      <c r="K993" t="str">
        <f t="shared" ca="1" si="62"/>
        <v>_XX_</v>
      </c>
      <c r="L993" t="str">
        <f t="shared" ca="1" si="63"/>
        <v/>
      </c>
      <c r="M993" t="str">
        <f>IFERROR(INDEX(Inventory!A:A,MATCH(Scan!A993,Inventory!E:E,0)),"")</f>
        <v/>
      </c>
    </row>
    <row r="994" spans="2:13" x14ac:dyDescent="0.3">
      <c r="B994" t="str">
        <f>IF(IFERROR(VLOOKUP(TRIM(A994),Inventory!E:E,1,0),0)=0,"X","_")</f>
        <v>_</v>
      </c>
      <c r="C994" t="str">
        <f>IF(IFERROR(VLOOKUP(TRIM(A994),'Full Inventory'!F:F,1,0),0)=0,"X","_")</f>
        <v>X</v>
      </c>
      <c r="D994" t="str">
        <f t="shared" si="60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F994" t="str">
        <f t="shared" si="61"/>
        <v>_</v>
      </c>
      <c r="K994" t="str">
        <f t="shared" ca="1" si="62"/>
        <v>_XX_</v>
      </c>
      <c r="L994" t="str">
        <f t="shared" ca="1" si="63"/>
        <v/>
      </c>
      <c r="M994" t="str">
        <f>IFERROR(INDEX(Inventory!A:A,MATCH(Scan!A994,Inventory!E:E,0)),"")</f>
        <v/>
      </c>
    </row>
    <row r="995" spans="2:13" x14ac:dyDescent="0.3">
      <c r="B995" t="str">
        <f>IF(IFERROR(VLOOKUP(TRIM(A995),Inventory!E:E,1,0),0)=0,"X","_")</f>
        <v>_</v>
      </c>
      <c r="C995" t="str">
        <f>IF(IFERROR(VLOOKUP(TRIM(A995),'Full Inventory'!F:F,1,0),0)=0,"X","_")</f>
        <v>X</v>
      </c>
      <c r="D995" t="str">
        <f t="shared" si="60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F995" t="str">
        <f t="shared" si="61"/>
        <v>_</v>
      </c>
      <c r="K995" t="str">
        <f t="shared" ca="1" si="62"/>
        <v>_XX_</v>
      </c>
      <c r="L995" t="str">
        <f t="shared" ca="1" si="63"/>
        <v/>
      </c>
      <c r="M995" t="str">
        <f>IFERROR(INDEX(Inventory!A:A,MATCH(Scan!A995,Inventory!E:E,0)),"")</f>
        <v/>
      </c>
    </row>
    <row r="996" spans="2:13" x14ac:dyDescent="0.3">
      <c r="B996" t="str">
        <f>IF(IFERROR(VLOOKUP(TRIM(A996),Inventory!E:E,1,0),0)=0,"X","_")</f>
        <v>_</v>
      </c>
      <c r="C996" t="str">
        <f>IF(IFERROR(VLOOKUP(TRIM(A996),'Full Inventory'!F:F,1,0),0)=0,"X","_")</f>
        <v>X</v>
      </c>
      <c r="D996" t="str">
        <f t="shared" si="60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F996" t="str">
        <f t="shared" si="61"/>
        <v>_</v>
      </c>
      <c r="K996" t="str">
        <f t="shared" ca="1" si="62"/>
        <v>_XX_</v>
      </c>
      <c r="L996" t="str">
        <f t="shared" ca="1" si="63"/>
        <v/>
      </c>
      <c r="M996" t="str">
        <f>IFERROR(INDEX(Inventory!A:A,MATCH(Scan!A996,Inventory!E:E,0)),"")</f>
        <v/>
      </c>
    </row>
    <row r="997" spans="2:13" x14ac:dyDescent="0.3">
      <c r="B997" t="str">
        <f>IF(IFERROR(VLOOKUP(TRIM(A997),Inventory!E:E,1,0),0)=0,"X","_")</f>
        <v>_</v>
      </c>
      <c r="C997" t="str">
        <f>IF(IFERROR(VLOOKUP(TRIM(A997),'Full Inventory'!F:F,1,0),0)=0,"X","_")</f>
        <v>X</v>
      </c>
      <c r="D997" t="str">
        <f t="shared" si="60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F997" t="str">
        <f t="shared" si="61"/>
        <v>_</v>
      </c>
      <c r="K997" t="str">
        <f t="shared" ca="1" si="62"/>
        <v>_XX_</v>
      </c>
      <c r="L997" t="str">
        <f t="shared" ca="1" si="63"/>
        <v/>
      </c>
      <c r="M997" t="str">
        <f>IFERROR(INDEX(Inventory!A:A,MATCH(Scan!A997,Inventory!E:E,0)),"")</f>
        <v/>
      </c>
    </row>
    <row r="998" spans="2:13" x14ac:dyDescent="0.3">
      <c r="B998" t="str">
        <f>IF(IFERROR(VLOOKUP(TRIM(A998),Inventory!E:E,1,0),0)=0,"X","_")</f>
        <v>_</v>
      </c>
      <c r="C998" t="str">
        <f>IF(IFERROR(VLOOKUP(TRIM(A998),'Full Inventory'!F:F,1,0),0)=0,"X","_")</f>
        <v>X</v>
      </c>
      <c r="D998" t="str">
        <f t="shared" si="60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F998" t="str">
        <f t="shared" si="61"/>
        <v>_</v>
      </c>
      <c r="K998" t="str">
        <f t="shared" ca="1" si="62"/>
        <v>_XX_</v>
      </c>
      <c r="L998" t="str">
        <f t="shared" ca="1" si="63"/>
        <v/>
      </c>
      <c r="M998" t="str">
        <f>IFERROR(INDEX(Inventory!A:A,MATCH(Scan!A998,Inventory!E:E,0)),"")</f>
        <v/>
      </c>
    </row>
    <row r="999" spans="2:13" x14ac:dyDescent="0.3">
      <c r="B999" t="str">
        <f>IF(IFERROR(VLOOKUP(TRIM(A999),Inventory!E:E,1,0),0)=0,"X","_")</f>
        <v>_</v>
      </c>
      <c r="C999" t="str">
        <f>IF(IFERROR(VLOOKUP(TRIM(A999),'Full Inventory'!F:F,1,0),0)=0,"X","_")</f>
        <v>X</v>
      </c>
      <c r="D999" t="str">
        <f t="shared" si="60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F999" t="str">
        <f t="shared" si="61"/>
        <v>_</v>
      </c>
      <c r="K999" t="str">
        <f t="shared" ca="1" si="62"/>
        <v>_XX_</v>
      </c>
      <c r="L999" t="str">
        <f t="shared" ca="1" si="63"/>
        <v/>
      </c>
      <c r="M999" t="str">
        <f>IFERROR(INDEX(Inventory!A:A,MATCH(Scan!A999,Inventory!E:E,0)),"")</f>
        <v/>
      </c>
    </row>
    <row r="1000" spans="2:13" x14ac:dyDescent="0.3">
      <c r="B1000" t="str">
        <f>IF(IFERROR(VLOOKUP(TRIM(A1000),Inventory!E:E,1,0),0)=0,"X","_")</f>
        <v>_</v>
      </c>
      <c r="C1000" t="str">
        <f>IF(IFERROR(VLOOKUP(TRIM(A1000),'Full Inventory'!F:F,1,0),0)=0,"X","_")</f>
        <v>X</v>
      </c>
      <c r="D1000" t="str">
        <f t="shared" si="60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F1000" t="str">
        <f t="shared" si="61"/>
        <v>_</v>
      </c>
      <c r="K1000" t="str">
        <f t="shared" ca="1" si="62"/>
        <v>_XX_</v>
      </c>
      <c r="L1000" t="str">
        <f t="shared" ca="1" si="63"/>
        <v/>
      </c>
      <c r="M1000" t="str">
        <f>IFERROR(INDEX(Inventory!A:A,MATCH(Scan!A1000,Inventory!E:E,0)),"")</f>
        <v/>
      </c>
    </row>
    <row r="1001" spans="2:13" x14ac:dyDescent="0.3">
      <c r="B1001" t="str">
        <f>IF(IFERROR(VLOOKUP(TRIM(A1001),Inventory!E:E,1,0),0)=0,"X","_")</f>
        <v>_</v>
      </c>
      <c r="C1001" t="str">
        <f>IF(IFERROR(VLOOKUP(TRIM(A1001),'Full Inventory'!F:F,1,0),0)=0,"X","_")</f>
        <v>X</v>
      </c>
      <c r="D1001" t="str">
        <f t="shared" si="60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F1001" t="str">
        <f t="shared" si="61"/>
        <v>_</v>
      </c>
      <c r="K1001" t="str">
        <f t="shared" ca="1" si="62"/>
        <v>_XX_</v>
      </c>
      <c r="L1001" t="str">
        <f t="shared" ca="1" si="63"/>
        <v/>
      </c>
      <c r="M1001" t="str">
        <f>IFERROR(INDEX(Inventory!A:A,MATCH(Scan!A1001,Inventory!E:E,0)),"")</f>
        <v/>
      </c>
    </row>
    <row r="1002" spans="2:13" x14ac:dyDescent="0.3">
      <c r="B1002" t="str">
        <f>IF(IFERROR(VLOOKUP(TRIM(A1002),Inventory!E:E,1,0),0)=0,"X","_")</f>
        <v>_</v>
      </c>
      <c r="C1002" t="str">
        <f>IF(IFERROR(VLOOKUP(TRIM(A1002),'Full Inventory'!F:F,1,0),0)=0,"X","_")</f>
        <v>X</v>
      </c>
      <c r="D1002" t="str">
        <f t="shared" si="60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F1002" t="str">
        <f t="shared" si="61"/>
        <v>_</v>
      </c>
      <c r="K1002" t="str">
        <f t="shared" ca="1" si="62"/>
        <v>_XX_</v>
      </c>
      <c r="L1002" t="str">
        <f t="shared" ca="1" si="63"/>
        <v/>
      </c>
      <c r="M1002" t="str">
        <f>IFERROR(INDEX(Inventory!A:A,MATCH(Scan!A1002,Inventory!E:E,0)),"")</f>
        <v/>
      </c>
    </row>
    <row r="1003" spans="2:13" x14ac:dyDescent="0.3">
      <c r="B1003" t="str">
        <f>IF(IFERROR(VLOOKUP(TRIM(A1003),Inventory!E:E,1,0),0)=0,"X","_")</f>
        <v>_</v>
      </c>
      <c r="C1003" t="str">
        <f>IF(IFERROR(VLOOKUP(TRIM(A1003),'Full Inventory'!F:F,1,0),0)=0,"X","_")</f>
        <v>X</v>
      </c>
      <c r="D1003" t="str">
        <f t="shared" si="60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F1003" t="str">
        <f t="shared" si="61"/>
        <v>_</v>
      </c>
      <c r="K1003" t="str">
        <f t="shared" ca="1" si="62"/>
        <v>_XX_</v>
      </c>
      <c r="L1003" t="str">
        <f t="shared" ca="1" si="63"/>
        <v/>
      </c>
      <c r="M1003" t="str">
        <f>IFERROR(INDEX(Inventory!A:A,MATCH(Scan!A1003,Inventory!E:E,0)),"")</f>
        <v/>
      </c>
    </row>
    <row r="1004" spans="2:13" x14ac:dyDescent="0.3">
      <c r="B1004" t="str">
        <f>IF(IFERROR(VLOOKUP(TRIM(A1004),Inventory!E:E,1,0),0)=0,"X","_")</f>
        <v>_</v>
      </c>
      <c r="C1004" t="str">
        <f>IF(IFERROR(VLOOKUP(TRIM(A1004),'Full Inventory'!F:F,1,0),0)=0,"X","_")</f>
        <v>X</v>
      </c>
      <c r="D1004" t="str">
        <f t="shared" si="60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F1004" t="str">
        <f t="shared" si="61"/>
        <v>_</v>
      </c>
      <c r="K1004" t="str">
        <f t="shared" ca="1" si="62"/>
        <v>_XX_</v>
      </c>
      <c r="L1004" t="str">
        <f t="shared" ca="1" si="63"/>
        <v/>
      </c>
      <c r="M1004" t="str">
        <f>IFERROR(INDEX(Inventory!A:A,MATCH(Scan!A1004,Inventory!E:E,0)),"")</f>
        <v/>
      </c>
    </row>
    <row r="1005" spans="2:13" x14ac:dyDescent="0.3">
      <c r="B1005" t="str">
        <f>IF(IFERROR(VLOOKUP(TRIM(A1005),Inventory!E:E,1,0),0)=0,"X","_")</f>
        <v>_</v>
      </c>
      <c r="C1005" t="str">
        <f>IF(IFERROR(VLOOKUP(TRIM(A1005),'Full Inventory'!F:F,1,0),0)=0,"X","_")</f>
        <v>X</v>
      </c>
      <c r="D1005" t="str">
        <f t="shared" si="60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F1005" t="str">
        <f t="shared" si="61"/>
        <v>_</v>
      </c>
      <c r="K1005" t="str">
        <f t="shared" ca="1" si="62"/>
        <v>_XX_</v>
      </c>
      <c r="L1005" t="str">
        <f t="shared" ca="1" si="63"/>
        <v/>
      </c>
      <c r="M1005" t="str">
        <f>IFERROR(INDEX(Inventory!A:A,MATCH(Scan!A1005,Inventory!E:E,0)),"")</f>
        <v/>
      </c>
    </row>
    <row r="1006" spans="2:13" x14ac:dyDescent="0.3">
      <c r="B1006" t="str">
        <f>IF(IFERROR(VLOOKUP(TRIM(A1006),Inventory!E:E,1,0),0)=0,"X","_")</f>
        <v>_</v>
      </c>
      <c r="C1006" t="str">
        <f>IF(IFERROR(VLOOKUP(TRIM(A1006),'Full Inventory'!F:F,1,0),0)=0,"X","_")</f>
        <v>X</v>
      </c>
      <c r="D1006" t="str">
        <f t="shared" si="60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F1006" t="str">
        <f t="shared" si="61"/>
        <v>_</v>
      </c>
      <c r="K1006" t="str">
        <f t="shared" ca="1" si="62"/>
        <v>_XX_</v>
      </c>
      <c r="L1006" t="str">
        <f t="shared" ca="1" si="63"/>
        <v/>
      </c>
      <c r="M1006" t="str">
        <f>IFERROR(INDEX(Inventory!A:A,MATCH(Scan!A1006,Inventory!E:E,0)),"")</f>
        <v/>
      </c>
    </row>
    <row r="1007" spans="2:13" x14ac:dyDescent="0.3">
      <c r="B1007" t="str">
        <f>IF(IFERROR(VLOOKUP(TRIM(A1007),Inventory!E:E,1,0),0)=0,"X","_")</f>
        <v>_</v>
      </c>
      <c r="C1007" t="str">
        <f>IF(IFERROR(VLOOKUP(TRIM(A1007),'Full Inventory'!F:F,1,0),0)=0,"X","_")</f>
        <v>X</v>
      </c>
      <c r="D1007" t="str">
        <f t="shared" si="60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F1007" t="str">
        <f t="shared" si="61"/>
        <v>_</v>
      </c>
      <c r="K1007" t="str">
        <f t="shared" ca="1" si="62"/>
        <v>_XX_</v>
      </c>
      <c r="L1007" t="str">
        <f t="shared" ca="1" si="63"/>
        <v/>
      </c>
      <c r="M1007" t="str">
        <f>IFERROR(INDEX(Inventory!A:A,MATCH(Scan!A1007,Inventory!E:E,0)),"")</f>
        <v/>
      </c>
    </row>
    <row r="1008" spans="2:13" x14ac:dyDescent="0.3">
      <c r="B1008" t="str">
        <f>IF(IFERROR(VLOOKUP(TRIM(A1008),Inventory!E:E,1,0),0)=0,"X","_")</f>
        <v>_</v>
      </c>
      <c r="C1008" t="str">
        <f>IF(IFERROR(VLOOKUP(TRIM(A1008),'Full Inventory'!F:F,1,0),0)=0,"X","_")</f>
        <v>X</v>
      </c>
      <c r="D1008" t="str">
        <f t="shared" si="60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F1008" t="str">
        <f t="shared" si="61"/>
        <v>_</v>
      </c>
      <c r="K1008" t="str">
        <f t="shared" ca="1" si="62"/>
        <v>_XX_</v>
      </c>
      <c r="L1008" t="str">
        <f t="shared" ca="1" si="63"/>
        <v/>
      </c>
      <c r="M1008" t="str">
        <f>IFERROR(INDEX(Inventory!A:A,MATCH(Scan!A1008,Inventory!E:E,0)),"")</f>
        <v/>
      </c>
    </row>
    <row r="1009" spans="2:13" x14ac:dyDescent="0.3">
      <c r="B1009" t="str">
        <f>IF(IFERROR(VLOOKUP(TRIM(A1009),Inventory!E:E,1,0),0)=0,"X","_")</f>
        <v>_</v>
      </c>
      <c r="C1009" t="str">
        <f>IF(IFERROR(VLOOKUP(TRIM(A1009),'Full Inventory'!F:F,1,0),0)=0,"X","_")</f>
        <v>X</v>
      </c>
      <c r="D1009" t="str">
        <f t="shared" si="60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F1009" t="str">
        <f t="shared" si="61"/>
        <v>_</v>
      </c>
      <c r="K1009" t="str">
        <f t="shared" ca="1" si="62"/>
        <v>_XX_</v>
      </c>
      <c r="L1009" t="str">
        <f t="shared" ca="1" si="63"/>
        <v/>
      </c>
      <c r="M1009" t="str">
        <f>IFERROR(INDEX(Inventory!A:A,MATCH(Scan!A1009,Inventory!E:E,0)),"")</f>
        <v/>
      </c>
    </row>
    <row r="1010" spans="2:13" x14ac:dyDescent="0.3">
      <c r="B1010" t="str">
        <f>IF(IFERROR(VLOOKUP(TRIM(A1010),Inventory!E:E,1,0),0)=0,"X","_")</f>
        <v>_</v>
      </c>
      <c r="C1010" t="str">
        <f>IF(IFERROR(VLOOKUP(TRIM(A1010),'Full Inventory'!F:F,1,0),0)=0,"X","_")</f>
        <v>X</v>
      </c>
      <c r="D1010" t="str">
        <f t="shared" si="60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F1010" t="str">
        <f t="shared" si="61"/>
        <v>_</v>
      </c>
      <c r="K1010" t="str">
        <f t="shared" ca="1" si="62"/>
        <v>_XX_</v>
      </c>
      <c r="L1010" t="str">
        <f t="shared" ca="1" si="63"/>
        <v/>
      </c>
      <c r="M1010" t="str">
        <f>IFERROR(INDEX(Inventory!A:A,MATCH(Scan!A1010,Inventory!E:E,0)),"")</f>
        <v/>
      </c>
    </row>
    <row r="1011" spans="2:13" x14ac:dyDescent="0.3">
      <c r="B1011" t="str">
        <f>IF(IFERROR(VLOOKUP(TRIM(A1011),Inventory!E:E,1,0),0)=0,"X","_")</f>
        <v>_</v>
      </c>
      <c r="C1011" t="str">
        <f>IF(IFERROR(VLOOKUP(TRIM(A1011),'Full Inventory'!F:F,1,0),0)=0,"X","_")</f>
        <v>X</v>
      </c>
      <c r="D1011" t="str">
        <f t="shared" si="60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F1011" t="str">
        <f t="shared" si="61"/>
        <v>_</v>
      </c>
      <c r="K1011" t="str">
        <f t="shared" ca="1" si="62"/>
        <v>_XX_</v>
      </c>
      <c r="L1011" t="str">
        <f t="shared" ca="1" si="63"/>
        <v/>
      </c>
      <c r="M1011" t="str">
        <f>IFERROR(INDEX(Inventory!A:A,MATCH(Scan!A1011,Inventory!E:E,0)),"")</f>
        <v/>
      </c>
    </row>
    <row r="1012" spans="2:13" x14ac:dyDescent="0.3">
      <c r="B1012" t="str">
        <f>IF(IFERROR(VLOOKUP(TRIM(A1012),Inventory!E:E,1,0),0)=0,"X","_")</f>
        <v>_</v>
      </c>
      <c r="C1012" t="str">
        <f>IF(IFERROR(VLOOKUP(TRIM(A1012),'Full Inventory'!F:F,1,0),0)=0,"X","_")</f>
        <v>X</v>
      </c>
      <c r="D1012" t="str">
        <f t="shared" si="60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F1012" t="str">
        <f t="shared" si="61"/>
        <v>_</v>
      </c>
      <c r="K1012" t="str">
        <f t="shared" ca="1" si="62"/>
        <v>_XX_</v>
      </c>
      <c r="L1012" t="str">
        <f t="shared" ca="1" si="63"/>
        <v/>
      </c>
      <c r="M1012" t="str">
        <f>IFERROR(INDEX(Inventory!A:A,MATCH(Scan!A1012,Inventory!E:E,0)),"")</f>
        <v/>
      </c>
    </row>
    <row r="1013" spans="2:13" x14ac:dyDescent="0.3">
      <c r="B1013" t="str">
        <f>IF(IFERROR(VLOOKUP(TRIM(A1013),Inventory!E:E,1,0),0)=0,"X","_")</f>
        <v>_</v>
      </c>
      <c r="C1013" t="str">
        <f>IF(IFERROR(VLOOKUP(TRIM(A1013),'Full Inventory'!F:F,1,0),0)=0,"X","_")</f>
        <v>X</v>
      </c>
      <c r="D1013" t="str">
        <f t="shared" si="60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F1013" t="str">
        <f t="shared" si="61"/>
        <v>_</v>
      </c>
      <c r="K1013" t="str">
        <f t="shared" ca="1" si="62"/>
        <v>_XX_</v>
      </c>
      <c r="L1013" t="str">
        <f t="shared" ca="1" si="63"/>
        <v/>
      </c>
      <c r="M1013" t="str">
        <f>IFERROR(INDEX(Inventory!A:A,MATCH(Scan!A1013,Inventory!E:E,0)),"")</f>
        <v/>
      </c>
    </row>
    <row r="1014" spans="2:13" x14ac:dyDescent="0.3">
      <c r="B1014" t="str">
        <f>IF(IFERROR(VLOOKUP(TRIM(A1014),Inventory!E:E,1,0),0)=0,"X","_")</f>
        <v>_</v>
      </c>
      <c r="C1014" t="str">
        <f>IF(IFERROR(VLOOKUP(TRIM(A1014),'Full Inventory'!F:F,1,0),0)=0,"X","_")</f>
        <v>X</v>
      </c>
      <c r="D1014" t="str">
        <f t="shared" si="60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F1014" t="str">
        <f t="shared" si="61"/>
        <v>_</v>
      </c>
      <c r="K1014" t="str">
        <f t="shared" ca="1" si="62"/>
        <v>_XX_</v>
      </c>
      <c r="L1014" t="str">
        <f t="shared" ca="1" si="63"/>
        <v/>
      </c>
      <c r="M1014" t="str">
        <f>IFERROR(INDEX(Inventory!A:A,MATCH(Scan!A1014,Inventory!E:E,0)),"")</f>
        <v/>
      </c>
    </row>
    <row r="1015" spans="2:13" x14ac:dyDescent="0.3">
      <c r="B1015" t="str">
        <f>IF(IFERROR(VLOOKUP(TRIM(A1015),Inventory!E:E,1,0),0)=0,"X","_")</f>
        <v>_</v>
      </c>
      <c r="C1015" t="str">
        <f>IF(IFERROR(VLOOKUP(TRIM(A1015),'Full Inventory'!F:F,1,0),0)=0,"X","_")</f>
        <v>X</v>
      </c>
      <c r="D1015" t="str">
        <f t="shared" si="60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F1015" t="str">
        <f t="shared" si="61"/>
        <v>_</v>
      </c>
      <c r="K1015" t="str">
        <f t="shared" ca="1" si="62"/>
        <v>_XX_</v>
      </c>
      <c r="L1015" t="str">
        <f t="shared" ca="1" si="63"/>
        <v/>
      </c>
      <c r="M1015" t="str">
        <f>IFERROR(INDEX(Inventory!A:A,MATCH(Scan!A1015,Inventory!E:E,0)),"")</f>
        <v/>
      </c>
    </row>
    <row r="1016" spans="2:13" x14ac:dyDescent="0.3">
      <c r="B1016" t="str">
        <f>IF(IFERROR(VLOOKUP(TRIM(A1016),Inventory!E:E,1,0),0)=0,"X","_")</f>
        <v>_</v>
      </c>
      <c r="C1016" t="str">
        <f>IF(IFERROR(VLOOKUP(TRIM(A1016),'Full Inventory'!F:F,1,0),0)=0,"X","_")</f>
        <v>X</v>
      </c>
      <c r="D1016" t="str">
        <f t="shared" si="60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F1016" t="str">
        <f t="shared" si="61"/>
        <v>_</v>
      </c>
      <c r="K1016" t="str">
        <f t="shared" ca="1" si="62"/>
        <v>_XX_</v>
      </c>
      <c r="L1016" t="str">
        <f t="shared" ca="1" si="63"/>
        <v/>
      </c>
      <c r="M1016" t="str">
        <f>IFERROR(INDEX(Inventory!A:A,MATCH(Scan!A1016,Inventory!E:E,0)),"")</f>
        <v/>
      </c>
    </row>
    <row r="1017" spans="2:13" x14ac:dyDescent="0.3">
      <c r="B1017" t="str">
        <f>IF(IFERROR(VLOOKUP(TRIM(A1017),Inventory!E:E,1,0),0)=0,"X","_")</f>
        <v>_</v>
      </c>
      <c r="C1017" t="str">
        <f>IF(IFERROR(VLOOKUP(TRIM(A1017),'Full Inventory'!F:F,1,0),0)=0,"X","_")</f>
        <v>X</v>
      </c>
      <c r="D1017" t="str">
        <f t="shared" si="60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F1017" t="str">
        <f t="shared" si="61"/>
        <v>_</v>
      </c>
      <c r="K1017" t="str">
        <f t="shared" ca="1" si="62"/>
        <v>_XX_</v>
      </c>
      <c r="L1017" t="str">
        <f t="shared" ca="1" si="63"/>
        <v/>
      </c>
      <c r="M1017" t="str">
        <f>IFERROR(INDEX(Inventory!A:A,MATCH(Scan!A1017,Inventory!E:E,0)),"")</f>
        <v/>
      </c>
    </row>
    <row r="1018" spans="2:13" x14ac:dyDescent="0.3">
      <c r="B1018" t="str">
        <f>IF(IFERROR(VLOOKUP(TRIM(A1018),Inventory!E:E,1,0),0)=0,"X","_")</f>
        <v>_</v>
      </c>
      <c r="C1018" t="str">
        <f>IF(IFERROR(VLOOKUP(TRIM(A1018),'Full Inventory'!F:F,1,0),0)=0,"X","_")</f>
        <v>X</v>
      </c>
      <c r="D1018" t="str">
        <f t="shared" si="60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F1018" t="str">
        <f t="shared" si="61"/>
        <v>_</v>
      </c>
      <c r="K1018" t="str">
        <f t="shared" ca="1" si="62"/>
        <v>_XX_</v>
      </c>
      <c r="L1018" t="str">
        <f t="shared" ca="1" si="63"/>
        <v/>
      </c>
      <c r="M1018" t="str">
        <f>IFERROR(INDEX(Inventory!A:A,MATCH(Scan!A1018,Inventory!E:E,0)),"")</f>
        <v/>
      </c>
    </row>
    <row r="1019" spans="2:13" x14ac:dyDescent="0.3">
      <c r="B1019" t="str">
        <f>IF(IFERROR(VLOOKUP(TRIM(A1019),Inventory!E:E,1,0),0)=0,"X","_")</f>
        <v>_</v>
      </c>
      <c r="C1019" t="str">
        <f>IF(IFERROR(VLOOKUP(TRIM(A1019),'Full Inventory'!F:F,1,0),0)=0,"X","_")</f>
        <v>X</v>
      </c>
      <c r="D1019" t="str">
        <f t="shared" si="60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F1019" t="str">
        <f t="shared" si="61"/>
        <v>_</v>
      </c>
      <c r="K1019" t="str">
        <f t="shared" ca="1" si="62"/>
        <v>_XX_</v>
      </c>
      <c r="L1019" t="str">
        <f t="shared" ca="1" si="63"/>
        <v/>
      </c>
      <c r="M1019" t="str">
        <f>IFERROR(INDEX(Inventory!A:A,MATCH(Scan!A1019,Inventory!E:E,0)),"")</f>
        <v/>
      </c>
    </row>
    <row r="1020" spans="2:13" x14ac:dyDescent="0.3">
      <c r="B1020" t="str">
        <f>IF(IFERROR(VLOOKUP(TRIM(A1020),Inventory!E:E,1,0),0)=0,"X","_")</f>
        <v>_</v>
      </c>
      <c r="C1020" t="str">
        <f>IF(IFERROR(VLOOKUP(TRIM(A1020),'Full Inventory'!F:F,1,0),0)=0,"X","_")</f>
        <v>X</v>
      </c>
      <c r="D1020" t="str">
        <f t="shared" si="60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F1020" t="str">
        <f t="shared" si="61"/>
        <v>_</v>
      </c>
      <c r="K1020" t="str">
        <f t="shared" ca="1" si="62"/>
        <v>_XX_</v>
      </c>
      <c r="L1020" t="str">
        <f t="shared" ca="1" si="63"/>
        <v/>
      </c>
      <c r="M1020" t="str">
        <f>IFERROR(INDEX(Inventory!A:A,MATCH(Scan!A1020,Inventory!E:E,0)),"")</f>
        <v/>
      </c>
    </row>
    <row r="1021" spans="2:13" x14ac:dyDescent="0.3">
      <c r="B1021" t="str">
        <f>IF(IFERROR(VLOOKUP(TRIM(A1021),Inventory!E:E,1,0),0)=0,"X","_")</f>
        <v>_</v>
      </c>
      <c r="C1021" t="str">
        <f>IF(IFERROR(VLOOKUP(TRIM(A1021),'Full Inventory'!F:F,1,0),0)=0,"X","_")</f>
        <v>X</v>
      </c>
      <c r="D1021" t="str">
        <f t="shared" si="60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F1021" t="str">
        <f t="shared" si="61"/>
        <v>_</v>
      </c>
      <c r="K1021" t="str">
        <f t="shared" ca="1" si="62"/>
        <v>_XX_</v>
      </c>
      <c r="L1021" t="str">
        <f t="shared" ca="1" si="63"/>
        <v/>
      </c>
      <c r="M1021" t="str">
        <f>IFERROR(INDEX(Inventory!A:A,MATCH(Scan!A1021,Inventory!E:E,0)),"")</f>
        <v/>
      </c>
    </row>
    <row r="1022" spans="2:13" x14ac:dyDescent="0.3">
      <c r="B1022" t="str">
        <f>IF(IFERROR(VLOOKUP(TRIM(A1022),Inventory!E:E,1,0),0)=0,"X","_")</f>
        <v>_</v>
      </c>
      <c r="C1022" t="str">
        <f>IF(IFERROR(VLOOKUP(TRIM(A1022),'Full Inventory'!F:F,1,0),0)=0,"X","_")</f>
        <v>X</v>
      </c>
      <c r="D1022" t="str">
        <f t="shared" si="60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F1022" t="str">
        <f t="shared" si="61"/>
        <v>_</v>
      </c>
      <c r="K1022" t="str">
        <f t="shared" ca="1" si="62"/>
        <v>_XX_</v>
      </c>
      <c r="L1022" t="str">
        <f t="shared" ca="1" si="63"/>
        <v/>
      </c>
      <c r="M1022" t="str">
        <f>IFERROR(INDEX(Inventory!A:A,MATCH(Scan!A1022,Inventory!E:E,0)),"")</f>
        <v/>
      </c>
    </row>
    <row r="1023" spans="2:13" x14ac:dyDescent="0.3">
      <c r="B1023" t="str">
        <f>IF(IFERROR(VLOOKUP(TRIM(A1023),Inventory!E:E,1,0),0)=0,"X","_")</f>
        <v>_</v>
      </c>
      <c r="C1023" t="str">
        <f>IF(IFERROR(VLOOKUP(TRIM(A1023),'Full Inventory'!F:F,1,0),0)=0,"X","_")</f>
        <v>X</v>
      </c>
      <c r="D1023" t="str">
        <f t="shared" si="60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F1023" t="str">
        <f t="shared" si="61"/>
        <v>_</v>
      </c>
      <c r="K1023" t="str">
        <f t="shared" ca="1" si="62"/>
        <v>_XX_</v>
      </c>
      <c r="L1023" t="str">
        <f t="shared" ca="1" si="63"/>
        <v/>
      </c>
      <c r="M1023" t="str">
        <f>IFERROR(INDEX(Inventory!A:A,MATCH(Scan!A1023,Inventory!E:E,0)),"")</f>
        <v/>
      </c>
    </row>
    <row r="1024" spans="2:13" x14ac:dyDescent="0.3">
      <c r="B1024" t="str">
        <f>IF(IFERROR(VLOOKUP(TRIM(A1024),Inventory!E:E,1,0),0)=0,"X","_")</f>
        <v>_</v>
      </c>
      <c r="C1024" t="str">
        <f>IF(IFERROR(VLOOKUP(TRIM(A1024),'Full Inventory'!F:F,1,0),0)=0,"X","_")</f>
        <v>X</v>
      </c>
      <c r="D1024" t="str">
        <f t="shared" si="60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F1024" t="str">
        <f t="shared" si="61"/>
        <v>_</v>
      </c>
      <c r="K1024" t="str">
        <f t="shared" ca="1" si="62"/>
        <v>_XX_</v>
      </c>
      <c r="L1024" t="str">
        <f t="shared" ca="1" si="63"/>
        <v/>
      </c>
      <c r="M1024" t="str">
        <f>IFERROR(INDEX(Inventory!A:A,MATCH(Scan!A1024,Inventory!E:E,0)),"")</f>
        <v/>
      </c>
    </row>
    <row r="1025" spans="2:13" x14ac:dyDescent="0.3">
      <c r="B1025" t="str">
        <f>IF(IFERROR(VLOOKUP(TRIM(A1025),Inventory!E:E,1,0),0)=0,"X","_")</f>
        <v>_</v>
      </c>
      <c r="C1025" t="str">
        <f>IF(IFERROR(VLOOKUP(TRIM(A1025),'Full Inventory'!F:F,1,0),0)=0,"X","_")</f>
        <v>X</v>
      </c>
      <c r="D1025" t="str">
        <f t="shared" si="60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F1025" t="str">
        <f t="shared" si="61"/>
        <v>_</v>
      </c>
      <c r="K1025" t="str">
        <f t="shared" ca="1" si="62"/>
        <v>_XX_</v>
      </c>
      <c r="L1025" t="str">
        <f t="shared" ca="1" si="63"/>
        <v/>
      </c>
      <c r="M1025" t="str">
        <f>IFERROR(INDEX(Inventory!A:A,MATCH(Scan!A1025,Inventory!E:E,0)),"")</f>
        <v/>
      </c>
    </row>
    <row r="1026" spans="2:13" x14ac:dyDescent="0.3">
      <c r="B1026" t="str">
        <f>IF(IFERROR(VLOOKUP(TRIM(A1026),Inventory!E:E,1,0),0)=0,"X","_")</f>
        <v>_</v>
      </c>
      <c r="C1026" t="str">
        <f>IF(IFERROR(VLOOKUP(TRIM(A1026),'Full Inventory'!F:F,1,0),0)=0,"X","_")</f>
        <v>X</v>
      </c>
      <c r="D1026" t="str">
        <f t="shared" ref="D1026:D1089" si="64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F1026" t="str">
        <f t="shared" si="61"/>
        <v>_</v>
      </c>
      <c r="K1026" t="str">
        <f t="shared" ca="1" si="62"/>
        <v>_XX_</v>
      </c>
      <c r="L1026" t="str">
        <f t="shared" ca="1" si="63"/>
        <v/>
      </c>
      <c r="M1026" t="str">
        <f>IFERROR(INDEX(Inventory!A:A,MATCH(Scan!A1026,Inventory!E:E,0)),"")</f>
        <v/>
      </c>
    </row>
    <row r="1027" spans="2:13" x14ac:dyDescent="0.3">
      <c r="B1027" t="str">
        <f>IF(IFERROR(VLOOKUP(TRIM(A1027),Inventory!E:E,1,0),0)=0,"X","_")</f>
        <v>_</v>
      </c>
      <c r="C1027" t="str">
        <f>IF(IFERROR(VLOOKUP(TRIM(A1027),'Full Inventory'!F:F,1,0),0)=0,"X","_")</f>
        <v>X</v>
      </c>
      <c r="D1027" t="str">
        <f t="shared" si="64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F1027" t="str">
        <f t="shared" ref="F1027:F1090" si="65">IF(IFERROR(SEARCH("ö",A1027),0)&gt;0,"X","_")</f>
        <v>_</v>
      </c>
      <c r="K1027" t="str">
        <f t="shared" ref="K1027:K1090" ca="1" si="66">B1027&amp;C1027&amp;D1027&amp;E1027</f>
        <v>_XX_</v>
      </c>
      <c r="L1027" t="str">
        <f t="shared" ref="L1027:L1090" ca="1" si="67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3">
      <c r="B1028" t="str">
        <f>IF(IFERROR(VLOOKUP(TRIM(A1028),Inventory!E:E,1,0),0)=0,"X","_")</f>
        <v>_</v>
      </c>
      <c r="C1028" t="str">
        <f>IF(IFERROR(VLOOKUP(TRIM(A1028),'Full Inventory'!F:F,1,0),0)=0,"X","_")</f>
        <v>X</v>
      </c>
      <c r="D1028" t="str">
        <f t="shared" si="64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F1028" t="str">
        <f t="shared" si="65"/>
        <v>_</v>
      </c>
      <c r="K1028" t="str">
        <f t="shared" ca="1" si="66"/>
        <v>_XX_</v>
      </c>
      <c r="L1028" t="str">
        <f t="shared" ca="1" si="67"/>
        <v/>
      </c>
      <c r="M1028" t="str">
        <f>IFERROR(INDEX(Inventory!A:A,MATCH(Scan!A1028,Inventory!E:E,0)),"")</f>
        <v/>
      </c>
    </row>
    <row r="1029" spans="2:13" x14ac:dyDescent="0.3">
      <c r="B1029" t="str">
        <f>IF(IFERROR(VLOOKUP(TRIM(A1029),Inventory!E:E,1,0),0)=0,"X","_")</f>
        <v>_</v>
      </c>
      <c r="C1029" t="str">
        <f>IF(IFERROR(VLOOKUP(TRIM(A1029),'Full Inventory'!F:F,1,0),0)=0,"X","_")</f>
        <v>X</v>
      </c>
      <c r="D1029" t="str">
        <f t="shared" si="64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F1029" t="str">
        <f t="shared" si="65"/>
        <v>_</v>
      </c>
      <c r="K1029" t="str">
        <f t="shared" ca="1" si="66"/>
        <v>_XX_</v>
      </c>
      <c r="L1029" t="str">
        <f t="shared" ca="1" si="67"/>
        <v/>
      </c>
      <c r="M1029" t="str">
        <f>IFERROR(INDEX(Inventory!A:A,MATCH(Scan!A1029,Inventory!E:E,0)),"")</f>
        <v/>
      </c>
    </row>
    <row r="1030" spans="2:13" x14ac:dyDescent="0.3">
      <c r="B1030" t="str">
        <f>IF(IFERROR(VLOOKUP(TRIM(A1030),Inventory!E:E,1,0),0)=0,"X","_")</f>
        <v>_</v>
      </c>
      <c r="C1030" t="str">
        <f>IF(IFERROR(VLOOKUP(TRIM(A1030),'Full Inventory'!F:F,1,0),0)=0,"X","_")</f>
        <v>X</v>
      </c>
      <c r="D1030" t="str">
        <f t="shared" si="64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F1030" t="str">
        <f t="shared" si="65"/>
        <v>_</v>
      </c>
      <c r="K1030" t="str">
        <f t="shared" ca="1" si="66"/>
        <v>_XX_</v>
      </c>
      <c r="L1030" t="str">
        <f t="shared" ca="1" si="67"/>
        <v/>
      </c>
      <c r="M1030" t="str">
        <f>IFERROR(INDEX(Inventory!A:A,MATCH(Scan!A1030,Inventory!E:E,0)),"")</f>
        <v/>
      </c>
    </row>
    <row r="1031" spans="2:13" x14ac:dyDescent="0.3">
      <c r="B1031" t="str">
        <f>IF(IFERROR(VLOOKUP(TRIM(A1031),Inventory!E:E,1,0),0)=0,"X","_")</f>
        <v>_</v>
      </c>
      <c r="C1031" t="str">
        <f>IF(IFERROR(VLOOKUP(TRIM(A1031),'Full Inventory'!F:F,1,0),0)=0,"X","_")</f>
        <v>X</v>
      </c>
      <c r="D1031" t="str">
        <f t="shared" si="64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F1031" t="str">
        <f t="shared" si="65"/>
        <v>_</v>
      </c>
      <c r="K1031" t="str">
        <f t="shared" ca="1" si="66"/>
        <v>_XX_</v>
      </c>
      <c r="L1031" t="str">
        <f t="shared" ca="1" si="67"/>
        <v/>
      </c>
      <c r="M1031" t="str">
        <f>IFERROR(INDEX(Inventory!A:A,MATCH(Scan!A1031,Inventory!E:E,0)),"")</f>
        <v/>
      </c>
    </row>
    <row r="1032" spans="2:13" x14ac:dyDescent="0.3">
      <c r="B1032" t="str">
        <f>IF(IFERROR(VLOOKUP(TRIM(A1032),Inventory!E:E,1,0),0)=0,"X","_")</f>
        <v>_</v>
      </c>
      <c r="C1032" t="str">
        <f>IF(IFERROR(VLOOKUP(TRIM(A1032),'Full Inventory'!F:F,1,0),0)=0,"X","_")</f>
        <v>X</v>
      </c>
      <c r="D1032" t="str">
        <f t="shared" si="64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F1032" t="str">
        <f t="shared" si="65"/>
        <v>_</v>
      </c>
      <c r="K1032" t="str">
        <f t="shared" ca="1" si="66"/>
        <v>_XX_</v>
      </c>
      <c r="L1032" t="str">
        <f t="shared" ca="1" si="67"/>
        <v/>
      </c>
      <c r="M1032" t="str">
        <f>IFERROR(INDEX(Inventory!A:A,MATCH(Scan!A1032,Inventory!E:E,0)),"")</f>
        <v/>
      </c>
    </row>
    <row r="1033" spans="2:13" x14ac:dyDescent="0.3">
      <c r="B1033" t="str">
        <f>IF(IFERROR(VLOOKUP(TRIM(A1033),Inventory!E:E,1,0),0)=0,"X","_")</f>
        <v>_</v>
      </c>
      <c r="C1033" t="str">
        <f>IF(IFERROR(VLOOKUP(TRIM(A1033),'Full Inventory'!F:F,1,0),0)=0,"X","_")</f>
        <v>X</v>
      </c>
      <c r="D1033" t="str">
        <f t="shared" si="64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F1033" t="str">
        <f t="shared" si="65"/>
        <v>_</v>
      </c>
      <c r="K1033" t="str">
        <f t="shared" ca="1" si="66"/>
        <v>_XX_</v>
      </c>
      <c r="L1033" t="str">
        <f t="shared" ca="1" si="67"/>
        <v/>
      </c>
      <c r="M1033" t="str">
        <f>IFERROR(INDEX(Inventory!A:A,MATCH(Scan!A1033,Inventory!E:E,0)),"")</f>
        <v/>
      </c>
    </row>
    <row r="1034" spans="2:13" x14ac:dyDescent="0.3">
      <c r="B1034" t="str">
        <f>IF(IFERROR(VLOOKUP(TRIM(A1034),Inventory!E:E,1,0),0)=0,"X","_")</f>
        <v>_</v>
      </c>
      <c r="C1034" t="str">
        <f>IF(IFERROR(VLOOKUP(TRIM(A1034),'Full Inventory'!F:F,1,0),0)=0,"X","_")</f>
        <v>X</v>
      </c>
      <c r="D1034" t="str">
        <f t="shared" si="64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F1034" t="str">
        <f t="shared" si="65"/>
        <v>_</v>
      </c>
      <c r="K1034" t="str">
        <f t="shared" ca="1" si="66"/>
        <v>_XX_</v>
      </c>
      <c r="L1034" t="str">
        <f t="shared" ca="1" si="67"/>
        <v/>
      </c>
      <c r="M1034" t="str">
        <f>IFERROR(INDEX(Inventory!A:A,MATCH(Scan!A1034,Inventory!E:E,0)),"")</f>
        <v/>
      </c>
    </row>
    <row r="1035" spans="2:13" x14ac:dyDescent="0.3">
      <c r="B1035" t="str">
        <f>IF(IFERROR(VLOOKUP(TRIM(A1035),Inventory!E:E,1,0),0)=0,"X","_")</f>
        <v>_</v>
      </c>
      <c r="C1035" t="str">
        <f>IF(IFERROR(VLOOKUP(TRIM(A1035),'Full Inventory'!F:F,1,0),0)=0,"X","_")</f>
        <v>X</v>
      </c>
      <c r="D1035" t="str">
        <f t="shared" si="64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F1035" t="str">
        <f t="shared" si="65"/>
        <v>_</v>
      </c>
      <c r="K1035" t="str">
        <f t="shared" ca="1" si="66"/>
        <v>_XX_</v>
      </c>
      <c r="L1035" t="str">
        <f t="shared" ca="1" si="67"/>
        <v/>
      </c>
      <c r="M1035" t="str">
        <f>IFERROR(INDEX(Inventory!A:A,MATCH(Scan!A1035,Inventory!E:E,0)),"")</f>
        <v/>
      </c>
    </row>
    <row r="1036" spans="2:13" x14ac:dyDescent="0.3">
      <c r="B1036" t="str">
        <f>IF(IFERROR(VLOOKUP(TRIM(A1036),Inventory!E:E,1,0),0)=0,"X","_")</f>
        <v>_</v>
      </c>
      <c r="C1036" t="str">
        <f>IF(IFERROR(VLOOKUP(TRIM(A1036),'Full Inventory'!F:F,1,0),0)=0,"X","_")</f>
        <v>X</v>
      </c>
      <c r="D1036" t="str">
        <f t="shared" si="64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F1036" t="str">
        <f t="shared" si="65"/>
        <v>_</v>
      </c>
      <c r="K1036" t="str">
        <f t="shared" ca="1" si="66"/>
        <v>_XX_</v>
      </c>
      <c r="L1036" t="str">
        <f t="shared" ca="1" si="67"/>
        <v/>
      </c>
      <c r="M1036" t="str">
        <f>IFERROR(INDEX(Inventory!A:A,MATCH(Scan!A1036,Inventory!E:E,0)),"")</f>
        <v/>
      </c>
    </row>
    <row r="1037" spans="2:13" x14ac:dyDescent="0.3">
      <c r="B1037" t="str">
        <f>IF(IFERROR(VLOOKUP(TRIM(A1037),Inventory!E:E,1,0),0)=0,"X","_")</f>
        <v>_</v>
      </c>
      <c r="C1037" t="str">
        <f>IF(IFERROR(VLOOKUP(TRIM(A1037),'Full Inventory'!F:F,1,0),0)=0,"X","_")</f>
        <v>X</v>
      </c>
      <c r="D1037" t="str">
        <f t="shared" si="64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F1037" t="str">
        <f t="shared" si="65"/>
        <v>_</v>
      </c>
      <c r="K1037" t="str">
        <f t="shared" ca="1" si="66"/>
        <v>_XX_</v>
      </c>
      <c r="L1037" t="str">
        <f t="shared" ca="1" si="67"/>
        <v/>
      </c>
      <c r="M1037" t="str">
        <f>IFERROR(INDEX(Inventory!A:A,MATCH(Scan!A1037,Inventory!E:E,0)),"")</f>
        <v/>
      </c>
    </row>
    <row r="1038" spans="2:13" x14ac:dyDescent="0.3">
      <c r="B1038" t="str">
        <f>IF(IFERROR(VLOOKUP(TRIM(A1038),Inventory!E:E,1,0),0)=0,"X","_")</f>
        <v>_</v>
      </c>
      <c r="C1038" t="str">
        <f>IF(IFERROR(VLOOKUP(TRIM(A1038),'Full Inventory'!F:F,1,0),0)=0,"X","_")</f>
        <v>X</v>
      </c>
      <c r="D1038" t="str">
        <f t="shared" si="64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F1038" t="str">
        <f t="shared" si="65"/>
        <v>_</v>
      </c>
      <c r="K1038" t="str">
        <f t="shared" ca="1" si="66"/>
        <v>_XX_</v>
      </c>
      <c r="L1038" t="str">
        <f t="shared" ca="1" si="67"/>
        <v/>
      </c>
      <c r="M1038" t="str">
        <f>IFERROR(INDEX(Inventory!A:A,MATCH(Scan!A1038,Inventory!E:E,0)),"")</f>
        <v/>
      </c>
    </row>
    <row r="1039" spans="2:13" x14ac:dyDescent="0.3">
      <c r="B1039" t="str">
        <f>IF(IFERROR(VLOOKUP(TRIM(A1039),Inventory!E:E,1,0),0)=0,"X","_")</f>
        <v>_</v>
      </c>
      <c r="C1039" t="str">
        <f>IF(IFERROR(VLOOKUP(TRIM(A1039),'Full Inventory'!F:F,1,0),0)=0,"X","_")</f>
        <v>X</v>
      </c>
      <c r="D1039" t="str">
        <f t="shared" si="64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F1039" t="str">
        <f t="shared" si="65"/>
        <v>_</v>
      </c>
      <c r="K1039" t="str">
        <f t="shared" ca="1" si="66"/>
        <v>_XX_</v>
      </c>
      <c r="L1039" t="str">
        <f t="shared" ca="1" si="67"/>
        <v/>
      </c>
      <c r="M1039" t="str">
        <f>IFERROR(INDEX(Inventory!A:A,MATCH(Scan!A1039,Inventory!E:E,0)),"")</f>
        <v/>
      </c>
    </row>
    <row r="1040" spans="2:13" x14ac:dyDescent="0.3">
      <c r="B1040" t="str">
        <f>IF(IFERROR(VLOOKUP(TRIM(A1040),Inventory!E:E,1,0),0)=0,"X","_")</f>
        <v>_</v>
      </c>
      <c r="C1040" t="str">
        <f>IF(IFERROR(VLOOKUP(TRIM(A1040),'Full Inventory'!F:F,1,0),0)=0,"X","_")</f>
        <v>X</v>
      </c>
      <c r="D1040" t="str">
        <f t="shared" si="64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F1040" t="str">
        <f t="shared" si="65"/>
        <v>_</v>
      </c>
      <c r="K1040" t="str">
        <f t="shared" ca="1" si="66"/>
        <v>_XX_</v>
      </c>
      <c r="L1040" t="str">
        <f t="shared" ca="1" si="67"/>
        <v/>
      </c>
      <c r="M1040" t="str">
        <f>IFERROR(INDEX(Inventory!A:A,MATCH(Scan!A1040,Inventory!E:E,0)),"")</f>
        <v/>
      </c>
    </row>
    <row r="1041" spans="2:13" x14ac:dyDescent="0.3">
      <c r="B1041" t="str">
        <f>IF(IFERROR(VLOOKUP(TRIM(A1041),Inventory!E:E,1,0),0)=0,"X","_")</f>
        <v>_</v>
      </c>
      <c r="C1041" t="str">
        <f>IF(IFERROR(VLOOKUP(TRIM(A1041),'Full Inventory'!F:F,1,0),0)=0,"X","_")</f>
        <v>X</v>
      </c>
      <c r="D1041" t="str">
        <f t="shared" si="64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F1041" t="str">
        <f t="shared" si="65"/>
        <v>_</v>
      </c>
      <c r="K1041" t="str">
        <f t="shared" ca="1" si="66"/>
        <v>_XX_</v>
      </c>
      <c r="L1041" t="str">
        <f t="shared" ca="1" si="67"/>
        <v/>
      </c>
      <c r="M1041" t="str">
        <f>IFERROR(INDEX(Inventory!A:A,MATCH(Scan!A1041,Inventory!E:E,0)),"")</f>
        <v/>
      </c>
    </row>
    <row r="1042" spans="2:13" x14ac:dyDescent="0.3">
      <c r="B1042" t="str">
        <f>IF(IFERROR(VLOOKUP(TRIM(A1042),Inventory!E:E,1,0),0)=0,"X","_")</f>
        <v>_</v>
      </c>
      <c r="C1042" t="str">
        <f>IF(IFERROR(VLOOKUP(TRIM(A1042),'Full Inventory'!F:F,1,0),0)=0,"X","_")</f>
        <v>X</v>
      </c>
      <c r="D1042" t="str">
        <f t="shared" si="64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F1042" t="str">
        <f t="shared" si="65"/>
        <v>_</v>
      </c>
      <c r="K1042" t="str">
        <f t="shared" ca="1" si="66"/>
        <v>_XX_</v>
      </c>
      <c r="L1042" t="str">
        <f t="shared" ca="1" si="67"/>
        <v/>
      </c>
      <c r="M1042" t="str">
        <f>IFERROR(INDEX(Inventory!A:A,MATCH(Scan!A1042,Inventory!E:E,0)),"")</f>
        <v/>
      </c>
    </row>
    <row r="1043" spans="2:13" x14ac:dyDescent="0.3">
      <c r="B1043" t="str">
        <f>IF(IFERROR(VLOOKUP(TRIM(A1043),Inventory!E:E,1,0),0)=0,"X","_")</f>
        <v>_</v>
      </c>
      <c r="C1043" t="str">
        <f>IF(IFERROR(VLOOKUP(TRIM(A1043),'Full Inventory'!F:F,1,0),0)=0,"X","_")</f>
        <v>X</v>
      </c>
      <c r="D1043" t="str">
        <f t="shared" si="64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F1043" t="str">
        <f t="shared" si="65"/>
        <v>_</v>
      </c>
      <c r="K1043" t="str">
        <f t="shared" ca="1" si="66"/>
        <v>_XX_</v>
      </c>
      <c r="L1043" t="str">
        <f t="shared" ca="1" si="67"/>
        <v/>
      </c>
      <c r="M1043" t="str">
        <f>IFERROR(INDEX(Inventory!A:A,MATCH(Scan!A1043,Inventory!E:E,0)),"")</f>
        <v/>
      </c>
    </row>
    <row r="1044" spans="2:13" x14ac:dyDescent="0.3">
      <c r="B1044" t="str">
        <f>IF(IFERROR(VLOOKUP(TRIM(A1044),Inventory!E:E,1,0),0)=0,"X","_")</f>
        <v>_</v>
      </c>
      <c r="C1044" t="str">
        <f>IF(IFERROR(VLOOKUP(TRIM(A1044),'Full Inventory'!F:F,1,0),0)=0,"X","_")</f>
        <v>X</v>
      </c>
      <c r="D1044" t="str">
        <f t="shared" si="64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F1044" t="str">
        <f t="shared" si="65"/>
        <v>_</v>
      </c>
      <c r="K1044" t="str">
        <f t="shared" ca="1" si="66"/>
        <v>_XX_</v>
      </c>
      <c r="L1044" t="str">
        <f t="shared" ca="1" si="67"/>
        <v/>
      </c>
      <c r="M1044" t="str">
        <f>IFERROR(INDEX(Inventory!A:A,MATCH(Scan!A1044,Inventory!E:E,0)),"")</f>
        <v/>
      </c>
    </row>
    <row r="1045" spans="2:13" x14ac:dyDescent="0.3">
      <c r="B1045" t="str">
        <f>IF(IFERROR(VLOOKUP(TRIM(A1045),Inventory!E:E,1,0),0)=0,"X","_")</f>
        <v>_</v>
      </c>
      <c r="C1045" t="str">
        <f>IF(IFERROR(VLOOKUP(TRIM(A1045),'Full Inventory'!F:F,1,0),0)=0,"X","_")</f>
        <v>X</v>
      </c>
      <c r="D1045" t="str">
        <f t="shared" si="64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F1045" t="str">
        <f t="shared" si="65"/>
        <v>_</v>
      </c>
      <c r="K1045" t="str">
        <f t="shared" ca="1" si="66"/>
        <v>_XX_</v>
      </c>
      <c r="L1045" t="str">
        <f t="shared" ca="1" si="67"/>
        <v/>
      </c>
      <c r="M1045" t="str">
        <f>IFERROR(INDEX(Inventory!A:A,MATCH(Scan!A1045,Inventory!E:E,0)),"")</f>
        <v/>
      </c>
    </row>
    <row r="1046" spans="2:13" x14ac:dyDescent="0.3">
      <c r="B1046" t="str">
        <f>IF(IFERROR(VLOOKUP(TRIM(A1046),Inventory!E:E,1,0),0)=0,"X","_")</f>
        <v>_</v>
      </c>
      <c r="C1046" t="str">
        <f>IF(IFERROR(VLOOKUP(TRIM(A1046),'Full Inventory'!F:F,1,0),0)=0,"X","_")</f>
        <v>X</v>
      </c>
      <c r="D1046" t="str">
        <f t="shared" si="64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F1046" t="str">
        <f t="shared" si="65"/>
        <v>_</v>
      </c>
      <c r="K1046" t="str">
        <f t="shared" ca="1" si="66"/>
        <v>_XX_</v>
      </c>
      <c r="L1046" t="str">
        <f t="shared" ca="1" si="67"/>
        <v/>
      </c>
      <c r="M1046" t="str">
        <f>IFERROR(INDEX(Inventory!A:A,MATCH(Scan!A1046,Inventory!E:E,0)),"")</f>
        <v/>
      </c>
    </row>
    <row r="1047" spans="2:13" x14ac:dyDescent="0.3">
      <c r="B1047" t="str">
        <f>IF(IFERROR(VLOOKUP(TRIM(A1047),Inventory!E:E,1,0),0)=0,"X","_")</f>
        <v>_</v>
      </c>
      <c r="C1047" t="str">
        <f>IF(IFERROR(VLOOKUP(TRIM(A1047),'Full Inventory'!F:F,1,0),0)=0,"X","_")</f>
        <v>X</v>
      </c>
      <c r="D1047" t="str">
        <f t="shared" si="64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F1047" t="str">
        <f t="shared" si="65"/>
        <v>_</v>
      </c>
      <c r="K1047" t="str">
        <f t="shared" ca="1" si="66"/>
        <v>_XX_</v>
      </c>
      <c r="L1047" t="str">
        <f t="shared" ca="1" si="67"/>
        <v/>
      </c>
      <c r="M1047" t="str">
        <f>IFERROR(INDEX(Inventory!A:A,MATCH(Scan!A1047,Inventory!E:E,0)),"")</f>
        <v/>
      </c>
    </row>
    <row r="1048" spans="2:13" x14ac:dyDescent="0.3">
      <c r="B1048" t="str">
        <f>IF(IFERROR(VLOOKUP(TRIM(A1048),Inventory!E:E,1,0),0)=0,"X","_")</f>
        <v>_</v>
      </c>
      <c r="C1048" t="str">
        <f>IF(IFERROR(VLOOKUP(TRIM(A1048),'Full Inventory'!F:F,1,0),0)=0,"X","_")</f>
        <v>X</v>
      </c>
      <c r="D1048" t="str">
        <f t="shared" si="64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F1048" t="str">
        <f t="shared" si="65"/>
        <v>_</v>
      </c>
      <c r="K1048" t="str">
        <f t="shared" ca="1" si="66"/>
        <v>_XX_</v>
      </c>
      <c r="L1048" t="str">
        <f t="shared" ca="1" si="67"/>
        <v/>
      </c>
      <c r="M1048" t="str">
        <f>IFERROR(INDEX(Inventory!A:A,MATCH(Scan!A1048,Inventory!E:E,0)),"")</f>
        <v/>
      </c>
    </row>
    <row r="1049" spans="2:13" x14ac:dyDescent="0.3">
      <c r="B1049" t="str">
        <f>IF(IFERROR(VLOOKUP(TRIM(A1049),Inventory!E:E,1,0),0)=0,"X","_")</f>
        <v>_</v>
      </c>
      <c r="C1049" t="str">
        <f>IF(IFERROR(VLOOKUP(TRIM(A1049),'Full Inventory'!F:F,1,0),0)=0,"X","_")</f>
        <v>X</v>
      </c>
      <c r="D1049" t="str">
        <f t="shared" si="64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F1049" t="str">
        <f t="shared" si="65"/>
        <v>_</v>
      </c>
      <c r="K1049" t="str">
        <f t="shared" ca="1" si="66"/>
        <v>_XX_</v>
      </c>
      <c r="L1049" t="str">
        <f t="shared" ca="1" si="67"/>
        <v/>
      </c>
      <c r="M1049" t="str">
        <f>IFERROR(INDEX(Inventory!A:A,MATCH(Scan!A1049,Inventory!E:E,0)),"")</f>
        <v/>
      </c>
    </row>
    <row r="1050" spans="2:13" x14ac:dyDescent="0.3">
      <c r="B1050" t="str">
        <f>IF(IFERROR(VLOOKUP(TRIM(A1050),Inventory!E:E,1,0),0)=0,"X","_")</f>
        <v>_</v>
      </c>
      <c r="C1050" t="str">
        <f>IF(IFERROR(VLOOKUP(TRIM(A1050),'Full Inventory'!F:F,1,0),0)=0,"X","_")</f>
        <v>X</v>
      </c>
      <c r="D1050" t="str">
        <f t="shared" si="64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F1050" t="str">
        <f t="shared" si="65"/>
        <v>_</v>
      </c>
      <c r="K1050" t="str">
        <f t="shared" ca="1" si="66"/>
        <v>_XX_</v>
      </c>
      <c r="L1050" t="str">
        <f t="shared" ca="1" si="67"/>
        <v/>
      </c>
      <c r="M1050" t="str">
        <f>IFERROR(INDEX(Inventory!A:A,MATCH(Scan!A1050,Inventory!E:E,0)),"")</f>
        <v/>
      </c>
    </row>
    <row r="1051" spans="2:13" x14ac:dyDescent="0.3">
      <c r="B1051" t="str">
        <f>IF(IFERROR(VLOOKUP(TRIM(A1051),Inventory!E:E,1,0),0)=0,"X","_")</f>
        <v>_</v>
      </c>
      <c r="C1051" t="str">
        <f>IF(IFERROR(VLOOKUP(TRIM(A1051),'Full Inventory'!F:F,1,0),0)=0,"X","_")</f>
        <v>X</v>
      </c>
      <c r="D1051" t="str">
        <f t="shared" si="64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F1051" t="str">
        <f t="shared" si="65"/>
        <v>_</v>
      </c>
      <c r="K1051" t="str">
        <f t="shared" ca="1" si="66"/>
        <v>_XX_</v>
      </c>
      <c r="L1051" t="str">
        <f t="shared" ca="1" si="67"/>
        <v/>
      </c>
      <c r="M1051" t="str">
        <f>IFERROR(INDEX(Inventory!A:A,MATCH(Scan!A1051,Inventory!E:E,0)),"")</f>
        <v/>
      </c>
    </row>
    <row r="1052" spans="2:13" x14ac:dyDescent="0.3">
      <c r="B1052" t="str">
        <f>IF(IFERROR(VLOOKUP(TRIM(A1052),Inventory!E:E,1,0),0)=0,"X","_")</f>
        <v>_</v>
      </c>
      <c r="C1052" t="str">
        <f>IF(IFERROR(VLOOKUP(TRIM(A1052),'Full Inventory'!F:F,1,0),0)=0,"X","_")</f>
        <v>X</v>
      </c>
      <c r="D1052" t="str">
        <f t="shared" si="64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F1052" t="str">
        <f t="shared" si="65"/>
        <v>_</v>
      </c>
      <c r="K1052" t="str">
        <f t="shared" ca="1" si="66"/>
        <v>_XX_</v>
      </c>
      <c r="L1052" t="str">
        <f t="shared" ca="1" si="67"/>
        <v/>
      </c>
      <c r="M1052" t="str">
        <f>IFERROR(INDEX(Inventory!A:A,MATCH(Scan!A1052,Inventory!E:E,0)),"")</f>
        <v/>
      </c>
    </row>
    <row r="1053" spans="2:13" x14ac:dyDescent="0.3">
      <c r="B1053" t="str">
        <f>IF(IFERROR(VLOOKUP(TRIM(A1053),Inventory!E:E,1,0),0)=0,"X","_")</f>
        <v>_</v>
      </c>
      <c r="C1053" t="str">
        <f>IF(IFERROR(VLOOKUP(TRIM(A1053),'Full Inventory'!F:F,1,0),0)=0,"X","_")</f>
        <v>X</v>
      </c>
      <c r="D1053" t="str">
        <f t="shared" si="64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F1053" t="str">
        <f t="shared" si="65"/>
        <v>_</v>
      </c>
      <c r="K1053" t="str">
        <f t="shared" ca="1" si="66"/>
        <v>_XX_</v>
      </c>
      <c r="L1053" t="str">
        <f t="shared" ca="1" si="67"/>
        <v/>
      </c>
      <c r="M1053" t="str">
        <f>IFERROR(INDEX(Inventory!A:A,MATCH(Scan!A1053,Inventory!E:E,0)),"")</f>
        <v/>
      </c>
    </row>
    <row r="1054" spans="2:13" x14ac:dyDescent="0.3">
      <c r="B1054" t="str">
        <f>IF(IFERROR(VLOOKUP(TRIM(A1054),Inventory!E:E,1,0),0)=0,"X","_")</f>
        <v>_</v>
      </c>
      <c r="C1054" t="str">
        <f>IF(IFERROR(VLOOKUP(TRIM(A1054),'Full Inventory'!F:F,1,0),0)=0,"X","_")</f>
        <v>X</v>
      </c>
      <c r="D1054" t="str">
        <f t="shared" si="64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F1054" t="str">
        <f t="shared" si="65"/>
        <v>_</v>
      </c>
      <c r="K1054" t="str">
        <f t="shared" ca="1" si="66"/>
        <v>_XX_</v>
      </c>
      <c r="L1054" t="str">
        <f t="shared" ca="1" si="67"/>
        <v/>
      </c>
      <c r="M1054" t="str">
        <f>IFERROR(INDEX(Inventory!A:A,MATCH(Scan!A1054,Inventory!E:E,0)),"")</f>
        <v/>
      </c>
    </row>
    <row r="1055" spans="2:13" x14ac:dyDescent="0.3">
      <c r="B1055" t="str">
        <f>IF(IFERROR(VLOOKUP(TRIM(A1055),Inventory!E:E,1,0),0)=0,"X","_")</f>
        <v>_</v>
      </c>
      <c r="C1055" t="str">
        <f>IF(IFERROR(VLOOKUP(TRIM(A1055),'Full Inventory'!F:F,1,0),0)=0,"X","_")</f>
        <v>X</v>
      </c>
      <c r="D1055" t="str">
        <f t="shared" si="64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F1055" t="str">
        <f t="shared" si="65"/>
        <v>_</v>
      </c>
      <c r="K1055" t="str">
        <f t="shared" ca="1" si="66"/>
        <v>_XX_</v>
      </c>
      <c r="L1055" t="str">
        <f t="shared" ca="1" si="67"/>
        <v/>
      </c>
      <c r="M1055" t="str">
        <f>IFERROR(INDEX(Inventory!A:A,MATCH(Scan!A1055,Inventory!E:E,0)),"")</f>
        <v/>
      </c>
    </row>
    <row r="1056" spans="2:13" x14ac:dyDescent="0.3">
      <c r="B1056" t="str">
        <f>IF(IFERROR(VLOOKUP(TRIM(A1056),Inventory!E:E,1,0),0)=0,"X","_")</f>
        <v>_</v>
      </c>
      <c r="C1056" t="str">
        <f>IF(IFERROR(VLOOKUP(TRIM(A1056),'Full Inventory'!F:F,1,0),0)=0,"X","_")</f>
        <v>X</v>
      </c>
      <c r="D1056" t="str">
        <f t="shared" si="64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F1056" t="str">
        <f t="shared" si="65"/>
        <v>_</v>
      </c>
      <c r="K1056" t="str">
        <f t="shared" ca="1" si="66"/>
        <v>_XX_</v>
      </c>
      <c r="L1056" t="str">
        <f t="shared" ca="1" si="67"/>
        <v/>
      </c>
      <c r="M1056" t="str">
        <f>IFERROR(INDEX(Inventory!A:A,MATCH(Scan!A1056,Inventory!E:E,0)),"")</f>
        <v/>
      </c>
    </row>
    <row r="1057" spans="2:13" x14ac:dyDescent="0.3">
      <c r="B1057" t="str">
        <f>IF(IFERROR(VLOOKUP(TRIM(A1057),Inventory!E:E,1,0),0)=0,"X","_")</f>
        <v>_</v>
      </c>
      <c r="C1057" t="str">
        <f>IF(IFERROR(VLOOKUP(TRIM(A1057),'Full Inventory'!F:F,1,0),0)=0,"X","_")</f>
        <v>X</v>
      </c>
      <c r="D1057" t="str">
        <f t="shared" si="64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F1057" t="str">
        <f t="shared" si="65"/>
        <v>_</v>
      </c>
      <c r="K1057" t="str">
        <f t="shared" ca="1" si="66"/>
        <v>_XX_</v>
      </c>
      <c r="L1057" t="str">
        <f t="shared" ca="1" si="67"/>
        <v/>
      </c>
      <c r="M1057" t="str">
        <f>IFERROR(INDEX(Inventory!A:A,MATCH(Scan!A1057,Inventory!E:E,0)),"")</f>
        <v/>
      </c>
    </row>
    <row r="1058" spans="2:13" x14ac:dyDescent="0.3">
      <c r="B1058" t="str">
        <f>IF(IFERROR(VLOOKUP(TRIM(A1058),Inventory!E:E,1,0),0)=0,"X","_")</f>
        <v>_</v>
      </c>
      <c r="C1058" t="str">
        <f>IF(IFERROR(VLOOKUP(TRIM(A1058),'Full Inventory'!F:F,1,0),0)=0,"X","_")</f>
        <v>X</v>
      </c>
      <c r="D1058" t="str">
        <f t="shared" si="64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F1058" t="str">
        <f t="shared" si="65"/>
        <v>_</v>
      </c>
      <c r="K1058" t="str">
        <f t="shared" ca="1" si="66"/>
        <v>_XX_</v>
      </c>
      <c r="L1058" t="str">
        <f t="shared" ca="1" si="67"/>
        <v/>
      </c>
      <c r="M1058" t="str">
        <f>IFERROR(INDEX(Inventory!A:A,MATCH(Scan!A1058,Inventory!E:E,0)),"")</f>
        <v/>
      </c>
    </row>
    <row r="1059" spans="2:13" x14ac:dyDescent="0.3">
      <c r="B1059" t="str">
        <f>IF(IFERROR(VLOOKUP(TRIM(A1059),Inventory!E:E,1,0),0)=0,"X","_")</f>
        <v>_</v>
      </c>
      <c r="C1059" t="str">
        <f>IF(IFERROR(VLOOKUP(TRIM(A1059),'Full Inventory'!F:F,1,0),0)=0,"X","_")</f>
        <v>X</v>
      </c>
      <c r="D1059" t="str">
        <f t="shared" si="64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F1059" t="str">
        <f t="shared" si="65"/>
        <v>_</v>
      </c>
      <c r="K1059" t="str">
        <f t="shared" ca="1" si="66"/>
        <v>_XX_</v>
      </c>
      <c r="L1059" t="str">
        <f t="shared" ca="1" si="67"/>
        <v/>
      </c>
      <c r="M1059" t="str">
        <f>IFERROR(INDEX(Inventory!A:A,MATCH(Scan!A1059,Inventory!E:E,0)),"")</f>
        <v/>
      </c>
    </row>
    <row r="1060" spans="2:13" x14ac:dyDescent="0.3">
      <c r="B1060" t="str">
        <f>IF(IFERROR(VLOOKUP(TRIM(A1060),Inventory!E:E,1,0),0)=0,"X","_")</f>
        <v>_</v>
      </c>
      <c r="C1060" t="str">
        <f>IF(IFERROR(VLOOKUP(TRIM(A1060),'Full Inventory'!F:F,1,0),0)=0,"X","_")</f>
        <v>X</v>
      </c>
      <c r="D1060" t="str">
        <f t="shared" si="64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F1060" t="str">
        <f t="shared" si="65"/>
        <v>_</v>
      </c>
      <c r="K1060" t="str">
        <f t="shared" ca="1" si="66"/>
        <v>_XX_</v>
      </c>
      <c r="L1060" t="str">
        <f t="shared" ca="1" si="67"/>
        <v/>
      </c>
      <c r="M1060" t="str">
        <f>IFERROR(INDEX(Inventory!A:A,MATCH(Scan!A1060,Inventory!E:E,0)),"")</f>
        <v/>
      </c>
    </row>
    <row r="1061" spans="2:13" x14ac:dyDescent="0.3">
      <c r="B1061" t="str">
        <f>IF(IFERROR(VLOOKUP(TRIM(A1061),Inventory!E:E,1,0),0)=0,"X","_")</f>
        <v>_</v>
      </c>
      <c r="C1061" t="str">
        <f>IF(IFERROR(VLOOKUP(TRIM(A1061),'Full Inventory'!F:F,1,0),0)=0,"X","_")</f>
        <v>X</v>
      </c>
      <c r="D1061" t="str">
        <f t="shared" si="64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F1061" t="str">
        <f t="shared" si="65"/>
        <v>_</v>
      </c>
      <c r="K1061" t="str">
        <f t="shared" ca="1" si="66"/>
        <v>_XX_</v>
      </c>
      <c r="L1061" t="str">
        <f t="shared" ca="1" si="67"/>
        <v/>
      </c>
      <c r="M1061" t="str">
        <f>IFERROR(INDEX(Inventory!A:A,MATCH(Scan!A1061,Inventory!E:E,0)),"")</f>
        <v/>
      </c>
    </row>
    <row r="1062" spans="2:13" x14ac:dyDescent="0.3">
      <c r="B1062" t="str">
        <f>IF(IFERROR(VLOOKUP(TRIM(A1062),Inventory!E:E,1,0),0)=0,"X","_")</f>
        <v>_</v>
      </c>
      <c r="C1062" t="str">
        <f>IF(IFERROR(VLOOKUP(TRIM(A1062),'Full Inventory'!F:F,1,0),0)=0,"X","_")</f>
        <v>X</v>
      </c>
      <c r="D1062" t="str">
        <f t="shared" si="64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F1062" t="str">
        <f t="shared" si="65"/>
        <v>_</v>
      </c>
      <c r="K1062" t="str">
        <f t="shared" ca="1" si="66"/>
        <v>_XX_</v>
      </c>
      <c r="L1062" t="str">
        <f t="shared" ca="1" si="67"/>
        <v/>
      </c>
      <c r="M1062" t="str">
        <f>IFERROR(INDEX(Inventory!A:A,MATCH(Scan!A1062,Inventory!E:E,0)),"")</f>
        <v/>
      </c>
    </row>
    <row r="1063" spans="2:13" x14ac:dyDescent="0.3">
      <c r="B1063" t="str">
        <f>IF(IFERROR(VLOOKUP(TRIM(A1063),Inventory!E:E,1,0),0)=0,"X","_")</f>
        <v>_</v>
      </c>
      <c r="C1063" t="str">
        <f>IF(IFERROR(VLOOKUP(TRIM(A1063),'Full Inventory'!F:F,1,0),0)=0,"X","_")</f>
        <v>X</v>
      </c>
      <c r="D1063" t="str">
        <f t="shared" si="64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F1063" t="str">
        <f t="shared" si="65"/>
        <v>_</v>
      </c>
      <c r="K1063" t="str">
        <f t="shared" ca="1" si="66"/>
        <v>_XX_</v>
      </c>
      <c r="L1063" t="str">
        <f t="shared" ca="1" si="67"/>
        <v/>
      </c>
      <c r="M1063" t="str">
        <f>IFERROR(INDEX(Inventory!A:A,MATCH(Scan!A1063,Inventory!E:E,0)),"")</f>
        <v/>
      </c>
    </row>
    <row r="1064" spans="2:13" x14ac:dyDescent="0.3">
      <c r="B1064" t="str">
        <f>IF(IFERROR(VLOOKUP(TRIM(A1064),Inventory!E:E,1,0),0)=0,"X","_")</f>
        <v>_</v>
      </c>
      <c r="C1064" t="str">
        <f>IF(IFERROR(VLOOKUP(TRIM(A1064),'Full Inventory'!F:F,1,0),0)=0,"X","_")</f>
        <v>X</v>
      </c>
      <c r="D1064" t="str">
        <f t="shared" si="64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F1064" t="str">
        <f t="shared" si="65"/>
        <v>_</v>
      </c>
      <c r="K1064" t="str">
        <f t="shared" ca="1" si="66"/>
        <v>_XX_</v>
      </c>
      <c r="L1064" t="str">
        <f t="shared" ca="1" si="67"/>
        <v/>
      </c>
      <c r="M1064" t="str">
        <f>IFERROR(INDEX(Inventory!A:A,MATCH(Scan!A1064,Inventory!E:E,0)),"")</f>
        <v/>
      </c>
    </row>
    <row r="1065" spans="2:13" x14ac:dyDescent="0.3">
      <c r="B1065" t="str">
        <f>IF(IFERROR(VLOOKUP(TRIM(A1065),Inventory!E:E,1,0),0)=0,"X","_")</f>
        <v>_</v>
      </c>
      <c r="C1065" t="str">
        <f>IF(IFERROR(VLOOKUP(TRIM(A1065),'Full Inventory'!F:F,1,0),0)=0,"X","_")</f>
        <v>X</v>
      </c>
      <c r="D1065" t="str">
        <f t="shared" si="64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F1065" t="str">
        <f t="shared" si="65"/>
        <v>_</v>
      </c>
      <c r="K1065" t="str">
        <f t="shared" ca="1" si="66"/>
        <v>_XX_</v>
      </c>
      <c r="L1065" t="str">
        <f t="shared" ca="1" si="67"/>
        <v/>
      </c>
      <c r="M1065" t="str">
        <f>IFERROR(INDEX(Inventory!A:A,MATCH(Scan!A1065,Inventory!E:E,0)),"")</f>
        <v/>
      </c>
    </row>
    <row r="1066" spans="2:13" x14ac:dyDescent="0.3">
      <c r="B1066" t="str">
        <f>IF(IFERROR(VLOOKUP(TRIM(A1066),Inventory!E:E,1,0),0)=0,"X","_")</f>
        <v>_</v>
      </c>
      <c r="C1066" t="str">
        <f>IF(IFERROR(VLOOKUP(TRIM(A1066),'Full Inventory'!F:F,1,0),0)=0,"X","_")</f>
        <v>X</v>
      </c>
      <c r="D1066" t="str">
        <f t="shared" si="64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F1066" t="str">
        <f t="shared" si="65"/>
        <v>_</v>
      </c>
      <c r="K1066" t="str">
        <f t="shared" ca="1" si="66"/>
        <v>_XX_</v>
      </c>
      <c r="L1066" t="str">
        <f t="shared" ca="1" si="67"/>
        <v/>
      </c>
      <c r="M1066" t="str">
        <f>IFERROR(INDEX(Inventory!A:A,MATCH(Scan!A1066,Inventory!E:E,0)),"")</f>
        <v/>
      </c>
    </row>
    <row r="1067" spans="2:13" x14ac:dyDescent="0.3">
      <c r="B1067" t="str">
        <f>IF(IFERROR(VLOOKUP(TRIM(A1067),Inventory!E:E,1,0),0)=0,"X","_")</f>
        <v>_</v>
      </c>
      <c r="C1067" t="str">
        <f>IF(IFERROR(VLOOKUP(TRIM(A1067),'Full Inventory'!F:F,1,0),0)=0,"X","_")</f>
        <v>X</v>
      </c>
      <c r="D1067" t="str">
        <f t="shared" si="64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F1067" t="str">
        <f t="shared" si="65"/>
        <v>_</v>
      </c>
      <c r="K1067" t="str">
        <f t="shared" ca="1" si="66"/>
        <v>_XX_</v>
      </c>
      <c r="L1067" t="str">
        <f t="shared" ca="1" si="67"/>
        <v/>
      </c>
      <c r="M1067" t="str">
        <f>IFERROR(INDEX(Inventory!A:A,MATCH(Scan!A1067,Inventory!E:E,0)),"")</f>
        <v/>
      </c>
    </row>
    <row r="1068" spans="2:13" x14ac:dyDescent="0.3">
      <c r="B1068" t="str">
        <f>IF(IFERROR(VLOOKUP(TRIM(A1068),Inventory!E:E,1,0),0)=0,"X","_")</f>
        <v>_</v>
      </c>
      <c r="C1068" t="str">
        <f>IF(IFERROR(VLOOKUP(TRIM(A1068),'Full Inventory'!F:F,1,0),0)=0,"X","_")</f>
        <v>X</v>
      </c>
      <c r="D1068" t="str">
        <f t="shared" si="64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F1068" t="str">
        <f t="shared" si="65"/>
        <v>_</v>
      </c>
      <c r="K1068" t="str">
        <f t="shared" ca="1" si="66"/>
        <v>_XX_</v>
      </c>
      <c r="L1068" t="str">
        <f t="shared" ca="1" si="67"/>
        <v/>
      </c>
      <c r="M1068" t="str">
        <f>IFERROR(INDEX(Inventory!A:A,MATCH(Scan!A1068,Inventory!E:E,0)),"")</f>
        <v/>
      </c>
    </row>
    <row r="1069" spans="2:13" x14ac:dyDescent="0.3">
      <c r="B1069" t="str">
        <f>IF(IFERROR(VLOOKUP(TRIM(A1069),Inventory!E:E,1,0),0)=0,"X","_")</f>
        <v>_</v>
      </c>
      <c r="C1069" t="str">
        <f>IF(IFERROR(VLOOKUP(TRIM(A1069),'Full Inventory'!F:F,1,0),0)=0,"X","_")</f>
        <v>X</v>
      </c>
      <c r="D1069" t="str">
        <f t="shared" si="64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F1069" t="str">
        <f t="shared" si="65"/>
        <v>_</v>
      </c>
      <c r="K1069" t="str">
        <f t="shared" ca="1" si="66"/>
        <v>_XX_</v>
      </c>
      <c r="L1069" t="str">
        <f t="shared" ca="1" si="67"/>
        <v/>
      </c>
      <c r="M1069" t="str">
        <f>IFERROR(INDEX(Inventory!A:A,MATCH(Scan!A1069,Inventory!E:E,0)),"")</f>
        <v/>
      </c>
    </row>
    <row r="1070" spans="2:13" x14ac:dyDescent="0.3">
      <c r="B1070" t="str">
        <f>IF(IFERROR(VLOOKUP(TRIM(A1070),Inventory!E:E,1,0),0)=0,"X","_")</f>
        <v>_</v>
      </c>
      <c r="C1070" t="str">
        <f>IF(IFERROR(VLOOKUP(TRIM(A1070),'Full Inventory'!F:F,1,0),0)=0,"X","_")</f>
        <v>X</v>
      </c>
      <c r="D1070" t="str">
        <f t="shared" si="64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F1070" t="str">
        <f t="shared" si="65"/>
        <v>_</v>
      </c>
      <c r="K1070" t="str">
        <f t="shared" ca="1" si="66"/>
        <v>_XX_</v>
      </c>
      <c r="L1070" t="str">
        <f t="shared" ca="1" si="67"/>
        <v/>
      </c>
      <c r="M1070" t="str">
        <f>IFERROR(INDEX(Inventory!A:A,MATCH(Scan!A1070,Inventory!E:E,0)),"")</f>
        <v/>
      </c>
    </row>
    <row r="1071" spans="2:13" x14ac:dyDescent="0.3">
      <c r="B1071" t="str">
        <f>IF(IFERROR(VLOOKUP(TRIM(A1071),Inventory!E:E,1,0),0)=0,"X","_")</f>
        <v>_</v>
      </c>
      <c r="C1071" t="str">
        <f>IF(IFERROR(VLOOKUP(TRIM(A1071),'Full Inventory'!F:F,1,0),0)=0,"X","_")</f>
        <v>X</v>
      </c>
      <c r="D1071" t="str">
        <f t="shared" si="64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F1071" t="str">
        <f t="shared" si="65"/>
        <v>_</v>
      </c>
      <c r="K1071" t="str">
        <f t="shared" ca="1" si="66"/>
        <v>_XX_</v>
      </c>
      <c r="L1071" t="str">
        <f t="shared" ca="1" si="67"/>
        <v/>
      </c>
      <c r="M1071" t="str">
        <f>IFERROR(INDEX(Inventory!A:A,MATCH(Scan!A1071,Inventory!E:E,0)),"")</f>
        <v/>
      </c>
    </row>
    <row r="1072" spans="2:13" x14ac:dyDescent="0.3">
      <c r="B1072" t="str">
        <f>IF(IFERROR(VLOOKUP(TRIM(A1072),Inventory!E:E,1,0),0)=0,"X","_")</f>
        <v>_</v>
      </c>
      <c r="C1072" t="str">
        <f>IF(IFERROR(VLOOKUP(TRIM(A1072),'Full Inventory'!F:F,1,0),0)=0,"X","_")</f>
        <v>X</v>
      </c>
      <c r="D1072" t="str">
        <f t="shared" si="64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F1072" t="str">
        <f t="shared" si="65"/>
        <v>_</v>
      </c>
      <c r="K1072" t="str">
        <f t="shared" ca="1" si="66"/>
        <v>_XX_</v>
      </c>
      <c r="L1072" t="str">
        <f t="shared" ca="1" si="67"/>
        <v/>
      </c>
      <c r="M1072" t="str">
        <f>IFERROR(INDEX(Inventory!A:A,MATCH(Scan!A1072,Inventory!E:E,0)),"")</f>
        <v/>
      </c>
    </row>
    <row r="1073" spans="2:13" x14ac:dyDescent="0.3">
      <c r="B1073" t="str">
        <f>IF(IFERROR(VLOOKUP(TRIM(A1073),Inventory!E:E,1,0),0)=0,"X","_")</f>
        <v>_</v>
      </c>
      <c r="C1073" t="str">
        <f>IF(IFERROR(VLOOKUP(TRIM(A1073),'Full Inventory'!F:F,1,0),0)=0,"X","_")</f>
        <v>X</v>
      </c>
      <c r="D1073" t="str">
        <f t="shared" si="64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F1073" t="str">
        <f t="shared" si="65"/>
        <v>_</v>
      </c>
      <c r="K1073" t="str">
        <f t="shared" ca="1" si="66"/>
        <v>_XX_</v>
      </c>
      <c r="L1073" t="str">
        <f t="shared" ca="1" si="67"/>
        <v/>
      </c>
      <c r="M1073" t="str">
        <f>IFERROR(INDEX(Inventory!A:A,MATCH(Scan!A1073,Inventory!E:E,0)),"")</f>
        <v/>
      </c>
    </row>
    <row r="1074" spans="2:13" x14ac:dyDescent="0.3">
      <c r="B1074" t="str">
        <f>IF(IFERROR(VLOOKUP(TRIM(A1074),Inventory!E:E,1,0),0)=0,"X","_")</f>
        <v>_</v>
      </c>
      <c r="C1074" t="str">
        <f>IF(IFERROR(VLOOKUP(TRIM(A1074),'Full Inventory'!F:F,1,0),0)=0,"X","_")</f>
        <v>X</v>
      </c>
      <c r="D1074" t="str">
        <f t="shared" si="64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F1074" t="str">
        <f t="shared" si="65"/>
        <v>_</v>
      </c>
      <c r="K1074" t="str">
        <f t="shared" ca="1" si="66"/>
        <v>_XX_</v>
      </c>
      <c r="L1074" t="str">
        <f t="shared" ca="1" si="67"/>
        <v/>
      </c>
      <c r="M1074" t="str">
        <f>IFERROR(INDEX(Inventory!A:A,MATCH(Scan!A1074,Inventory!E:E,0)),"")</f>
        <v/>
      </c>
    </row>
    <row r="1075" spans="2:13" x14ac:dyDescent="0.3">
      <c r="B1075" t="str">
        <f>IF(IFERROR(VLOOKUP(TRIM(A1075),Inventory!E:E,1,0),0)=0,"X","_")</f>
        <v>_</v>
      </c>
      <c r="C1075" t="str">
        <f>IF(IFERROR(VLOOKUP(TRIM(A1075),'Full Inventory'!F:F,1,0),0)=0,"X","_")</f>
        <v>X</v>
      </c>
      <c r="D1075" t="str">
        <f t="shared" si="64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F1075" t="str">
        <f t="shared" si="65"/>
        <v>_</v>
      </c>
      <c r="K1075" t="str">
        <f t="shared" ca="1" si="66"/>
        <v>_XX_</v>
      </c>
      <c r="L1075" t="str">
        <f t="shared" ca="1" si="67"/>
        <v/>
      </c>
      <c r="M1075" t="str">
        <f>IFERROR(INDEX(Inventory!A:A,MATCH(Scan!A1075,Inventory!E:E,0)),"")</f>
        <v/>
      </c>
    </row>
    <row r="1076" spans="2:13" x14ac:dyDescent="0.3">
      <c r="B1076" t="str">
        <f>IF(IFERROR(VLOOKUP(TRIM(A1076),Inventory!E:E,1,0),0)=0,"X","_")</f>
        <v>_</v>
      </c>
      <c r="C1076" t="str">
        <f>IF(IFERROR(VLOOKUP(TRIM(A1076),'Full Inventory'!F:F,1,0),0)=0,"X","_")</f>
        <v>X</v>
      </c>
      <c r="D1076" t="str">
        <f t="shared" si="64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F1076" t="str">
        <f t="shared" si="65"/>
        <v>_</v>
      </c>
      <c r="K1076" t="str">
        <f t="shared" ca="1" si="66"/>
        <v>_XX_</v>
      </c>
      <c r="L1076" t="str">
        <f t="shared" ca="1" si="67"/>
        <v/>
      </c>
      <c r="M1076" t="str">
        <f>IFERROR(INDEX(Inventory!A:A,MATCH(Scan!A1076,Inventory!E:E,0)),"")</f>
        <v/>
      </c>
    </row>
    <row r="1077" spans="2:13" x14ac:dyDescent="0.3">
      <c r="B1077" t="str">
        <f>IF(IFERROR(VLOOKUP(TRIM(A1077),Inventory!E:E,1,0),0)=0,"X","_")</f>
        <v>_</v>
      </c>
      <c r="C1077" t="str">
        <f>IF(IFERROR(VLOOKUP(TRIM(A1077),'Full Inventory'!F:F,1,0),0)=0,"X","_")</f>
        <v>X</v>
      </c>
      <c r="D1077" t="str">
        <f t="shared" si="64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F1077" t="str">
        <f t="shared" si="65"/>
        <v>_</v>
      </c>
      <c r="K1077" t="str">
        <f t="shared" ca="1" si="66"/>
        <v>_XX_</v>
      </c>
      <c r="L1077" t="str">
        <f t="shared" ca="1" si="67"/>
        <v/>
      </c>
      <c r="M1077" t="str">
        <f>IFERROR(INDEX(Inventory!A:A,MATCH(Scan!A1077,Inventory!E:E,0)),"")</f>
        <v/>
      </c>
    </row>
    <row r="1078" spans="2:13" x14ac:dyDescent="0.3">
      <c r="B1078" t="str">
        <f>IF(IFERROR(VLOOKUP(TRIM(A1078),Inventory!E:E,1,0),0)=0,"X","_")</f>
        <v>_</v>
      </c>
      <c r="C1078" t="str">
        <f>IF(IFERROR(VLOOKUP(TRIM(A1078),'Full Inventory'!F:F,1,0),0)=0,"X","_")</f>
        <v>X</v>
      </c>
      <c r="D1078" t="str">
        <f t="shared" si="64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F1078" t="str">
        <f t="shared" si="65"/>
        <v>_</v>
      </c>
      <c r="K1078" t="str">
        <f t="shared" ca="1" si="66"/>
        <v>_XX_</v>
      </c>
      <c r="L1078" t="str">
        <f t="shared" ca="1" si="67"/>
        <v/>
      </c>
      <c r="M1078" t="str">
        <f>IFERROR(INDEX(Inventory!A:A,MATCH(Scan!A1078,Inventory!E:E,0)),"")</f>
        <v/>
      </c>
    </row>
    <row r="1079" spans="2:13" x14ac:dyDescent="0.3">
      <c r="B1079" t="str">
        <f>IF(IFERROR(VLOOKUP(TRIM(A1079),Inventory!E:E,1,0),0)=0,"X","_")</f>
        <v>_</v>
      </c>
      <c r="C1079" t="str">
        <f>IF(IFERROR(VLOOKUP(TRIM(A1079),'Full Inventory'!F:F,1,0),0)=0,"X","_")</f>
        <v>X</v>
      </c>
      <c r="D1079" t="str">
        <f t="shared" si="64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F1079" t="str">
        <f t="shared" si="65"/>
        <v>_</v>
      </c>
      <c r="K1079" t="str">
        <f t="shared" ca="1" si="66"/>
        <v>_XX_</v>
      </c>
      <c r="L1079" t="str">
        <f t="shared" ca="1" si="67"/>
        <v/>
      </c>
      <c r="M1079" t="str">
        <f>IFERROR(INDEX(Inventory!A:A,MATCH(Scan!A1079,Inventory!E:E,0)),"")</f>
        <v/>
      </c>
    </row>
    <row r="1080" spans="2:13" x14ac:dyDescent="0.3">
      <c r="B1080" t="str">
        <f>IF(IFERROR(VLOOKUP(TRIM(A1080),Inventory!E:E,1,0),0)=0,"X","_")</f>
        <v>_</v>
      </c>
      <c r="C1080" t="str">
        <f>IF(IFERROR(VLOOKUP(TRIM(A1080),'Full Inventory'!F:F,1,0),0)=0,"X","_")</f>
        <v>X</v>
      </c>
      <c r="D1080" t="str">
        <f t="shared" si="64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F1080" t="str">
        <f t="shared" si="65"/>
        <v>_</v>
      </c>
      <c r="K1080" t="str">
        <f t="shared" ca="1" si="66"/>
        <v>_XX_</v>
      </c>
      <c r="L1080" t="str">
        <f t="shared" ca="1" si="67"/>
        <v/>
      </c>
      <c r="M1080" t="str">
        <f>IFERROR(INDEX(Inventory!A:A,MATCH(Scan!A1080,Inventory!E:E,0)),"")</f>
        <v/>
      </c>
    </row>
    <row r="1081" spans="2:13" x14ac:dyDescent="0.3">
      <c r="B1081" t="str">
        <f>IF(IFERROR(VLOOKUP(TRIM(A1081),Inventory!E:E,1,0),0)=0,"X","_")</f>
        <v>_</v>
      </c>
      <c r="C1081" t="str">
        <f>IF(IFERROR(VLOOKUP(TRIM(A1081),'Full Inventory'!F:F,1,0),0)=0,"X","_")</f>
        <v>X</v>
      </c>
      <c r="D1081" t="str">
        <f t="shared" si="64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F1081" t="str">
        <f t="shared" si="65"/>
        <v>_</v>
      </c>
      <c r="K1081" t="str">
        <f t="shared" ca="1" si="66"/>
        <v>_XX_</v>
      </c>
      <c r="L1081" t="str">
        <f t="shared" ca="1" si="67"/>
        <v/>
      </c>
      <c r="M1081" t="str">
        <f>IFERROR(INDEX(Inventory!A:A,MATCH(Scan!A1081,Inventory!E:E,0)),"")</f>
        <v/>
      </c>
    </row>
    <row r="1082" spans="2:13" x14ac:dyDescent="0.3">
      <c r="B1082" t="str">
        <f>IF(IFERROR(VLOOKUP(TRIM(A1082),Inventory!E:E,1,0),0)=0,"X","_")</f>
        <v>_</v>
      </c>
      <c r="C1082" t="str">
        <f>IF(IFERROR(VLOOKUP(TRIM(A1082),'Full Inventory'!F:F,1,0),0)=0,"X","_")</f>
        <v>X</v>
      </c>
      <c r="D1082" t="str">
        <f t="shared" si="64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F1082" t="str">
        <f t="shared" si="65"/>
        <v>_</v>
      </c>
      <c r="K1082" t="str">
        <f t="shared" ca="1" si="66"/>
        <v>_XX_</v>
      </c>
      <c r="L1082" t="str">
        <f t="shared" ca="1" si="67"/>
        <v/>
      </c>
      <c r="M1082" t="str">
        <f>IFERROR(INDEX(Inventory!A:A,MATCH(Scan!A1082,Inventory!E:E,0)),"")</f>
        <v/>
      </c>
    </row>
    <row r="1083" spans="2:13" x14ac:dyDescent="0.3">
      <c r="B1083" t="str">
        <f>IF(IFERROR(VLOOKUP(TRIM(A1083),Inventory!E:E,1,0),0)=0,"X","_")</f>
        <v>_</v>
      </c>
      <c r="C1083" t="str">
        <f>IF(IFERROR(VLOOKUP(TRIM(A1083),'Full Inventory'!F:F,1,0),0)=0,"X","_")</f>
        <v>X</v>
      </c>
      <c r="D1083" t="str">
        <f t="shared" si="64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F1083" t="str">
        <f t="shared" si="65"/>
        <v>_</v>
      </c>
      <c r="K1083" t="str">
        <f t="shared" ca="1" si="66"/>
        <v>_XX_</v>
      </c>
      <c r="L1083" t="str">
        <f t="shared" ca="1" si="67"/>
        <v/>
      </c>
      <c r="M1083" t="str">
        <f>IFERROR(INDEX(Inventory!A:A,MATCH(Scan!A1083,Inventory!E:E,0)),"")</f>
        <v/>
      </c>
    </row>
    <row r="1084" spans="2:13" x14ac:dyDescent="0.3">
      <c r="B1084" t="str">
        <f>IF(IFERROR(VLOOKUP(TRIM(A1084),Inventory!E:E,1,0),0)=0,"X","_")</f>
        <v>_</v>
      </c>
      <c r="C1084" t="str">
        <f>IF(IFERROR(VLOOKUP(TRIM(A1084),'Full Inventory'!F:F,1,0),0)=0,"X","_")</f>
        <v>X</v>
      </c>
      <c r="D1084" t="str">
        <f t="shared" si="64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F1084" t="str">
        <f t="shared" si="65"/>
        <v>_</v>
      </c>
      <c r="K1084" t="str">
        <f t="shared" ca="1" si="66"/>
        <v>_XX_</v>
      </c>
      <c r="L1084" t="str">
        <f t="shared" ca="1" si="67"/>
        <v/>
      </c>
      <c r="M1084" t="str">
        <f>IFERROR(INDEX(Inventory!A:A,MATCH(Scan!A1084,Inventory!E:E,0)),"")</f>
        <v/>
      </c>
    </row>
    <row r="1085" spans="2:13" x14ac:dyDescent="0.3">
      <c r="B1085" t="str">
        <f>IF(IFERROR(VLOOKUP(TRIM(A1085),Inventory!E:E,1,0),0)=0,"X","_")</f>
        <v>_</v>
      </c>
      <c r="C1085" t="str">
        <f>IF(IFERROR(VLOOKUP(TRIM(A1085),'Full Inventory'!F:F,1,0),0)=0,"X","_")</f>
        <v>X</v>
      </c>
      <c r="D1085" t="str">
        <f t="shared" si="64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F1085" t="str">
        <f t="shared" si="65"/>
        <v>_</v>
      </c>
      <c r="K1085" t="str">
        <f t="shared" ca="1" si="66"/>
        <v>_XX_</v>
      </c>
      <c r="L1085" t="str">
        <f t="shared" ca="1" si="67"/>
        <v/>
      </c>
      <c r="M1085" t="str">
        <f>IFERROR(INDEX(Inventory!A:A,MATCH(Scan!A1085,Inventory!E:E,0)),"")</f>
        <v/>
      </c>
    </row>
    <row r="1086" spans="2:13" x14ac:dyDescent="0.3">
      <c r="B1086" t="str">
        <f>IF(IFERROR(VLOOKUP(TRIM(A1086),Inventory!E:E,1,0),0)=0,"X","_")</f>
        <v>_</v>
      </c>
      <c r="C1086" t="str">
        <f>IF(IFERROR(VLOOKUP(TRIM(A1086),'Full Inventory'!F:F,1,0),0)=0,"X","_")</f>
        <v>X</v>
      </c>
      <c r="D1086" t="str">
        <f t="shared" si="64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F1086" t="str">
        <f t="shared" si="65"/>
        <v>_</v>
      </c>
      <c r="K1086" t="str">
        <f t="shared" ca="1" si="66"/>
        <v>_XX_</v>
      </c>
      <c r="L1086" t="str">
        <f t="shared" ca="1" si="67"/>
        <v/>
      </c>
      <c r="M1086" t="str">
        <f>IFERROR(INDEX(Inventory!A:A,MATCH(Scan!A1086,Inventory!E:E,0)),"")</f>
        <v/>
      </c>
    </row>
    <row r="1087" spans="2:13" x14ac:dyDescent="0.3">
      <c r="B1087" t="str">
        <f>IF(IFERROR(VLOOKUP(TRIM(A1087),Inventory!E:E,1,0),0)=0,"X","_")</f>
        <v>_</v>
      </c>
      <c r="C1087" t="str">
        <f>IF(IFERROR(VLOOKUP(TRIM(A1087),'Full Inventory'!F:F,1,0),0)=0,"X","_")</f>
        <v>X</v>
      </c>
      <c r="D1087" t="str">
        <f t="shared" si="64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F1087" t="str">
        <f t="shared" si="65"/>
        <v>_</v>
      </c>
      <c r="K1087" t="str">
        <f t="shared" ca="1" si="66"/>
        <v>_XX_</v>
      </c>
      <c r="L1087" t="str">
        <f t="shared" ca="1" si="67"/>
        <v/>
      </c>
      <c r="M1087" t="str">
        <f>IFERROR(INDEX(Inventory!A:A,MATCH(Scan!A1087,Inventory!E:E,0)),"")</f>
        <v/>
      </c>
    </row>
    <row r="1088" spans="2:13" x14ac:dyDescent="0.3">
      <c r="B1088" t="str">
        <f>IF(IFERROR(VLOOKUP(TRIM(A1088),Inventory!E:E,1,0),0)=0,"X","_")</f>
        <v>_</v>
      </c>
      <c r="C1088" t="str">
        <f>IF(IFERROR(VLOOKUP(TRIM(A1088),'Full Inventory'!F:F,1,0),0)=0,"X","_")</f>
        <v>X</v>
      </c>
      <c r="D1088" t="str">
        <f t="shared" si="64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F1088" t="str">
        <f t="shared" si="65"/>
        <v>_</v>
      </c>
      <c r="K1088" t="str">
        <f t="shared" ca="1" si="66"/>
        <v>_XX_</v>
      </c>
      <c r="L1088" t="str">
        <f t="shared" ca="1" si="67"/>
        <v/>
      </c>
      <c r="M1088" t="str">
        <f>IFERROR(INDEX(Inventory!A:A,MATCH(Scan!A1088,Inventory!E:E,0)),"")</f>
        <v/>
      </c>
    </row>
    <row r="1089" spans="2:13" x14ac:dyDescent="0.3">
      <c r="B1089" t="str">
        <f>IF(IFERROR(VLOOKUP(TRIM(A1089),Inventory!E:E,1,0),0)=0,"X","_")</f>
        <v>_</v>
      </c>
      <c r="C1089" t="str">
        <f>IF(IFERROR(VLOOKUP(TRIM(A1089),'Full Inventory'!F:F,1,0),0)=0,"X","_")</f>
        <v>X</v>
      </c>
      <c r="D1089" t="str">
        <f t="shared" si="64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F1089" t="str">
        <f t="shared" si="65"/>
        <v>_</v>
      </c>
      <c r="K1089" t="str">
        <f t="shared" ca="1" si="66"/>
        <v>_XX_</v>
      </c>
      <c r="L1089" t="str">
        <f t="shared" ca="1" si="67"/>
        <v/>
      </c>
      <c r="M1089" t="str">
        <f>IFERROR(INDEX(Inventory!A:A,MATCH(Scan!A1089,Inventory!E:E,0)),"")</f>
        <v/>
      </c>
    </row>
    <row r="1090" spans="2:13" x14ac:dyDescent="0.3">
      <c r="B1090" t="str">
        <f>IF(IFERROR(VLOOKUP(TRIM(A1090),Inventory!E:E,1,0),0)=0,"X","_")</f>
        <v>_</v>
      </c>
      <c r="C1090" t="str">
        <f>IF(IFERROR(VLOOKUP(TRIM(A1090),'Full Inventory'!F:F,1,0),0)=0,"X","_")</f>
        <v>X</v>
      </c>
      <c r="D1090" t="str">
        <f t="shared" ref="D1090:D1153" si="68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F1090" t="str">
        <f t="shared" si="65"/>
        <v>_</v>
      </c>
      <c r="K1090" t="str">
        <f t="shared" ca="1" si="66"/>
        <v>_XX_</v>
      </c>
      <c r="L1090" t="str">
        <f t="shared" ca="1" si="67"/>
        <v/>
      </c>
      <c r="M1090" t="str">
        <f>IFERROR(INDEX(Inventory!A:A,MATCH(Scan!A1090,Inventory!E:E,0)),"")</f>
        <v/>
      </c>
    </row>
    <row r="1091" spans="2:13" x14ac:dyDescent="0.3">
      <c r="B1091" t="str">
        <f>IF(IFERROR(VLOOKUP(TRIM(A1091),Inventory!E:E,1,0),0)=0,"X","_")</f>
        <v>_</v>
      </c>
      <c r="C1091" t="str">
        <f>IF(IFERROR(VLOOKUP(TRIM(A1091),'Full Inventory'!F:F,1,0),0)=0,"X","_")</f>
        <v>X</v>
      </c>
      <c r="D1091" t="str">
        <f t="shared" si="68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F1091" t="str">
        <f t="shared" ref="F1091:F1154" si="69">IF(IFERROR(SEARCH("ö",A1091),0)&gt;0,"X","_")</f>
        <v>_</v>
      </c>
      <c r="K1091" t="str">
        <f t="shared" ref="K1091:K1154" ca="1" si="70">B1091&amp;C1091&amp;D1091&amp;E1091</f>
        <v>_XX_</v>
      </c>
      <c r="L1091" t="str">
        <f t="shared" ref="L1091:L1154" ca="1" si="71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3">
      <c r="B1092" t="str">
        <f>IF(IFERROR(VLOOKUP(TRIM(A1092),Inventory!E:E,1,0),0)=0,"X","_")</f>
        <v>_</v>
      </c>
      <c r="C1092" t="str">
        <f>IF(IFERROR(VLOOKUP(TRIM(A1092),'Full Inventory'!F:F,1,0),0)=0,"X","_")</f>
        <v>X</v>
      </c>
      <c r="D1092" t="str">
        <f t="shared" si="68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F1092" t="str">
        <f t="shared" si="69"/>
        <v>_</v>
      </c>
      <c r="K1092" t="str">
        <f t="shared" ca="1" si="70"/>
        <v>_XX_</v>
      </c>
      <c r="L1092" t="str">
        <f t="shared" ca="1" si="71"/>
        <v/>
      </c>
      <c r="M1092" t="str">
        <f>IFERROR(INDEX(Inventory!A:A,MATCH(Scan!A1092,Inventory!E:E,0)),"")</f>
        <v/>
      </c>
    </row>
    <row r="1093" spans="2:13" x14ac:dyDescent="0.3">
      <c r="B1093" t="str">
        <f>IF(IFERROR(VLOOKUP(TRIM(A1093),Inventory!E:E,1,0),0)=0,"X","_")</f>
        <v>_</v>
      </c>
      <c r="C1093" t="str">
        <f>IF(IFERROR(VLOOKUP(TRIM(A1093),'Full Inventory'!F:F,1,0),0)=0,"X","_")</f>
        <v>X</v>
      </c>
      <c r="D1093" t="str">
        <f t="shared" si="68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F1093" t="str">
        <f t="shared" si="69"/>
        <v>_</v>
      </c>
      <c r="K1093" t="str">
        <f t="shared" ca="1" si="70"/>
        <v>_XX_</v>
      </c>
      <c r="L1093" t="str">
        <f t="shared" ca="1" si="71"/>
        <v/>
      </c>
      <c r="M1093" t="str">
        <f>IFERROR(INDEX(Inventory!A:A,MATCH(Scan!A1093,Inventory!E:E,0)),"")</f>
        <v/>
      </c>
    </row>
    <row r="1094" spans="2:13" x14ac:dyDescent="0.3">
      <c r="B1094" t="str">
        <f>IF(IFERROR(VLOOKUP(TRIM(A1094),Inventory!E:E,1,0),0)=0,"X","_")</f>
        <v>_</v>
      </c>
      <c r="C1094" t="str">
        <f>IF(IFERROR(VLOOKUP(TRIM(A1094),'Full Inventory'!F:F,1,0),0)=0,"X","_")</f>
        <v>X</v>
      </c>
      <c r="D1094" t="str">
        <f t="shared" si="68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F1094" t="str">
        <f t="shared" si="69"/>
        <v>_</v>
      </c>
      <c r="K1094" t="str">
        <f t="shared" ca="1" si="70"/>
        <v>_XX_</v>
      </c>
      <c r="L1094" t="str">
        <f t="shared" ca="1" si="71"/>
        <v/>
      </c>
      <c r="M1094" t="str">
        <f>IFERROR(INDEX(Inventory!A:A,MATCH(Scan!A1094,Inventory!E:E,0)),"")</f>
        <v/>
      </c>
    </row>
    <row r="1095" spans="2:13" x14ac:dyDescent="0.3">
      <c r="B1095" t="str">
        <f>IF(IFERROR(VLOOKUP(TRIM(A1095),Inventory!E:E,1,0),0)=0,"X","_")</f>
        <v>_</v>
      </c>
      <c r="C1095" t="str">
        <f>IF(IFERROR(VLOOKUP(TRIM(A1095),'Full Inventory'!F:F,1,0),0)=0,"X","_")</f>
        <v>X</v>
      </c>
      <c r="D1095" t="str">
        <f t="shared" si="68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F1095" t="str">
        <f t="shared" si="69"/>
        <v>_</v>
      </c>
      <c r="K1095" t="str">
        <f t="shared" ca="1" si="70"/>
        <v>_XX_</v>
      </c>
      <c r="L1095" t="str">
        <f t="shared" ca="1" si="71"/>
        <v/>
      </c>
      <c r="M1095" t="str">
        <f>IFERROR(INDEX(Inventory!A:A,MATCH(Scan!A1095,Inventory!E:E,0)),"")</f>
        <v/>
      </c>
    </row>
    <row r="1096" spans="2:13" x14ac:dyDescent="0.3">
      <c r="B1096" t="str">
        <f>IF(IFERROR(VLOOKUP(TRIM(A1096),Inventory!E:E,1,0),0)=0,"X","_")</f>
        <v>_</v>
      </c>
      <c r="C1096" t="str">
        <f>IF(IFERROR(VLOOKUP(TRIM(A1096),'Full Inventory'!F:F,1,0),0)=0,"X","_")</f>
        <v>X</v>
      </c>
      <c r="D1096" t="str">
        <f t="shared" si="68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F1096" t="str">
        <f t="shared" si="69"/>
        <v>_</v>
      </c>
      <c r="K1096" t="str">
        <f t="shared" ca="1" si="70"/>
        <v>_XX_</v>
      </c>
      <c r="L1096" t="str">
        <f t="shared" ca="1" si="71"/>
        <v/>
      </c>
      <c r="M1096" t="str">
        <f>IFERROR(INDEX(Inventory!A:A,MATCH(Scan!A1096,Inventory!E:E,0)),"")</f>
        <v/>
      </c>
    </row>
    <row r="1097" spans="2:13" x14ac:dyDescent="0.3">
      <c r="B1097" t="str">
        <f>IF(IFERROR(VLOOKUP(TRIM(A1097),Inventory!E:E,1,0),0)=0,"X","_")</f>
        <v>_</v>
      </c>
      <c r="C1097" t="str">
        <f>IF(IFERROR(VLOOKUP(TRIM(A1097),'Full Inventory'!F:F,1,0),0)=0,"X","_")</f>
        <v>X</v>
      </c>
      <c r="D1097" t="str">
        <f t="shared" si="68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F1097" t="str">
        <f t="shared" si="69"/>
        <v>_</v>
      </c>
      <c r="K1097" t="str">
        <f t="shared" ca="1" si="70"/>
        <v>_XX_</v>
      </c>
      <c r="L1097" t="str">
        <f t="shared" ca="1" si="71"/>
        <v/>
      </c>
      <c r="M1097" t="str">
        <f>IFERROR(INDEX(Inventory!A:A,MATCH(Scan!A1097,Inventory!E:E,0)),"")</f>
        <v/>
      </c>
    </row>
    <row r="1098" spans="2:13" x14ac:dyDescent="0.3">
      <c r="B1098" t="str">
        <f>IF(IFERROR(VLOOKUP(TRIM(A1098),Inventory!E:E,1,0),0)=0,"X","_")</f>
        <v>_</v>
      </c>
      <c r="C1098" t="str">
        <f>IF(IFERROR(VLOOKUP(TRIM(A1098),'Full Inventory'!F:F,1,0),0)=0,"X","_")</f>
        <v>X</v>
      </c>
      <c r="D1098" t="str">
        <f t="shared" si="68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F1098" t="str">
        <f t="shared" si="69"/>
        <v>_</v>
      </c>
      <c r="K1098" t="str">
        <f t="shared" ca="1" si="70"/>
        <v>_XX_</v>
      </c>
      <c r="L1098" t="str">
        <f t="shared" ca="1" si="71"/>
        <v/>
      </c>
      <c r="M1098" t="str">
        <f>IFERROR(INDEX(Inventory!A:A,MATCH(Scan!A1098,Inventory!E:E,0)),"")</f>
        <v/>
      </c>
    </row>
    <row r="1099" spans="2:13" x14ac:dyDescent="0.3">
      <c r="B1099" t="str">
        <f>IF(IFERROR(VLOOKUP(TRIM(A1099),Inventory!E:E,1,0),0)=0,"X","_")</f>
        <v>_</v>
      </c>
      <c r="C1099" t="str">
        <f>IF(IFERROR(VLOOKUP(TRIM(A1099),'Full Inventory'!F:F,1,0),0)=0,"X","_")</f>
        <v>X</v>
      </c>
      <c r="D1099" t="str">
        <f t="shared" si="68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F1099" t="str">
        <f t="shared" si="69"/>
        <v>_</v>
      </c>
      <c r="K1099" t="str">
        <f t="shared" ca="1" si="70"/>
        <v>_XX_</v>
      </c>
      <c r="L1099" t="str">
        <f t="shared" ca="1" si="71"/>
        <v/>
      </c>
      <c r="M1099" t="str">
        <f>IFERROR(INDEX(Inventory!A:A,MATCH(Scan!A1099,Inventory!E:E,0)),"")</f>
        <v/>
      </c>
    </row>
    <row r="1100" spans="2:13" x14ac:dyDescent="0.3">
      <c r="B1100" t="str">
        <f>IF(IFERROR(VLOOKUP(TRIM(A1100),Inventory!E:E,1,0),0)=0,"X","_")</f>
        <v>_</v>
      </c>
      <c r="C1100" t="str">
        <f>IF(IFERROR(VLOOKUP(TRIM(A1100),'Full Inventory'!F:F,1,0),0)=0,"X","_")</f>
        <v>X</v>
      </c>
      <c r="D1100" t="str">
        <f t="shared" si="68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F1100" t="str">
        <f t="shared" si="69"/>
        <v>_</v>
      </c>
      <c r="K1100" t="str">
        <f t="shared" ca="1" si="70"/>
        <v>_XX_</v>
      </c>
      <c r="L1100" t="str">
        <f t="shared" ca="1" si="71"/>
        <v/>
      </c>
      <c r="M1100" t="str">
        <f>IFERROR(INDEX(Inventory!A:A,MATCH(Scan!A1100,Inventory!E:E,0)),"")</f>
        <v/>
      </c>
    </row>
    <row r="1101" spans="2:13" x14ac:dyDescent="0.3">
      <c r="B1101" t="str">
        <f>IF(IFERROR(VLOOKUP(TRIM(A1101),Inventory!E:E,1,0),0)=0,"X","_")</f>
        <v>_</v>
      </c>
      <c r="C1101" t="str">
        <f>IF(IFERROR(VLOOKUP(TRIM(A1101),'Full Inventory'!F:F,1,0),0)=0,"X","_")</f>
        <v>X</v>
      </c>
      <c r="D1101" t="str">
        <f t="shared" si="68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F1101" t="str">
        <f t="shared" si="69"/>
        <v>_</v>
      </c>
      <c r="K1101" t="str">
        <f t="shared" ca="1" si="70"/>
        <v>_XX_</v>
      </c>
      <c r="L1101" t="str">
        <f t="shared" ca="1" si="71"/>
        <v/>
      </c>
      <c r="M1101" t="str">
        <f>IFERROR(INDEX(Inventory!A:A,MATCH(Scan!A1101,Inventory!E:E,0)),"")</f>
        <v/>
      </c>
    </row>
    <row r="1102" spans="2:13" x14ac:dyDescent="0.3">
      <c r="B1102" t="str">
        <f>IF(IFERROR(VLOOKUP(TRIM(A1102),Inventory!E:E,1,0),0)=0,"X","_")</f>
        <v>_</v>
      </c>
      <c r="C1102" t="str">
        <f>IF(IFERROR(VLOOKUP(TRIM(A1102),'Full Inventory'!F:F,1,0),0)=0,"X","_")</f>
        <v>X</v>
      </c>
      <c r="D1102" t="str">
        <f t="shared" si="68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F1102" t="str">
        <f t="shared" si="69"/>
        <v>_</v>
      </c>
      <c r="K1102" t="str">
        <f t="shared" ca="1" si="70"/>
        <v>_XX_</v>
      </c>
      <c r="L1102" t="str">
        <f t="shared" ca="1" si="71"/>
        <v/>
      </c>
      <c r="M1102" t="str">
        <f>IFERROR(INDEX(Inventory!A:A,MATCH(Scan!A1102,Inventory!E:E,0)),"")</f>
        <v/>
      </c>
    </row>
    <row r="1103" spans="2:13" x14ac:dyDescent="0.3">
      <c r="B1103" t="str">
        <f>IF(IFERROR(VLOOKUP(TRIM(A1103),Inventory!E:E,1,0),0)=0,"X","_")</f>
        <v>_</v>
      </c>
      <c r="C1103" t="str">
        <f>IF(IFERROR(VLOOKUP(TRIM(A1103),'Full Inventory'!F:F,1,0),0)=0,"X","_")</f>
        <v>X</v>
      </c>
      <c r="D1103" t="str">
        <f t="shared" si="68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F1103" t="str">
        <f t="shared" si="69"/>
        <v>_</v>
      </c>
      <c r="K1103" t="str">
        <f t="shared" ca="1" si="70"/>
        <v>_XX_</v>
      </c>
      <c r="L1103" t="str">
        <f t="shared" ca="1" si="71"/>
        <v/>
      </c>
      <c r="M1103" t="str">
        <f>IFERROR(INDEX(Inventory!A:A,MATCH(Scan!A1103,Inventory!E:E,0)),"")</f>
        <v/>
      </c>
    </row>
    <row r="1104" spans="2:13" x14ac:dyDescent="0.3">
      <c r="B1104" t="str">
        <f>IF(IFERROR(VLOOKUP(TRIM(A1104),Inventory!E:E,1,0),0)=0,"X","_")</f>
        <v>_</v>
      </c>
      <c r="C1104" t="str">
        <f>IF(IFERROR(VLOOKUP(TRIM(A1104),'Full Inventory'!F:F,1,0),0)=0,"X","_")</f>
        <v>X</v>
      </c>
      <c r="D1104" t="str">
        <f t="shared" si="68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F1104" t="str">
        <f t="shared" si="69"/>
        <v>_</v>
      </c>
      <c r="K1104" t="str">
        <f t="shared" ca="1" si="70"/>
        <v>_XX_</v>
      </c>
      <c r="L1104" t="str">
        <f t="shared" ca="1" si="71"/>
        <v/>
      </c>
      <c r="M1104" t="str">
        <f>IFERROR(INDEX(Inventory!A:A,MATCH(Scan!A1104,Inventory!E:E,0)),"")</f>
        <v/>
      </c>
    </row>
    <row r="1105" spans="2:13" x14ac:dyDescent="0.3">
      <c r="B1105" t="str">
        <f>IF(IFERROR(VLOOKUP(TRIM(A1105),Inventory!E:E,1,0),0)=0,"X","_")</f>
        <v>_</v>
      </c>
      <c r="C1105" t="str">
        <f>IF(IFERROR(VLOOKUP(TRIM(A1105),'Full Inventory'!F:F,1,0),0)=0,"X","_")</f>
        <v>X</v>
      </c>
      <c r="D1105" t="str">
        <f t="shared" si="68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F1105" t="str">
        <f t="shared" si="69"/>
        <v>_</v>
      </c>
      <c r="K1105" t="str">
        <f t="shared" ca="1" si="70"/>
        <v>_XX_</v>
      </c>
      <c r="L1105" t="str">
        <f t="shared" ca="1" si="71"/>
        <v/>
      </c>
      <c r="M1105" t="str">
        <f>IFERROR(INDEX(Inventory!A:A,MATCH(Scan!A1105,Inventory!E:E,0)),"")</f>
        <v/>
      </c>
    </row>
    <row r="1106" spans="2:13" x14ac:dyDescent="0.3">
      <c r="B1106" t="str">
        <f>IF(IFERROR(VLOOKUP(TRIM(A1106),Inventory!E:E,1,0),0)=0,"X","_")</f>
        <v>_</v>
      </c>
      <c r="C1106" t="str">
        <f>IF(IFERROR(VLOOKUP(TRIM(A1106),'Full Inventory'!F:F,1,0),0)=0,"X","_")</f>
        <v>X</v>
      </c>
      <c r="D1106" t="str">
        <f t="shared" si="68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F1106" t="str">
        <f t="shared" si="69"/>
        <v>_</v>
      </c>
      <c r="K1106" t="str">
        <f t="shared" ca="1" si="70"/>
        <v>_XX_</v>
      </c>
      <c r="L1106" t="str">
        <f t="shared" ca="1" si="71"/>
        <v/>
      </c>
      <c r="M1106" t="str">
        <f>IFERROR(INDEX(Inventory!A:A,MATCH(Scan!A1106,Inventory!E:E,0)),"")</f>
        <v/>
      </c>
    </row>
    <row r="1107" spans="2:13" x14ac:dyDescent="0.3">
      <c r="B1107" t="str">
        <f>IF(IFERROR(VLOOKUP(TRIM(A1107),Inventory!E:E,1,0),0)=0,"X","_")</f>
        <v>_</v>
      </c>
      <c r="C1107" t="str">
        <f>IF(IFERROR(VLOOKUP(TRIM(A1107),'Full Inventory'!F:F,1,0),0)=0,"X","_")</f>
        <v>X</v>
      </c>
      <c r="D1107" t="str">
        <f t="shared" si="68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F1107" t="str">
        <f t="shared" si="69"/>
        <v>_</v>
      </c>
      <c r="K1107" t="str">
        <f t="shared" ca="1" si="70"/>
        <v>_XX_</v>
      </c>
      <c r="L1107" t="str">
        <f t="shared" ca="1" si="71"/>
        <v/>
      </c>
      <c r="M1107" t="str">
        <f>IFERROR(INDEX(Inventory!A:A,MATCH(Scan!A1107,Inventory!E:E,0)),"")</f>
        <v/>
      </c>
    </row>
    <row r="1108" spans="2:13" x14ac:dyDescent="0.3">
      <c r="B1108" t="str">
        <f>IF(IFERROR(VLOOKUP(TRIM(A1108),Inventory!E:E,1,0),0)=0,"X","_")</f>
        <v>_</v>
      </c>
      <c r="C1108" t="str">
        <f>IF(IFERROR(VLOOKUP(TRIM(A1108),'Full Inventory'!F:F,1,0),0)=0,"X","_")</f>
        <v>X</v>
      </c>
      <c r="D1108" t="str">
        <f t="shared" si="68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F1108" t="str">
        <f t="shared" si="69"/>
        <v>_</v>
      </c>
      <c r="K1108" t="str">
        <f t="shared" ca="1" si="70"/>
        <v>_XX_</v>
      </c>
      <c r="L1108" t="str">
        <f t="shared" ca="1" si="71"/>
        <v/>
      </c>
      <c r="M1108" t="str">
        <f>IFERROR(INDEX(Inventory!A:A,MATCH(Scan!A1108,Inventory!E:E,0)),"")</f>
        <v/>
      </c>
    </row>
    <row r="1109" spans="2:13" x14ac:dyDescent="0.3">
      <c r="B1109" t="str">
        <f>IF(IFERROR(VLOOKUP(TRIM(A1109),Inventory!E:E,1,0),0)=0,"X","_")</f>
        <v>_</v>
      </c>
      <c r="C1109" t="str">
        <f>IF(IFERROR(VLOOKUP(TRIM(A1109),'Full Inventory'!F:F,1,0),0)=0,"X","_")</f>
        <v>X</v>
      </c>
      <c r="D1109" t="str">
        <f t="shared" si="68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F1109" t="str">
        <f t="shared" si="69"/>
        <v>_</v>
      </c>
      <c r="K1109" t="str">
        <f t="shared" ca="1" si="70"/>
        <v>_XX_</v>
      </c>
      <c r="L1109" t="str">
        <f t="shared" ca="1" si="71"/>
        <v/>
      </c>
      <c r="M1109" t="str">
        <f>IFERROR(INDEX(Inventory!A:A,MATCH(Scan!A1109,Inventory!E:E,0)),"")</f>
        <v/>
      </c>
    </row>
    <row r="1110" spans="2:13" x14ac:dyDescent="0.3">
      <c r="B1110" t="str">
        <f>IF(IFERROR(VLOOKUP(TRIM(A1110),Inventory!E:E,1,0),0)=0,"X","_")</f>
        <v>_</v>
      </c>
      <c r="C1110" t="str">
        <f>IF(IFERROR(VLOOKUP(TRIM(A1110),'Full Inventory'!F:F,1,0),0)=0,"X","_")</f>
        <v>X</v>
      </c>
      <c r="D1110" t="str">
        <f t="shared" si="68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F1110" t="str">
        <f t="shared" si="69"/>
        <v>_</v>
      </c>
      <c r="K1110" t="str">
        <f t="shared" ca="1" si="70"/>
        <v>_XX_</v>
      </c>
      <c r="L1110" t="str">
        <f t="shared" ca="1" si="71"/>
        <v/>
      </c>
      <c r="M1110" t="str">
        <f>IFERROR(INDEX(Inventory!A:A,MATCH(Scan!A1110,Inventory!E:E,0)),"")</f>
        <v/>
      </c>
    </row>
    <row r="1111" spans="2:13" x14ac:dyDescent="0.3">
      <c r="B1111" t="str">
        <f>IF(IFERROR(VLOOKUP(TRIM(A1111),Inventory!E:E,1,0),0)=0,"X","_")</f>
        <v>_</v>
      </c>
      <c r="C1111" t="str">
        <f>IF(IFERROR(VLOOKUP(TRIM(A1111),'Full Inventory'!F:F,1,0),0)=0,"X","_")</f>
        <v>X</v>
      </c>
      <c r="D1111" t="str">
        <f t="shared" si="68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F1111" t="str">
        <f t="shared" si="69"/>
        <v>_</v>
      </c>
      <c r="K1111" t="str">
        <f t="shared" ca="1" si="70"/>
        <v>_XX_</v>
      </c>
      <c r="L1111" t="str">
        <f t="shared" ca="1" si="71"/>
        <v/>
      </c>
      <c r="M1111" t="str">
        <f>IFERROR(INDEX(Inventory!A:A,MATCH(Scan!A1111,Inventory!E:E,0)),"")</f>
        <v/>
      </c>
    </row>
    <row r="1112" spans="2:13" x14ac:dyDescent="0.3">
      <c r="B1112" t="str">
        <f>IF(IFERROR(VLOOKUP(TRIM(A1112),Inventory!E:E,1,0),0)=0,"X","_")</f>
        <v>_</v>
      </c>
      <c r="C1112" t="str">
        <f>IF(IFERROR(VLOOKUP(TRIM(A1112),'Full Inventory'!F:F,1,0),0)=0,"X","_")</f>
        <v>X</v>
      </c>
      <c r="D1112" t="str">
        <f t="shared" si="68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F1112" t="str">
        <f t="shared" si="69"/>
        <v>_</v>
      </c>
      <c r="K1112" t="str">
        <f t="shared" ca="1" si="70"/>
        <v>_XX_</v>
      </c>
      <c r="L1112" t="str">
        <f t="shared" ca="1" si="71"/>
        <v/>
      </c>
      <c r="M1112" t="str">
        <f>IFERROR(INDEX(Inventory!A:A,MATCH(Scan!A1112,Inventory!E:E,0)),"")</f>
        <v/>
      </c>
    </row>
    <row r="1113" spans="2:13" x14ac:dyDescent="0.3">
      <c r="B1113" t="str">
        <f>IF(IFERROR(VLOOKUP(TRIM(A1113),Inventory!E:E,1,0),0)=0,"X","_")</f>
        <v>_</v>
      </c>
      <c r="C1113" t="str">
        <f>IF(IFERROR(VLOOKUP(TRIM(A1113),'Full Inventory'!F:F,1,0),0)=0,"X","_")</f>
        <v>X</v>
      </c>
      <c r="D1113" t="str">
        <f t="shared" si="68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F1113" t="str">
        <f t="shared" si="69"/>
        <v>_</v>
      </c>
      <c r="K1113" t="str">
        <f t="shared" ca="1" si="70"/>
        <v>_XX_</v>
      </c>
      <c r="L1113" t="str">
        <f t="shared" ca="1" si="71"/>
        <v/>
      </c>
      <c r="M1113" t="str">
        <f>IFERROR(INDEX(Inventory!A:A,MATCH(Scan!A1113,Inventory!E:E,0)),"")</f>
        <v/>
      </c>
    </row>
    <row r="1114" spans="2:13" x14ac:dyDescent="0.3">
      <c r="B1114" t="str">
        <f>IF(IFERROR(VLOOKUP(TRIM(A1114),Inventory!E:E,1,0),0)=0,"X","_")</f>
        <v>_</v>
      </c>
      <c r="C1114" t="str">
        <f>IF(IFERROR(VLOOKUP(TRIM(A1114),'Full Inventory'!F:F,1,0),0)=0,"X","_")</f>
        <v>X</v>
      </c>
      <c r="D1114" t="str">
        <f t="shared" si="68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F1114" t="str">
        <f t="shared" si="69"/>
        <v>_</v>
      </c>
      <c r="K1114" t="str">
        <f t="shared" ca="1" si="70"/>
        <v>_XX_</v>
      </c>
      <c r="L1114" t="str">
        <f t="shared" ca="1" si="71"/>
        <v/>
      </c>
      <c r="M1114" t="str">
        <f>IFERROR(INDEX(Inventory!A:A,MATCH(Scan!A1114,Inventory!E:E,0)),"")</f>
        <v/>
      </c>
    </row>
    <row r="1115" spans="2:13" x14ac:dyDescent="0.3">
      <c r="B1115" t="str">
        <f>IF(IFERROR(VLOOKUP(TRIM(A1115),Inventory!E:E,1,0),0)=0,"X","_")</f>
        <v>_</v>
      </c>
      <c r="C1115" t="str">
        <f>IF(IFERROR(VLOOKUP(TRIM(A1115),'Full Inventory'!F:F,1,0),0)=0,"X","_")</f>
        <v>X</v>
      </c>
      <c r="D1115" t="str">
        <f t="shared" si="68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F1115" t="str">
        <f t="shared" si="69"/>
        <v>_</v>
      </c>
      <c r="K1115" t="str">
        <f t="shared" ca="1" si="70"/>
        <v>_XX_</v>
      </c>
      <c r="L1115" t="str">
        <f t="shared" ca="1" si="71"/>
        <v/>
      </c>
      <c r="M1115" t="str">
        <f>IFERROR(INDEX(Inventory!A:A,MATCH(Scan!A1115,Inventory!E:E,0)),"")</f>
        <v/>
      </c>
    </row>
    <row r="1116" spans="2:13" x14ac:dyDescent="0.3">
      <c r="B1116" t="str">
        <f>IF(IFERROR(VLOOKUP(TRIM(A1116),Inventory!E:E,1,0),0)=0,"X","_")</f>
        <v>_</v>
      </c>
      <c r="C1116" t="str">
        <f>IF(IFERROR(VLOOKUP(TRIM(A1116),'Full Inventory'!F:F,1,0),0)=0,"X","_")</f>
        <v>X</v>
      </c>
      <c r="D1116" t="str">
        <f t="shared" si="68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F1116" t="str">
        <f t="shared" si="69"/>
        <v>_</v>
      </c>
      <c r="K1116" t="str">
        <f t="shared" ca="1" si="70"/>
        <v>_XX_</v>
      </c>
      <c r="L1116" t="str">
        <f t="shared" ca="1" si="71"/>
        <v/>
      </c>
      <c r="M1116" t="str">
        <f>IFERROR(INDEX(Inventory!A:A,MATCH(Scan!A1116,Inventory!E:E,0)),"")</f>
        <v/>
      </c>
    </row>
    <row r="1117" spans="2:13" x14ac:dyDescent="0.3">
      <c r="B1117" t="str">
        <f>IF(IFERROR(VLOOKUP(TRIM(A1117),Inventory!E:E,1,0),0)=0,"X","_")</f>
        <v>_</v>
      </c>
      <c r="C1117" t="str">
        <f>IF(IFERROR(VLOOKUP(TRIM(A1117),'Full Inventory'!F:F,1,0),0)=0,"X","_")</f>
        <v>X</v>
      </c>
      <c r="D1117" t="str">
        <f t="shared" si="68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F1117" t="str">
        <f t="shared" si="69"/>
        <v>_</v>
      </c>
      <c r="K1117" t="str">
        <f t="shared" ca="1" si="70"/>
        <v>_XX_</v>
      </c>
      <c r="L1117" t="str">
        <f t="shared" ca="1" si="71"/>
        <v/>
      </c>
      <c r="M1117" t="str">
        <f>IFERROR(INDEX(Inventory!A:A,MATCH(Scan!A1117,Inventory!E:E,0)),"")</f>
        <v/>
      </c>
    </row>
    <row r="1118" spans="2:13" x14ac:dyDescent="0.3">
      <c r="B1118" t="str">
        <f>IF(IFERROR(VLOOKUP(TRIM(A1118),Inventory!E:E,1,0),0)=0,"X","_")</f>
        <v>_</v>
      </c>
      <c r="C1118" t="str">
        <f>IF(IFERROR(VLOOKUP(TRIM(A1118),'Full Inventory'!F:F,1,0),0)=0,"X","_")</f>
        <v>X</v>
      </c>
      <c r="D1118" t="str">
        <f t="shared" si="68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F1118" t="str">
        <f t="shared" si="69"/>
        <v>_</v>
      </c>
      <c r="K1118" t="str">
        <f t="shared" ca="1" si="70"/>
        <v>_XX_</v>
      </c>
      <c r="L1118" t="str">
        <f t="shared" ca="1" si="71"/>
        <v/>
      </c>
      <c r="M1118" t="str">
        <f>IFERROR(INDEX(Inventory!A:A,MATCH(Scan!A1118,Inventory!E:E,0)),"")</f>
        <v/>
      </c>
    </row>
    <row r="1119" spans="2:13" x14ac:dyDescent="0.3">
      <c r="B1119" t="str">
        <f>IF(IFERROR(VLOOKUP(TRIM(A1119),Inventory!E:E,1,0),0)=0,"X","_")</f>
        <v>_</v>
      </c>
      <c r="C1119" t="str">
        <f>IF(IFERROR(VLOOKUP(TRIM(A1119),'Full Inventory'!F:F,1,0),0)=0,"X","_")</f>
        <v>X</v>
      </c>
      <c r="D1119" t="str">
        <f t="shared" si="68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F1119" t="str">
        <f t="shared" si="69"/>
        <v>_</v>
      </c>
      <c r="K1119" t="str">
        <f t="shared" ca="1" si="70"/>
        <v>_XX_</v>
      </c>
      <c r="L1119" t="str">
        <f t="shared" ca="1" si="71"/>
        <v/>
      </c>
      <c r="M1119" t="str">
        <f>IFERROR(INDEX(Inventory!A:A,MATCH(Scan!A1119,Inventory!E:E,0)),"")</f>
        <v/>
      </c>
    </row>
    <row r="1120" spans="2:13" x14ac:dyDescent="0.3">
      <c r="B1120" t="str">
        <f>IF(IFERROR(VLOOKUP(TRIM(A1120),Inventory!E:E,1,0),0)=0,"X","_")</f>
        <v>_</v>
      </c>
      <c r="C1120" t="str">
        <f>IF(IFERROR(VLOOKUP(TRIM(A1120),'Full Inventory'!F:F,1,0),0)=0,"X","_")</f>
        <v>X</v>
      </c>
      <c r="D1120" t="str">
        <f t="shared" si="68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F1120" t="str">
        <f t="shared" si="69"/>
        <v>_</v>
      </c>
      <c r="K1120" t="str">
        <f t="shared" ca="1" si="70"/>
        <v>_XX_</v>
      </c>
      <c r="L1120" t="str">
        <f t="shared" ca="1" si="71"/>
        <v/>
      </c>
      <c r="M1120" t="str">
        <f>IFERROR(INDEX(Inventory!A:A,MATCH(Scan!A1120,Inventory!E:E,0)),"")</f>
        <v/>
      </c>
    </row>
    <row r="1121" spans="2:13" x14ac:dyDescent="0.3">
      <c r="B1121" t="str">
        <f>IF(IFERROR(VLOOKUP(TRIM(A1121),Inventory!E:E,1,0),0)=0,"X","_")</f>
        <v>_</v>
      </c>
      <c r="C1121" t="str">
        <f>IF(IFERROR(VLOOKUP(TRIM(A1121),'Full Inventory'!F:F,1,0),0)=0,"X","_")</f>
        <v>X</v>
      </c>
      <c r="D1121" t="str">
        <f t="shared" si="68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F1121" t="str">
        <f t="shared" si="69"/>
        <v>_</v>
      </c>
      <c r="K1121" t="str">
        <f t="shared" ca="1" si="70"/>
        <v>_XX_</v>
      </c>
      <c r="L1121" t="str">
        <f t="shared" ca="1" si="71"/>
        <v/>
      </c>
      <c r="M1121" t="str">
        <f>IFERROR(INDEX(Inventory!A:A,MATCH(Scan!A1121,Inventory!E:E,0)),"")</f>
        <v/>
      </c>
    </row>
    <row r="1122" spans="2:13" x14ac:dyDescent="0.3">
      <c r="B1122" t="str">
        <f>IF(IFERROR(VLOOKUP(TRIM(A1122),Inventory!E:E,1,0),0)=0,"X","_")</f>
        <v>_</v>
      </c>
      <c r="C1122" t="str">
        <f>IF(IFERROR(VLOOKUP(TRIM(A1122),'Full Inventory'!F:F,1,0),0)=0,"X","_")</f>
        <v>X</v>
      </c>
      <c r="D1122" t="str">
        <f t="shared" si="68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F1122" t="str">
        <f t="shared" si="69"/>
        <v>_</v>
      </c>
      <c r="K1122" t="str">
        <f t="shared" ca="1" si="70"/>
        <v>_XX_</v>
      </c>
      <c r="L1122" t="str">
        <f t="shared" ca="1" si="71"/>
        <v/>
      </c>
      <c r="M1122" t="str">
        <f>IFERROR(INDEX(Inventory!A:A,MATCH(Scan!A1122,Inventory!E:E,0)),"")</f>
        <v/>
      </c>
    </row>
    <row r="1123" spans="2:13" x14ac:dyDescent="0.3">
      <c r="B1123" t="str">
        <f>IF(IFERROR(VLOOKUP(TRIM(A1123),Inventory!E:E,1,0),0)=0,"X","_")</f>
        <v>_</v>
      </c>
      <c r="C1123" t="str">
        <f>IF(IFERROR(VLOOKUP(TRIM(A1123),'Full Inventory'!F:F,1,0),0)=0,"X","_")</f>
        <v>X</v>
      </c>
      <c r="D1123" t="str">
        <f t="shared" si="68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F1123" t="str">
        <f t="shared" si="69"/>
        <v>_</v>
      </c>
      <c r="K1123" t="str">
        <f t="shared" ca="1" si="70"/>
        <v>_XX_</v>
      </c>
      <c r="L1123" t="str">
        <f t="shared" ca="1" si="71"/>
        <v/>
      </c>
      <c r="M1123" t="str">
        <f>IFERROR(INDEX(Inventory!A:A,MATCH(Scan!A1123,Inventory!E:E,0)),"")</f>
        <v/>
      </c>
    </row>
    <row r="1124" spans="2:13" x14ac:dyDescent="0.3">
      <c r="B1124" t="str">
        <f>IF(IFERROR(VLOOKUP(TRIM(A1124),Inventory!E:E,1,0),0)=0,"X","_")</f>
        <v>_</v>
      </c>
      <c r="C1124" t="str">
        <f>IF(IFERROR(VLOOKUP(TRIM(A1124),'Full Inventory'!F:F,1,0),0)=0,"X","_")</f>
        <v>X</v>
      </c>
      <c r="D1124" t="str">
        <f t="shared" si="68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F1124" t="str">
        <f t="shared" si="69"/>
        <v>_</v>
      </c>
      <c r="K1124" t="str">
        <f t="shared" ca="1" si="70"/>
        <v>_XX_</v>
      </c>
      <c r="L1124" t="str">
        <f t="shared" ca="1" si="71"/>
        <v/>
      </c>
      <c r="M1124" t="str">
        <f>IFERROR(INDEX(Inventory!A:A,MATCH(Scan!A1124,Inventory!E:E,0)),"")</f>
        <v/>
      </c>
    </row>
    <row r="1125" spans="2:13" x14ac:dyDescent="0.3">
      <c r="B1125" t="str">
        <f>IF(IFERROR(VLOOKUP(TRIM(A1125),Inventory!E:E,1,0),0)=0,"X","_")</f>
        <v>_</v>
      </c>
      <c r="C1125" t="str">
        <f>IF(IFERROR(VLOOKUP(TRIM(A1125),'Full Inventory'!F:F,1,0),0)=0,"X","_")</f>
        <v>X</v>
      </c>
      <c r="D1125" t="str">
        <f t="shared" si="68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F1125" t="str">
        <f t="shared" si="69"/>
        <v>_</v>
      </c>
      <c r="K1125" t="str">
        <f t="shared" ca="1" si="70"/>
        <v>_XX_</v>
      </c>
      <c r="L1125" t="str">
        <f t="shared" ca="1" si="71"/>
        <v/>
      </c>
      <c r="M1125" t="str">
        <f>IFERROR(INDEX(Inventory!A:A,MATCH(Scan!A1125,Inventory!E:E,0)),"")</f>
        <v/>
      </c>
    </row>
    <row r="1126" spans="2:13" x14ac:dyDescent="0.3">
      <c r="B1126" t="str">
        <f>IF(IFERROR(VLOOKUP(TRIM(A1126),Inventory!E:E,1,0),0)=0,"X","_")</f>
        <v>_</v>
      </c>
      <c r="C1126" t="str">
        <f>IF(IFERROR(VLOOKUP(TRIM(A1126),'Full Inventory'!F:F,1,0),0)=0,"X","_")</f>
        <v>X</v>
      </c>
      <c r="D1126" t="str">
        <f t="shared" si="68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F1126" t="str">
        <f t="shared" si="69"/>
        <v>_</v>
      </c>
      <c r="K1126" t="str">
        <f t="shared" ca="1" si="70"/>
        <v>_XX_</v>
      </c>
      <c r="L1126" t="str">
        <f t="shared" ca="1" si="71"/>
        <v/>
      </c>
      <c r="M1126" t="str">
        <f>IFERROR(INDEX(Inventory!A:A,MATCH(Scan!A1126,Inventory!E:E,0)),"")</f>
        <v/>
      </c>
    </row>
    <row r="1127" spans="2:13" x14ac:dyDescent="0.3">
      <c r="B1127" t="str">
        <f>IF(IFERROR(VLOOKUP(TRIM(A1127),Inventory!E:E,1,0),0)=0,"X","_")</f>
        <v>_</v>
      </c>
      <c r="C1127" t="str">
        <f>IF(IFERROR(VLOOKUP(TRIM(A1127),'Full Inventory'!F:F,1,0),0)=0,"X","_")</f>
        <v>X</v>
      </c>
      <c r="D1127" t="str">
        <f t="shared" si="68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F1127" t="str">
        <f t="shared" si="69"/>
        <v>_</v>
      </c>
      <c r="K1127" t="str">
        <f t="shared" ca="1" si="70"/>
        <v>_XX_</v>
      </c>
      <c r="L1127" t="str">
        <f t="shared" ca="1" si="71"/>
        <v/>
      </c>
      <c r="M1127" t="str">
        <f>IFERROR(INDEX(Inventory!A:A,MATCH(Scan!A1127,Inventory!E:E,0)),"")</f>
        <v/>
      </c>
    </row>
    <row r="1128" spans="2:13" x14ac:dyDescent="0.3">
      <c r="B1128" t="str">
        <f>IF(IFERROR(VLOOKUP(TRIM(A1128),Inventory!E:E,1,0),0)=0,"X","_")</f>
        <v>_</v>
      </c>
      <c r="C1128" t="str">
        <f>IF(IFERROR(VLOOKUP(TRIM(A1128),'Full Inventory'!F:F,1,0),0)=0,"X","_")</f>
        <v>X</v>
      </c>
      <c r="D1128" t="str">
        <f t="shared" si="68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F1128" t="str">
        <f t="shared" si="69"/>
        <v>_</v>
      </c>
      <c r="K1128" t="str">
        <f t="shared" ca="1" si="70"/>
        <v>_XX_</v>
      </c>
      <c r="L1128" t="str">
        <f t="shared" ca="1" si="71"/>
        <v/>
      </c>
      <c r="M1128" t="str">
        <f>IFERROR(INDEX(Inventory!A:A,MATCH(Scan!A1128,Inventory!E:E,0)),"")</f>
        <v/>
      </c>
    </row>
    <row r="1129" spans="2:13" x14ac:dyDescent="0.3">
      <c r="B1129" t="str">
        <f>IF(IFERROR(VLOOKUP(TRIM(A1129),Inventory!E:E,1,0),0)=0,"X","_")</f>
        <v>_</v>
      </c>
      <c r="C1129" t="str">
        <f>IF(IFERROR(VLOOKUP(TRIM(A1129),'Full Inventory'!F:F,1,0),0)=0,"X","_")</f>
        <v>X</v>
      </c>
      <c r="D1129" t="str">
        <f t="shared" si="68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F1129" t="str">
        <f t="shared" si="69"/>
        <v>_</v>
      </c>
      <c r="K1129" t="str">
        <f t="shared" ca="1" si="70"/>
        <v>_XX_</v>
      </c>
      <c r="L1129" t="str">
        <f t="shared" ca="1" si="71"/>
        <v/>
      </c>
      <c r="M1129" t="str">
        <f>IFERROR(INDEX(Inventory!A:A,MATCH(Scan!A1129,Inventory!E:E,0)),"")</f>
        <v/>
      </c>
    </row>
    <row r="1130" spans="2:13" x14ac:dyDescent="0.3">
      <c r="B1130" t="str">
        <f>IF(IFERROR(VLOOKUP(TRIM(A1130),Inventory!E:E,1,0),0)=0,"X","_")</f>
        <v>_</v>
      </c>
      <c r="C1130" t="str">
        <f>IF(IFERROR(VLOOKUP(TRIM(A1130),'Full Inventory'!F:F,1,0),0)=0,"X","_")</f>
        <v>X</v>
      </c>
      <c r="D1130" t="str">
        <f t="shared" si="68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F1130" t="str">
        <f t="shared" si="69"/>
        <v>_</v>
      </c>
      <c r="K1130" t="str">
        <f t="shared" ca="1" si="70"/>
        <v>_XX_</v>
      </c>
      <c r="L1130" t="str">
        <f t="shared" ca="1" si="71"/>
        <v/>
      </c>
      <c r="M1130" t="str">
        <f>IFERROR(INDEX(Inventory!A:A,MATCH(Scan!A1130,Inventory!E:E,0)),"")</f>
        <v/>
      </c>
    </row>
    <row r="1131" spans="2:13" x14ac:dyDescent="0.3">
      <c r="B1131" t="str">
        <f>IF(IFERROR(VLOOKUP(TRIM(A1131),Inventory!E:E,1,0),0)=0,"X","_")</f>
        <v>_</v>
      </c>
      <c r="C1131" t="str">
        <f>IF(IFERROR(VLOOKUP(TRIM(A1131),'Full Inventory'!F:F,1,0),0)=0,"X","_")</f>
        <v>X</v>
      </c>
      <c r="D1131" t="str">
        <f t="shared" si="68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F1131" t="str">
        <f t="shared" si="69"/>
        <v>_</v>
      </c>
      <c r="K1131" t="str">
        <f t="shared" ca="1" si="70"/>
        <v>_XX_</v>
      </c>
      <c r="L1131" t="str">
        <f t="shared" ca="1" si="71"/>
        <v/>
      </c>
      <c r="M1131" t="str">
        <f>IFERROR(INDEX(Inventory!A:A,MATCH(Scan!A1131,Inventory!E:E,0)),"")</f>
        <v/>
      </c>
    </row>
    <row r="1132" spans="2:13" x14ac:dyDescent="0.3">
      <c r="B1132" t="str">
        <f>IF(IFERROR(VLOOKUP(TRIM(A1132),Inventory!E:E,1,0),0)=0,"X","_")</f>
        <v>_</v>
      </c>
      <c r="C1132" t="str">
        <f>IF(IFERROR(VLOOKUP(TRIM(A1132),'Full Inventory'!F:F,1,0),0)=0,"X","_")</f>
        <v>X</v>
      </c>
      <c r="D1132" t="str">
        <f t="shared" si="68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F1132" t="str">
        <f t="shared" si="69"/>
        <v>_</v>
      </c>
      <c r="K1132" t="str">
        <f t="shared" ca="1" si="70"/>
        <v>_XX_</v>
      </c>
      <c r="L1132" t="str">
        <f t="shared" ca="1" si="71"/>
        <v/>
      </c>
      <c r="M1132" t="str">
        <f>IFERROR(INDEX(Inventory!A:A,MATCH(Scan!A1132,Inventory!E:E,0)),"")</f>
        <v/>
      </c>
    </row>
    <row r="1133" spans="2:13" x14ac:dyDescent="0.3">
      <c r="B1133" t="str">
        <f>IF(IFERROR(VLOOKUP(TRIM(A1133),Inventory!E:E,1,0),0)=0,"X","_")</f>
        <v>_</v>
      </c>
      <c r="C1133" t="str">
        <f>IF(IFERROR(VLOOKUP(TRIM(A1133),'Full Inventory'!F:F,1,0),0)=0,"X","_")</f>
        <v>X</v>
      </c>
      <c r="D1133" t="str">
        <f t="shared" si="68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F1133" t="str">
        <f t="shared" si="69"/>
        <v>_</v>
      </c>
      <c r="K1133" t="str">
        <f t="shared" ca="1" si="70"/>
        <v>_XX_</v>
      </c>
      <c r="L1133" t="str">
        <f t="shared" ca="1" si="71"/>
        <v/>
      </c>
      <c r="M1133" t="str">
        <f>IFERROR(INDEX(Inventory!A:A,MATCH(Scan!A1133,Inventory!E:E,0)),"")</f>
        <v/>
      </c>
    </row>
    <row r="1134" spans="2:13" x14ac:dyDescent="0.3">
      <c r="B1134" t="str">
        <f>IF(IFERROR(VLOOKUP(TRIM(A1134),Inventory!E:E,1,0),0)=0,"X","_")</f>
        <v>_</v>
      </c>
      <c r="C1134" t="str">
        <f>IF(IFERROR(VLOOKUP(TRIM(A1134),'Full Inventory'!F:F,1,0),0)=0,"X","_")</f>
        <v>X</v>
      </c>
      <c r="D1134" t="str">
        <f t="shared" si="68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F1134" t="str">
        <f t="shared" si="69"/>
        <v>_</v>
      </c>
      <c r="K1134" t="str">
        <f t="shared" ca="1" si="70"/>
        <v>_XX_</v>
      </c>
      <c r="L1134" t="str">
        <f t="shared" ca="1" si="71"/>
        <v/>
      </c>
      <c r="M1134" t="str">
        <f>IFERROR(INDEX(Inventory!A:A,MATCH(Scan!A1134,Inventory!E:E,0)),"")</f>
        <v/>
      </c>
    </row>
    <row r="1135" spans="2:13" x14ac:dyDescent="0.3">
      <c r="B1135" t="str">
        <f>IF(IFERROR(VLOOKUP(TRIM(A1135),Inventory!E:E,1,0),0)=0,"X","_")</f>
        <v>_</v>
      </c>
      <c r="C1135" t="str">
        <f>IF(IFERROR(VLOOKUP(TRIM(A1135),'Full Inventory'!F:F,1,0),0)=0,"X","_")</f>
        <v>X</v>
      </c>
      <c r="D1135" t="str">
        <f t="shared" si="68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F1135" t="str">
        <f t="shared" si="69"/>
        <v>_</v>
      </c>
      <c r="K1135" t="str">
        <f t="shared" ca="1" si="70"/>
        <v>_XX_</v>
      </c>
      <c r="L1135" t="str">
        <f t="shared" ca="1" si="71"/>
        <v/>
      </c>
      <c r="M1135" t="str">
        <f>IFERROR(INDEX(Inventory!A:A,MATCH(Scan!A1135,Inventory!E:E,0)),"")</f>
        <v/>
      </c>
    </row>
    <row r="1136" spans="2:13" x14ac:dyDescent="0.3">
      <c r="B1136" t="str">
        <f>IF(IFERROR(VLOOKUP(TRIM(A1136),Inventory!E:E,1,0),0)=0,"X","_")</f>
        <v>_</v>
      </c>
      <c r="C1136" t="str">
        <f>IF(IFERROR(VLOOKUP(TRIM(A1136),'Full Inventory'!F:F,1,0),0)=0,"X","_")</f>
        <v>X</v>
      </c>
      <c r="D1136" t="str">
        <f t="shared" si="68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F1136" t="str">
        <f t="shared" si="69"/>
        <v>_</v>
      </c>
      <c r="K1136" t="str">
        <f t="shared" ca="1" si="70"/>
        <v>_XX_</v>
      </c>
      <c r="L1136" t="str">
        <f t="shared" ca="1" si="71"/>
        <v/>
      </c>
      <c r="M1136" t="str">
        <f>IFERROR(INDEX(Inventory!A:A,MATCH(Scan!A1136,Inventory!E:E,0)),"")</f>
        <v/>
      </c>
    </row>
    <row r="1137" spans="2:13" x14ac:dyDescent="0.3">
      <c r="B1137" t="str">
        <f>IF(IFERROR(VLOOKUP(TRIM(A1137),Inventory!E:E,1,0),0)=0,"X","_")</f>
        <v>_</v>
      </c>
      <c r="C1137" t="str">
        <f>IF(IFERROR(VLOOKUP(TRIM(A1137),'Full Inventory'!F:F,1,0),0)=0,"X","_")</f>
        <v>X</v>
      </c>
      <c r="D1137" t="str">
        <f t="shared" si="68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F1137" t="str">
        <f t="shared" si="69"/>
        <v>_</v>
      </c>
      <c r="K1137" t="str">
        <f t="shared" ca="1" si="70"/>
        <v>_XX_</v>
      </c>
      <c r="L1137" t="str">
        <f t="shared" ca="1" si="71"/>
        <v/>
      </c>
      <c r="M1137" t="str">
        <f>IFERROR(INDEX(Inventory!A:A,MATCH(Scan!A1137,Inventory!E:E,0)),"")</f>
        <v/>
      </c>
    </row>
    <row r="1138" spans="2:13" x14ac:dyDescent="0.3">
      <c r="B1138" t="str">
        <f>IF(IFERROR(VLOOKUP(TRIM(A1138),Inventory!E:E,1,0),0)=0,"X","_")</f>
        <v>_</v>
      </c>
      <c r="C1138" t="str">
        <f>IF(IFERROR(VLOOKUP(TRIM(A1138),'Full Inventory'!F:F,1,0),0)=0,"X","_")</f>
        <v>X</v>
      </c>
      <c r="D1138" t="str">
        <f t="shared" si="68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F1138" t="str">
        <f t="shared" si="69"/>
        <v>_</v>
      </c>
      <c r="K1138" t="str">
        <f t="shared" ca="1" si="70"/>
        <v>_XX_</v>
      </c>
      <c r="L1138" t="str">
        <f t="shared" ca="1" si="71"/>
        <v/>
      </c>
      <c r="M1138" t="str">
        <f>IFERROR(INDEX(Inventory!A:A,MATCH(Scan!A1138,Inventory!E:E,0)),"")</f>
        <v/>
      </c>
    </row>
    <row r="1139" spans="2:13" x14ac:dyDescent="0.3">
      <c r="B1139" t="str">
        <f>IF(IFERROR(VLOOKUP(TRIM(A1139),Inventory!E:E,1,0),0)=0,"X","_")</f>
        <v>_</v>
      </c>
      <c r="C1139" t="str">
        <f>IF(IFERROR(VLOOKUP(TRIM(A1139),'Full Inventory'!F:F,1,0),0)=0,"X","_")</f>
        <v>X</v>
      </c>
      <c r="D1139" t="str">
        <f t="shared" si="68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F1139" t="str">
        <f t="shared" si="69"/>
        <v>_</v>
      </c>
      <c r="K1139" t="str">
        <f t="shared" ca="1" si="70"/>
        <v>_XX_</v>
      </c>
      <c r="L1139" t="str">
        <f t="shared" ca="1" si="71"/>
        <v/>
      </c>
      <c r="M1139" t="str">
        <f>IFERROR(INDEX(Inventory!A:A,MATCH(Scan!A1139,Inventory!E:E,0)),"")</f>
        <v/>
      </c>
    </row>
    <row r="1140" spans="2:13" x14ac:dyDescent="0.3">
      <c r="B1140" t="str">
        <f>IF(IFERROR(VLOOKUP(TRIM(A1140),Inventory!E:E,1,0),0)=0,"X","_")</f>
        <v>_</v>
      </c>
      <c r="C1140" t="str">
        <f>IF(IFERROR(VLOOKUP(TRIM(A1140),'Full Inventory'!F:F,1,0),0)=0,"X","_")</f>
        <v>X</v>
      </c>
      <c r="D1140" t="str">
        <f t="shared" si="68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F1140" t="str">
        <f t="shared" si="69"/>
        <v>_</v>
      </c>
      <c r="K1140" t="str">
        <f t="shared" ca="1" si="70"/>
        <v>_XX_</v>
      </c>
      <c r="L1140" t="str">
        <f t="shared" ca="1" si="71"/>
        <v/>
      </c>
      <c r="M1140" t="str">
        <f>IFERROR(INDEX(Inventory!A:A,MATCH(Scan!A1140,Inventory!E:E,0)),"")</f>
        <v/>
      </c>
    </row>
    <row r="1141" spans="2:13" x14ac:dyDescent="0.3">
      <c r="B1141" t="str">
        <f>IF(IFERROR(VLOOKUP(TRIM(A1141),Inventory!E:E,1,0),0)=0,"X","_")</f>
        <v>_</v>
      </c>
      <c r="C1141" t="str">
        <f>IF(IFERROR(VLOOKUP(TRIM(A1141),'Full Inventory'!F:F,1,0),0)=0,"X","_")</f>
        <v>X</v>
      </c>
      <c r="D1141" t="str">
        <f t="shared" si="68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F1141" t="str">
        <f t="shared" si="69"/>
        <v>_</v>
      </c>
      <c r="K1141" t="str">
        <f t="shared" ca="1" si="70"/>
        <v>_XX_</v>
      </c>
      <c r="L1141" t="str">
        <f t="shared" ca="1" si="71"/>
        <v/>
      </c>
      <c r="M1141" t="str">
        <f>IFERROR(INDEX(Inventory!A:A,MATCH(Scan!A1141,Inventory!E:E,0)),"")</f>
        <v/>
      </c>
    </row>
    <row r="1142" spans="2:13" x14ac:dyDescent="0.3">
      <c r="B1142" t="str">
        <f>IF(IFERROR(VLOOKUP(TRIM(A1142),Inventory!E:E,1,0),0)=0,"X","_")</f>
        <v>_</v>
      </c>
      <c r="C1142" t="str">
        <f>IF(IFERROR(VLOOKUP(TRIM(A1142),'Full Inventory'!F:F,1,0),0)=0,"X","_")</f>
        <v>X</v>
      </c>
      <c r="D1142" t="str">
        <f t="shared" si="68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F1142" t="str">
        <f t="shared" si="69"/>
        <v>_</v>
      </c>
      <c r="K1142" t="str">
        <f t="shared" ca="1" si="70"/>
        <v>_XX_</v>
      </c>
      <c r="L1142" t="str">
        <f t="shared" ca="1" si="71"/>
        <v/>
      </c>
      <c r="M1142" t="str">
        <f>IFERROR(INDEX(Inventory!A:A,MATCH(Scan!A1142,Inventory!E:E,0)),"")</f>
        <v/>
      </c>
    </row>
    <row r="1143" spans="2:13" x14ac:dyDescent="0.3">
      <c r="B1143" t="str">
        <f>IF(IFERROR(VLOOKUP(TRIM(A1143),Inventory!E:E,1,0),0)=0,"X","_")</f>
        <v>_</v>
      </c>
      <c r="C1143" t="str">
        <f>IF(IFERROR(VLOOKUP(TRIM(A1143),'Full Inventory'!F:F,1,0),0)=0,"X","_")</f>
        <v>X</v>
      </c>
      <c r="D1143" t="str">
        <f t="shared" si="68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F1143" t="str">
        <f t="shared" si="69"/>
        <v>_</v>
      </c>
      <c r="K1143" t="str">
        <f t="shared" ca="1" si="70"/>
        <v>_XX_</v>
      </c>
      <c r="L1143" t="str">
        <f t="shared" ca="1" si="71"/>
        <v/>
      </c>
      <c r="M1143" t="str">
        <f>IFERROR(INDEX(Inventory!A:A,MATCH(Scan!A1143,Inventory!E:E,0)),"")</f>
        <v/>
      </c>
    </row>
    <row r="1144" spans="2:13" x14ac:dyDescent="0.3">
      <c r="B1144" t="str">
        <f>IF(IFERROR(VLOOKUP(TRIM(A1144),Inventory!E:E,1,0),0)=0,"X","_")</f>
        <v>_</v>
      </c>
      <c r="C1144" t="str">
        <f>IF(IFERROR(VLOOKUP(TRIM(A1144),'Full Inventory'!F:F,1,0),0)=0,"X","_")</f>
        <v>X</v>
      </c>
      <c r="D1144" t="str">
        <f t="shared" si="68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F1144" t="str">
        <f t="shared" si="69"/>
        <v>_</v>
      </c>
      <c r="K1144" t="str">
        <f t="shared" ca="1" si="70"/>
        <v>_XX_</v>
      </c>
      <c r="L1144" t="str">
        <f t="shared" ca="1" si="71"/>
        <v/>
      </c>
      <c r="M1144" t="str">
        <f>IFERROR(INDEX(Inventory!A:A,MATCH(Scan!A1144,Inventory!E:E,0)),"")</f>
        <v/>
      </c>
    </row>
    <row r="1145" spans="2:13" x14ac:dyDescent="0.3">
      <c r="B1145" t="str">
        <f>IF(IFERROR(VLOOKUP(TRIM(A1145),Inventory!E:E,1,0),0)=0,"X","_")</f>
        <v>_</v>
      </c>
      <c r="C1145" t="str">
        <f>IF(IFERROR(VLOOKUP(TRIM(A1145),'Full Inventory'!F:F,1,0),0)=0,"X","_")</f>
        <v>X</v>
      </c>
      <c r="D1145" t="str">
        <f t="shared" si="68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F1145" t="str">
        <f t="shared" si="69"/>
        <v>_</v>
      </c>
      <c r="K1145" t="str">
        <f t="shared" ca="1" si="70"/>
        <v>_XX_</v>
      </c>
      <c r="L1145" t="str">
        <f t="shared" ca="1" si="71"/>
        <v/>
      </c>
      <c r="M1145" t="str">
        <f>IFERROR(INDEX(Inventory!A:A,MATCH(Scan!A1145,Inventory!E:E,0)),"")</f>
        <v/>
      </c>
    </row>
    <row r="1146" spans="2:13" x14ac:dyDescent="0.3">
      <c r="B1146" t="str">
        <f>IF(IFERROR(VLOOKUP(TRIM(A1146),Inventory!E:E,1,0),0)=0,"X","_")</f>
        <v>_</v>
      </c>
      <c r="C1146" t="str">
        <f>IF(IFERROR(VLOOKUP(TRIM(A1146),'Full Inventory'!F:F,1,0),0)=0,"X","_")</f>
        <v>X</v>
      </c>
      <c r="D1146" t="str">
        <f t="shared" si="68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F1146" t="str">
        <f t="shared" si="69"/>
        <v>_</v>
      </c>
      <c r="K1146" t="str">
        <f t="shared" ca="1" si="70"/>
        <v>_XX_</v>
      </c>
      <c r="L1146" t="str">
        <f t="shared" ca="1" si="71"/>
        <v/>
      </c>
      <c r="M1146" t="str">
        <f>IFERROR(INDEX(Inventory!A:A,MATCH(Scan!A1146,Inventory!E:E,0)),"")</f>
        <v/>
      </c>
    </row>
    <row r="1147" spans="2:13" x14ac:dyDescent="0.3">
      <c r="B1147" t="str">
        <f>IF(IFERROR(VLOOKUP(TRIM(A1147),Inventory!E:E,1,0),0)=0,"X","_")</f>
        <v>_</v>
      </c>
      <c r="C1147" t="str">
        <f>IF(IFERROR(VLOOKUP(TRIM(A1147),'Full Inventory'!F:F,1,0),0)=0,"X","_")</f>
        <v>X</v>
      </c>
      <c r="D1147" t="str">
        <f t="shared" si="68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F1147" t="str">
        <f t="shared" si="69"/>
        <v>_</v>
      </c>
      <c r="K1147" t="str">
        <f t="shared" ca="1" si="70"/>
        <v>_XX_</v>
      </c>
      <c r="L1147" t="str">
        <f t="shared" ca="1" si="71"/>
        <v/>
      </c>
      <c r="M1147" t="str">
        <f>IFERROR(INDEX(Inventory!A:A,MATCH(Scan!A1147,Inventory!E:E,0)),"")</f>
        <v/>
      </c>
    </row>
    <row r="1148" spans="2:13" x14ac:dyDescent="0.3">
      <c r="B1148" t="str">
        <f>IF(IFERROR(VLOOKUP(TRIM(A1148),Inventory!E:E,1,0),0)=0,"X","_")</f>
        <v>_</v>
      </c>
      <c r="C1148" t="str">
        <f>IF(IFERROR(VLOOKUP(TRIM(A1148),'Full Inventory'!F:F,1,0),0)=0,"X","_")</f>
        <v>X</v>
      </c>
      <c r="D1148" t="str">
        <f t="shared" si="68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F1148" t="str">
        <f t="shared" si="69"/>
        <v>_</v>
      </c>
      <c r="K1148" t="str">
        <f t="shared" ca="1" si="70"/>
        <v>_XX_</v>
      </c>
      <c r="L1148" t="str">
        <f t="shared" ca="1" si="71"/>
        <v/>
      </c>
      <c r="M1148" t="str">
        <f>IFERROR(INDEX(Inventory!A:A,MATCH(Scan!A1148,Inventory!E:E,0)),"")</f>
        <v/>
      </c>
    </row>
    <row r="1149" spans="2:13" x14ac:dyDescent="0.3">
      <c r="B1149" t="str">
        <f>IF(IFERROR(VLOOKUP(TRIM(A1149),Inventory!E:E,1,0),0)=0,"X","_")</f>
        <v>_</v>
      </c>
      <c r="C1149" t="str">
        <f>IF(IFERROR(VLOOKUP(TRIM(A1149),'Full Inventory'!F:F,1,0),0)=0,"X","_")</f>
        <v>X</v>
      </c>
      <c r="D1149" t="str">
        <f t="shared" si="68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F1149" t="str">
        <f t="shared" si="69"/>
        <v>_</v>
      </c>
      <c r="K1149" t="str">
        <f t="shared" ca="1" si="70"/>
        <v>_XX_</v>
      </c>
      <c r="L1149" t="str">
        <f t="shared" ca="1" si="71"/>
        <v/>
      </c>
      <c r="M1149" t="str">
        <f>IFERROR(INDEX(Inventory!A:A,MATCH(Scan!A1149,Inventory!E:E,0)),"")</f>
        <v/>
      </c>
    </row>
    <row r="1150" spans="2:13" x14ac:dyDescent="0.3">
      <c r="B1150" t="str">
        <f>IF(IFERROR(VLOOKUP(TRIM(A1150),Inventory!E:E,1,0),0)=0,"X","_")</f>
        <v>_</v>
      </c>
      <c r="C1150" t="str">
        <f>IF(IFERROR(VLOOKUP(TRIM(A1150),'Full Inventory'!F:F,1,0),0)=0,"X","_")</f>
        <v>X</v>
      </c>
      <c r="D1150" t="str">
        <f t="shared" si="68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F1150" t="str">
        <f t="shared" si="69"/>
        <v>_</v>
      </c>
      <c r="K1150" t="str">
        <f t="shared" ca="1" si="70"/>
        <v>_XX_</v>
      </c>
      <c r="L1150" t="str">
        <f t="shared" ca="1" si="71"/>
        <v/>
      </c>
      <c r="M1150" t="str">
        <f>IFERROR(INDEX(Inventory!A:A,MATCH(Scan!A1150,Inventory!E:E,0)),"")</f>
        <v/>
      </c>
    </row>
    <row r="1151" spans="2:13" x14ac:dyDescent="0.3">
      <c r="B1151" t="str">
        <f>IF(IFERROR(VLOOKUP(TRIM(A1151),Inventory!E:E,1,0),0)=0,"X","_")</f>
        <v>_</v>
      </c>
      <c r="C1151" t="str">
        <f>IF(IFERROR(VLOOKUP(TRIM(A1151),'Full Inventory'!F:F,1,0),0)=0,"X","_")</f>
        <v>X</v>
      </c>
      <c r="D1151" t="str">
        <f t="shared" si="68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F1151" t="str">
        <f t="shared" si="69"/>
        <v>_</v>
      </c>
      <c r="K1151" t="str">
        <f t="shared" ca="1" si="70"/>
        <v>_XX_</v>
      </c>
      <c r="L1151" t="str">
        <f t="shared" ca="1" si="71"/>
        <v/>
      </c>
      <c r="M1151" t="str">
        <f>IFERROR(INDEX(Inventory!A:A,MATCH(Scan!A1151,Inventory!E:E,0)),"")</f>
        <v/>
      </c>
    </row>
    <row r="1152" spans="2:13" x14ac:dyDescent="0.3">
      <c r="B1152" t="str">
        <f>IF(IFERROR(VLOOKUP(TRIM(A1152),Inventory!E:E,1,0),0)=0,"X","_")</f>
        <v>_</v>
      </c>
      <c r="C1152" t="str">
        <f>IF(IFERROR(VLOOKUP(TRIM(A1152),'Full Inventory'!F:F,1,0),0)=0,"X","_")</f>
        <v>X</v>
      </c>
      <c r="D1152" t="str">
        <f t="shared" si="68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F1152" t="str">
        <f t="shared" si="69"/>
        <v>_</v>
      </c>
      <c r="K1152" t="str">
        <f t="shared" ca="1" si="70"/>
        <v>_XX_</v>
      </c>
      <c r="L1152" t="str">
        <f t="shared" ca="1" si="71"/>
        <v/>
      </c>
      <c r="M1152" t="str">
        <f>IFERROR(INDEX(Inventory!A:A,MATCH(Scan!A1152,Inventory!E:E,0)),"")</f>
        <v/>
      </c>
    </row>
    <row r="1153" spans="2:13" x14ac:dyDescent="0.3">
      <c r="B1153" t="str">
        <f>IF(IFERROR(VLOOKUP(TRIM(A1153),Inventory!E:E,1,0),0)=0,"X","_")</f>
        <v>_</v>
      </c>
      <c r="C1153" t="str">
        <f>IF(IFERROR(VLOOKUP(TRIM(A1153),'Full Inventory'!F:F,1,0),0)=0,"X","_")</f>
        <v>X</v>
      </c>
      <c r="D1153" t="str">
        <f t="shared" si="68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F1153" t="str">
        <f t="shared" si="69"/>
        <v>_</v>
      </c>
      <c r="K1153" t="str">
        <f t="shared" ca="1" si="70"/>
        <v>_XX_</v>
      </c>
      <c r="L1153" t="str">
        <f t="shared" ca="1" si="71"/>
        <v/>
      </c>
      <c r="M1153" t="str">
        <f>IFERROR(INDEX(Inventory!A:A,MATCH(Scan!A1153,Inventory!E:E,0)),"")</f>
        <v/>
      </c>
    </row>
    <row r="1154" spans="2:13" x14ac:dyDescent="0.3">
      <c r="B1154" t="str">
        <f>IF(IFERROR(VLOOKUP(TRIM(A1154),Inventory!E:E,1,0),0)=0,"X","_")</f>
        <v>_</v>
      </c>
      <c r="C1154" t="str">
        <f>IF(IFERROR(VLOOKUP(TRIM(A1154),'Full Inventory'!F:F,1,0),0)=0,"X","_")</f>
        <v>X</v>
      </c>
      <c r="D1154" t="str">
        <f t="shared" ref="D1154:D1217" si="72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F1154" t="str">
        <f t="shared" si="69"/>
        <v>_</v>
      </c>
      <c r="K1154" t="str">
        <f t="shared" ca="1" si="70"/>
        <v>_XX_</v>
      </c>
      <c r="L1154" t="str">
        <f t="shared" ca="1" si="71"/>
        <v/>
      </c>
      <c r="M1154" t="str">
        <f>IFERROR(INDEX(Inventory!A:A,MATCH(Scan!A1154,Inventory!E:E,0)),"")</f>
        <v/>
      </c>
    </row>
    <row r="1155" spans="2:13" x14ac:dyDescent="0.3">
      <c r="B1155" t="str">
        <f>IF(IFERROR(VLOOKUP(TRIM(A1155),Inventory!E:E,1,0),0)=0,"X","_")</f>
        <v>_</v>
      </c>
      <c r="C1155" t="str">
        <f>IF(IFERROR(VLOOKUP(TRIM(A1155),'Full Inventory'!F:F,1,0),0)=0,"X","_")</f>
        <v>X</v>
      </c>
      <c r="D1155" t="str">
        <f t="shared" si="72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F1155" t="str">
        <f t="shared" ref="F1155:F1218" si="73">IF(IFERROR(SEARCH("ö",A1155),0)&gt;0,"X","_")</f>
        <v>_</v>
      </c>
      <c r="K1155" t="str">
        <f t="shared" ref="K1155:K1218" ca="1" si="74">B1155&amp;C1155&amp;D1155&amp;E1155</f>
        <v>_XX_</v>
      </c>
      <c r="L1155" t="str">
        <f t="shared" ref="L1155:L1218" ca="1" si="75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3">
      <c r="B1156" t="str">
        <f>IF(IFERROR(VLOOKUP(TRIM(A1156),Inventory!E:E,1,0),0)=0,"X","_")</f>
        <v>_</v>
      </c>
      <c r="C1156" t="str">
        <f>IF(IFERROR(VLOOKUP(TRIM(A1156),'Full Inventory'!F:F,1,0),0)=0,"X","_")</f>
        <v>X</v>
      </c>
      <c r="D1156" t="str">
        <f t="shared" si="72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F1156" t="str">
        <f t="shared" si="73"/>
        <v>_</v>
      </c>
      <c r="K1156" t="str">
        <f t="shared" ca="1" si="74"/>
        <v>_XX_</v>
      </c>
      <c r="L1156" t="str">
        <f t="shared" ca="1" si="75"/>
        <v/>
      </c>
      <c r="M1156" t="str">
        <f>IFERROR(INDEX(Inventory!A:A,MATCH(Scan!A1156,Inventory!E:E,0)),"")</f>
        <v/>
      </c>
    </row>
    <row r="1157" spans="2:13" x14ac:dyDescent="0.3">
      <c r="B1157" t="str">
        <f>IF(IFERROR(VLOOKUP(TRIM(A1157),Inventory!E:E,1,0),0)=0,"X","_")</f>
        <v>_</v>
      </c>
      <c r="C1157" t="str">
        <f>IF(IFERROR(VLOOKUP(TRIM(A1157),'Full Inventory'!F:F,1,0),0)=0,"X","_")</f>
        <v>X</v>
      </c>
      <c r="D1157" t="str">
        <f t="shared" si="72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F1157" t="str">
        <f t="shared" si="73"/>
        <v>_</v>
      </c>
      <c r="K1157" t="str">
        <f t="shared" ca="1" si="74"/>
        <v>_XX_</v>
      </c>
      <c r="L1157" t="str">
        <f t="shared" ca="1" si="75"/>
        <v/>
      </c>
      <c r="M1157" t="str">
        <f>IFERROR(INDEX(Inventory!A:A,MATCH(Scan!A1157,Inventory!E:E,0)),"")</f>
        <v/>
      </c>
    </row>
    <row r="1158" spans="2:13" x14ac:dyDescent="0.3">
      <c r="B1158" t="str">
        <f>IF(IFERROR(VLOOKUP(TRIM(A1158),Inventory!E:E,1,0),0)=0,"X","_")</f>
        <v>_</v>
      </c>
      <c r="C1158" t="str">
        <f>IF(IFERROR(VLOOKUP(TRIM(A1158),'Full Inventory'!F:F,1,0),0)=0,"X","_")</f>
        <v>X</v>
      </c>
      <c r="D1158" t="str">
        <f t="shared" si="72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F1158" t="str">
        <f t="shared" si="73"/>
        <v>_</v>
      </c>
      <c r="K1158" t="str">
        <f t="shared" ca="1" si="74"/>
        <v>_XX_</v>
      </c>
      <c r="L1158" t="str">
        <f t="shared" ca="1" si="75"/>
        <v/>
      </c>
      <c r="M1158" t="str">
        <f>IFERROR(INDEX(Inventory!A:A,MATCH(Scan!A1158,Inventory!E:E,0)),"")</f>
        <v/>
      </c>
    </row>
    <row r="1159" spans="2:13" x14ac:dyDescent="0.3">
      <c r="B1159" t="str">
        <f>IF(IFERROR(VLOOKUP(TRIM(A1159),Inventory!E:E,1,0),0)=0,"X","_")</f>
        <v>_</v>
      </c>
      <c r="C1159" t="str">
        <f>IF(IFERROR(VLOOKUP(TRIM(A1159),'Full Inventory'!F:F,1,0),0)=0,"X","_")</f>
        <v>X</v>
      </c>
      <c r="D1159" t="str">
        <f t="shared" si="72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F1159" t="str">
        <f t="shared" si="73"/>
        <v>_</v>
      </c>
      <c r="K1159" t="str">
        <f t="shared" ca="1" si="74"/>
        <v>_XX_</v>
      </c>
      <c r="L1159" t="str">
        <f t="shared" ca="1" si="75"/>
        <v/>
      </c>
      <c r="M1159" t="str">
        <f>IFERROR(INDEX(Inventory!A:A,MATCH(Scan!A1159,Inventory!E:E,0)),"")</f>
        <v/>
      </c>
    </row>
    <row r="1160" spans="2:13" x14ac:dyDescent="0.3">
      <c r="B1160" t="str">
        <f>IF(IFERROR(VLOOKUP(TRIM(A1160),Inventory!E:E,1,0),0)=0,"X","_")</f>
        <v>_</v>
      </c>
      <c r="C1160" t="str">
        <f>IF(IFERROR(VLOOKUP(TRIM(A1160),'Full Inventory'!F:F,1,0),0)=0,"X","_")</f>
        <v>X</v>
      </c>
      <c r="D1160" t="str">
        <f t="shared" si="72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F1160" t="str">
        <f t="shared" si="73"/>
        <v>_</v>
      </c>
      <c r="K1160" t="str">
        <f t="shared" ca="1" si="74"/>
        <v>_XX_</v>
      </c>
      <c r="L1160" t="str">
        <f t="shared" ca="1" si="75"/>
        <v/>
      </c>
      <c r="M1160" t="str">
        <f>IFERROR(INDEX(Inventory!A:A,MATCH(Scan!A1160,Inventory!E:E,0)),"")</f>
        <v/>
      </c>
    </row>
    <row r="1161" spans="2:13" x14ac:dyDescent="0.3">
      <c r="B1161" t="str">
        <f>IF(IFERROR(VLOOKUP(TRIM(A1161),Inventory!E:E,1,0),0)=0,"X","_")</f>
        <v>_</v>
      </c>
      <c r="C1161" t="str">
        <f>IF(IFERROR(VLOOKUP(TRIM(A1161),'Full Inventory'!F:F,1,0),0)=0,"X","_")</f>
        <v>X</v>
      </c>
      <c r="D1161" t="str">
        <f t="shared" si="72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F1161" t="str">
        <f t="shared" si="73"/>
        <v>_</v>
      </c>
      <c r="K1161" t="str">
        <f t="shared" ca="1" si="74"/>
        <v>_XX_</v>
      </c>
      <c r="L1161" t="str">
        <f t="shared" ca="1" si="75"/>
        <v/>
      </c>
      <c r="M1161" t="str">
        <f>IFERROR(INDEX(Inventory!A:A,MATCH(Scan!A1161,Inventory!E:E,0)),"")</f>
        <v/>
      </c>
    </row>
    <row r="1162" spans="2:13" x14ac:dyDescent="0.3">
      <c r="B1162" t="str">
        <f>IF(IFERROR(VLOOKUP(TRIM(A1162),Inventory!E:E,1,0),0)=0,"X","_")</f>
        <v>_</v>
      </c>
      <c r="C1162" t="str">
        <f>IF(IFERROR(VLOOKUP(TRIM(A1162),'Full Inventory'!F:F,1,0),0)=0,"X","_")</f>
        <v>X</v>
      </c>
      <c r="D1162" t="str">
        <f t="shared" si="72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F1162" t="str">
        <f t="shared" si="73"/>
        <v>_</v>
      </c>
      <c r="K1162" t="str">
        <f t="shared" ca="1" si="74"/>
        <v>_XX_</v>
      </c>
      <c r="L1162" t="str">
        <f t="shared" ca="1" si="75"/>
        <v/>
      </c>
      <c r="M1162" t="str">
        <f>IFERROR(INDEX(Inventory!A:A,MATCH(Scan!A1162,Inventory!E:E,0)),"")</f>
        <v/>
      </c>
    </row>
    <row r="1163" spans="2:13" x14ac:dyDescent="0.3">
      <c r="B1163" t="str">
        <f>IF(IFERROR(VLOOKUP(TRIM(A1163),Inventory!E:E,1,0),0)=0,"X","_")</f>
        <v>_</v>
      </c>
      <c r="C1163" t="str">
        <f>IF(IFERROR(VLOOKUP(TRIM(A1163),'Full Inventory'!F:F,1,0),0)=0,"X","_")</f>
        <v>X</v>
      </c>
      <c r="D1163" t="str">
        <f t="shared" si="72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F1163" t="str">
        <f t="shared" si="73"/>
        <v>_</v>
      </c>
      <c r="K1163" t="str">
        <f t="shared" ca="1" si="74"/>
        <v>_XX_</v>
      </c>
      <c r="L1163" t="str">
        <f t="shared" ca="1" si="75"/>
        <v/>
      </c>
      <c r="M1163" t="str">
        <f>IFERROR(INDEX(Inventory!A:A,MATCH(Scan!A1163,Inventory!E:E,0)),"")</f>
        <v/>
      </c>
    </row>
    <row r="1164" spans="2:13" x14ac:dyDescent="0.3">
      <c r="B1164" t="str">
        <f>IF(IFERROR(VLOOKUP(TRIM(A1164),Inventory!E:E,1,0),0)=0,"X","_")</f>
        <v>_</v>
      </c>
      <c r="C1164" t="str">
        <f>IF(IFERROR(VLOOKUP(TRIM(A1164),'Full Inventory'!F:F,1,0),0)=0,"X","_")</f>
        <v>X</v>
      </c>
      <c r="D1164" t="str">
        <f t="shared" si="72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F1164" t="str">
        <f t="shared" si="73"/>
        <v>_</v>
      </c>
      <c r="K1164" t="str">
        <f t="shared" ca="1" si="74"/>
        <v>_XX_</v>
      </c>
      <c r="L1164" t="str">
        <f t="shared" ca="1" si="75"/>
        <v/>
      </c>
      <c r="M1164" t="str">
        <f>IFERROR(INDEX(Inventory!A:A,MATCH(Scan!A1164,Inventory!E:E,0)),"")</f>
        <v/>
      </c>
    </row>
    <row r="1165" spans="2:13" x14ac:dyDescent="0.3">
      <c r="B1165" t="str">
        <f>IF(IFERROR(VLOOKUP(TRIM(A1165),Inventory!E:E,1,0),0)=0,"X","_")</f>
        <v>_</v>
      </c>
      <c r="C1165" t="str">
        <f>IF(IFERROR(VLOOKUP(TRIM(A1165),'Full Inventory'!F:F,1,0),0)=0,"X","_")</f>
        <v>X</v>
      </c>
      <c r="D1165" t="str">
        <f t="shared" si="72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F1165" t="str">
        <f t="shared" si="73"/>
        <v>_</v>
      </c>
      <c r="K1165" t="str">
        <f t="shared" ca="1" si="74"/>
        <v>_XX_</v>
      </c>
      <c r="L1165" t="str">
        <f t="shared" ca="1" si="75"/>
        <v/>
      </c>
      <c r="M1165" t="str">
        <f>IFERROR(INDEX(Inventory!A:A,MATCH(Scan!A1165,Inventory!E:E,0)),"")</f>
        <v/>
      </c>
    </row>
    <row r="1166" spans="2:13" x14ac:dyDescent="0.3">
      <c r="B1166" t="str">
        <f>IF(IFERROR(VLOOKUP(TRIM(A1166),Inventory!E:E,1,0),0)=0,"X","_")</f>
        <v>_</v>
      </c>
      <c r="C1166" t="str">
        <f>IF(IFERROR(VLOOKUP(TRIM(A1166),'Full Inventory'!F:F,1,0),0)=0,"X","_")</f>
        <v>X</v>
      </c>
      <c r="D1166" t="str">
        <f t="shared" si="72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F1166" t="str">
        <f t="shared" si="73"/>
        <v>_</v>
      </c>
      <c r="K1166" t="str">
        <f t="shared" ca="1" si="74"/>
        <v>_XX_</v>
      </c>
      <c r="L1166" t="str">
        <f t="shared" ca="1" si="75"/>
        <v/>
      </c>
      <c r="M1166" t="str">
        <f>IFERROR(INDEX(Inventory!A:A,MATCH(Scan!A1166,Inventory!E:E,0)),"")</f>
        <v/>
      </c>
    </row>
    <row r="1167" spans="2:13" x14ac:dyDescent="0.3">
      <c r="B1167" t="str">
        <f>IF(IFERROR(VLOOKUP(TRIM(A1167),Inventory!E:E,1,0),0)=0,"X","_")</f>
        <v>_</v>
      </c>
      <c r="C1167" t="str">
        <f>IF(IFERROR(VLOOKUP(TRIM(A1167),'Full Inventory'!F:F,1,0),0)=0,"X","_")</f>
        <v>X</v>
      </c>
      <c r="D1167" t="str">
        <f t="shared" si="72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F1167" t="str">
        <f t="shared" si="73"/>
        <v>_</v>
      </c>
      <c r="K1167" t="str">
        <f t="shared" ca="1" si="74"/>
        <v>_XX_</v>
      </c>
      <c r="L1167" t="str">
        <f t="shared" ca="1" si="75"/>
        <v/>
      </c>
      <c r="M1167" t="str">
        <f>IFERROR(INDEX(Inventory!A:A,MATCH(Scan!A1167,Inventory!E:E,0)),"")</f>
        <v/>
      </c>
    </row>
    <row r="1168" spans="2:13" x14ac:dyDescent="0.3">
      <c r="B1168" t="str">
        <f>IF(IFERROR(VLOOKUP(TRIM(A1168),Inventory!E:E,1,0),0)=0,"X","_")</f>
        <v>_</v>
      </c>
      <c r="C1168" t="str">
        <f>IF(IFERROR(VLOOKUP(TRIM(A1168),'Full Inventory'!F:F,1,0),0)=0,"X","_")</f>
        <v>X</v>
      </c>
      <c r="D1168" t="str">
        <f t="shared" si="72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F1168" t="str">
        <f t="shared" si="73"/>
        <v>_</v>
      </c>
      <c r="K1168" t="str">
        <f t="shared" ca="1" si="74"/>
        <v>_XX_</v>
      </c>
      <c r="L1168" t="str">
        <f t="shared" ca="1" si="75"/>
        <v/>
      </c>
      <c r="M1168" t="str">
        <f>IFERROR(INDEX(Inventory!A:A,MATCH(Scan!A1168,Inventory!E:E,0)),"")</f>
        <v/>
      </c>
    </row>
    <row r="1169" spans="2:13" x14ac:dyDescent="0.3">
      <c r="B1169" t="str">
        <f>IF(IFERROR(VLOOKUP(TRIM(A1169),Inventory!E:E,1,0),0)=0,"X","_")</f>
        <v>_</v>
      </c>
      <c r="C1169" t="str">
        <f>IF(IFERROR(VLOOKUP(TRIM(A1169),'Full Inventory'!F:F,1,0),0)=0,"X","_")</f>
        <v>X</v>
      </c>
      <c r="D1169" t="str">
        <f t="shared" si="72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F1169" t="str">
        <f t="shared" si="73"/>
        <v>_</v>
      </c>
      <c r="K1169" t="str">
        <f t="shared" ca="1" si="74"/>
        <v>_XX_</v>
      </c>
      <c r="L1169" t="str">
        <f t="shared" ca="1" si="75"/>
        <v/>
      </c>
      <c r="M1169" t="str">
        <f>IFERROR(INDEX(Inventory!A:A,MATCH(Scan!A1169,Inventory!E:E,0)),"")</f>
        <v/>
      </c>
    </row>
    <row r="1170" spans="2:13" x14ac:dyDescent="0.3">
      <c r="B1170" t="str">
        <f>IF(IFERROR(VLOOKUP(TRIM(A1170),Inventory!E:E,1,0),0)=0,"X","_")</f>
        <v>_</v>
      </c>
      <c r="C1170" t="str">
        <f>IF(IFERROR(VLOOKUP(TRIM(A1170),'Full Inventory'!F:F,1,0),0)=0,"X","_")</f>
        <v>X</v>
      </c>
      <c r="D1170" t="str">
        <f t="shared" si="72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F1170" t="str">
        <f t="shared" si="73"/>
        <v>_</v>
      </c>
      <c r="K1170" t="str">
        <f t="shared" ca="1" si="74"/>
        <v>_XX_</v>
      </c>
      <c r="L1170" t="str">
        <f t="shared" ca="1" si="75"/>
        <v/>
      </c>
      <c r="M1170" t="str">
        <f>IFERROR(INDEX(Inventory!A:A,MATCH(Scan!A1170,Inventory!E:E,0)),"")</f>
        <v/>
      </c>
    </row>
    <row r="1171" spans="2:13" x14ac:dyDescent="0.3">
      <c r="B1171" t="str">
        <f>IF(IFERROR(VLOOKUP(TRIM(A1171),Inventory!E:E,1,0),0)=0,"X","_")</f>
        <v>_</v>
      </c>
      <c r="C1171" t="str">
        <f>IF(IFERROR(VLOOKUP(TRIM(A1171),'Full Inventory'!F:F,1,0),0)=0,"X","_")</f>
        <v>X</v>
      </c>
      <c r="D1171" t="str">
        <f t="shared" si="72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F1171" t="str">
        <f t="shared" si="73"/>
        <v>_</v>
      </c>
      <c r="K1171" t="str">
        <f t="shared" ca="1" si="74"/>
        <v>_XX_</v>
      </c>
      <c r="L1171" t="str">
        <f t="shared" ca="1" si="75"/>
        <v/>
      </c>
      <c r="M1171" t="str">
        <f>IFERROR(INDEX(Inventory!A:A,MATCH(Scan!A1171,Inventory!E:E,0)),"")</f>
        <v/>
      </c>
    </row>
    <row r="1172" spans="2:13" x14ac:dyDescent="0.3">
      <c r="B1172" t="str">
        <f>IF(IFERROR(VLOOKUP(TRIM(A1172),Inventory!E:E,1,0),0)=0,"X","_")</f>
        <v>_</v>
      </c>
      <c r="C1172" t="str">
        <f>IF(IFERROR(VLOOKUP(TRIM(A1172),'Full Inventory'!F:F,1,0),0)=0,"X","_")</f>
        <v>X</v>
      </c>
      <c r="D1172" t="str">
        <f t="shared" si="72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F1172" t="str">
        <f t="shared" si="73"/>
        <v>_</v>
      </c>
      <c r="K1172" t="str">
        <f t="shared" ca="1" si="74"/>
        <v>_XX_</v>
      </c>
      <c r="L1172" t="str">
        <f t="shared" ca="1" si="75"/>
        <v/>
      </c>
      <c r="M1172" t="str">
        <f>IFERROR(INDEX(Inventory!A:A,MATCH(Scan!A1172,Inventory!E:E,0)),"")</f>
        <v/>
      </c>
    </row>
    <row r="1173" spans="2:13" x14ac:dyDescent="0.3">
      <c r="B1173" t="str">
        <f>IF(IFERROR(VLOOKUP(TRIM(A1173),Inventory!E:E,1,0),0)=0,"X","_")</f>
        <v>_</v>
      </c>
      <c r="C1173" t="str">
        <f>IF(IFERROR(VLOOKUP(TRIM(A1173),'Full Inventory'!F:F,1,0),0)=0,"X","_")</f>
        <v>X</v>
      </c>
      <c r="D1173" t="str">
        <f t="shared" si="72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F1173" t="str">
        <f t="shared" si="73"/>
        <v>_</v>
      </c>
      <c r="K1173" t="str">
        <f t="shared" ca="1" si="74"/>
        <v>_XX_</v>
      </c>
      <c r="L1173" t="str">
        <f t="shared" ca="1" si="75"/>
        <v/>
      </c>
      <c r="M1173" t="str">
        <f>IFERROR(INDEX(Inventory!A:A,MATCH(Scan!A1173,Inventory!E:E,0)),"")</f>
        <v/>
      </c>
    </row>
    <row r="1174" spans="2:13" x14ac:dyDescent="0.3">
      <c r="B1174" t="str">
        <f>IF(IFERROR(VLOOKUP(TRIM(A1174),Inventory!E:E,1,0),0)=0,"X","_")</f>
        <v>_</v>
      </c>
      <c r="C1174" t="str">
        <f>IF(IFERROR(VLOOKUP(TRIM(A1174),'Full Inventory'!F:F,1,0),0)=0,"X","_")</f>
        <v>X</v>
      </c>
      <c r="D1174" t="str">
        <f t="shared" si="72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F1174" t="str">
        <f t="shared" si="73"/>
        <v>_</v>
      </c>
      <c r="K1174" t="str">
        <f t="shared" ca="1" si="74"/>
        <v>_XX_</v>
      </c>
      <c r="L1174" t="str">
        <f t="shared" ca="1" si="75"/>
        <v/>
      </c>
      <c r="M1174" t="str">
        <f>IFERROR(INDEX(Inventory!A:A,MATCH(Scan!A1174,Inventory!E:E,0)),"")</f>
        <v/>
      </c>
    </row>
    <row r="1175" spans="2:13" x14ac:dyDescent="0.3">
      <c r="B1175" t="str">
        <f>IF(IFERROR(VLOOKUP(TRIM(A1175),Inventory!E:E,1,0),0)=0,"X","_")</f>
        <v>_</v>
      </c>
      <c r="C1175" t="str">
        <f>IF(IFERROR(VLOOKUP(TRIM(A1175),'Full Inventory'!F:F,1,0),0)=0,"X","_")</f>
        <v>X</v>
      </c>
      <c r="D1175" t="str">
        <f t="shared" si="72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F1175" t="str">
        <f t="shared" si="73"/>
        <v>_</v>
      </c>
      <c r="K1175" t="str">
        <f t="shared" ca="1" si="74"/>
        <v>_XX_</v>
      </c>
      <c r="L1175" t="str">
        <f t="shared" ca="1" si="75"/>
        <v/>
      </c>
      <c r="M1175" t="str">
        <f>IFERROR(INDEX(Inventory!A:A,MATCH(Scan!A1175,Inventory!E:E,0)),"")</f>
        <v/>
      </c>
    </row>
    <row r="1176" spans="2:13" x14ac:dyDescent="0.3">
      <c r="B1176" t="str">
        <f>IF(IFERROR(VLOOKUP(TRIM(A1176),Inventory!E:E,1,0),0)=0,"X","_")</f>
        <v>_</v>
      </c>
      <c r="C1176" t="str">
        <f>IF(IFERROR(VLOOKUP(TRIM(A1176),'Full Inventory'!F:F,1,0),0)=0,"X","_")</f>
        <v>X</v>
      </c>
      <c r="D1176" t="str">
        <f t="shared" si="72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F1176" t="str">
        <f t="shared" si="73"/>
        <v>_</v>
      </c>
      <c r="K1176" t="str">
        <f t="shared" ca="1" si="74"/>
        <v>_XX_</v>
      </c>
      <c r="L1176" t="str">
        <f t="shared" ca="1" si="75"/>
        <v/>
      </c>
      <c r="M1176" t="str">
        <f>IFERROR(INDEX(Inventory!A:A,MATCH(Scan!A1176,Inventory!E:E,0)),"")</f>
        <v/>
      </c>
    </row>
    <row r="1177" spans="2:13" x14ac:dyDescent="0.3">
      <c r="B1177" t="str">
        <f>IF(IFERROR(VLOOKUP(TRIM(A1177),Inventory!E:E,1,0),0)=0,"X","_")</f>
        <v>_</v>
      </c>
      <c r="C1177" t="str">
        <f>IF(IFERROR(VLOOKUP(TRIM(A1177),'Full Inventory'!F:F,1,0),0)=0,"X","_")</f>
        <v>X</v>
      </c>
      <c r="D1177" t="str">
        <f t="shared" si="72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F1177" t="str">
        <f t="shared" si="73"/>
        <v>_</v>
      </c>
      <c r="K1177" t="str">
        <f t="shared" ca="1" si="74"/>
        <v>_XX_</v>
      </c>
      <c r="L1177" t="str">
        <f t="shared" ca="1" si="75"/>
        <v/>
      </c>
      <c r="M1177" t="str">
        <f>IFERROR(INDEX(Inventory!A:A,MATCH(Scan!A1177,Inventory!E:E,0)),"")</f>
        <v/>
      </c>
    </row>
    <row r="1178" spans="2:13" x14ac:dyDescent="0.3">
      <c r="B1178" t="str">
        <f>IF(IFERROR(VLOOKUP(TRIM(A1178),Inventory!E:E,1,0),0)=0,"X","_")</f>
        <v>_</v>
      </c>
      <c r="C1178" t="str">
        <f>IF(IFERROR(VLOOKUP(TRIM(A1178),'Full Inventory'!F:F,1,0),0)=0,"X","_")</f>
        <v>X</v>
      </c>
      <c r="D1178" t="str">
        <f t="shared" si="72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F1178" t="str">
        <f t="shared" si="73"/>
        <v>_</v>
      </c>
      <c r="K1178" t="str">
        <f t="shared" ca="1" si="74"/>
        <v>_XX_</v>
      </c>
      <c r="L1178" t="str">
        <f t="shared" ca="1" si="75"/>
        <v/>
      </c>
      <c r="M1178" t="str">
        <f>IFERROR(INDEX(Inventory!A:A,MATCH(Scan!A1178,Inventory!E:E,0)),"")</f>
        <v/>
      </c>
    </row>
    <row r="1179" spans="2:13" x14ac:dyDescent="0.3">
      <c r="B1179" t="str">
        <f>IF(IFERROR(VLOOKUP(TRIM(A1179),Inventory!E:E,1,0),0)=0,"X","_")</f>
        <v>_</v>
      </c>
      <c r="C1179" t="str">
        <f>IF(IFERROR(VLOOKUP(TRIM(A1179),'Full Inventory'!F:F,1,0),0)=0,"X","_")</f>
        <v>X</v>
      </c>
      <c r="D1179" t="str">
        <f t="shared" si="72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F1179" t="str">
        <f t="shared" si="73"/>
        <v>_</v>
      </c>
      <c r="K1179" t="str">
        <f t="shared" ca="1" si="74"/>
        <v>_XX_</v>
      </c>
      <c r="L1179" t="str">
        <f t="shared" ca="1" si="75"/>
        <v/>
      </c>
      <c r="M1179" t="str">
        <f>IFERROR(INDEX(Inventory!A:A,MATCH(Scan!A1179,Inventory!E:E,0)),"")</f>
        <v/>
      </c>
    </row>
    <row r="1180" spans="2:13" x14ac:dyDescent="0.3">
      <c r="B1180" t="str">
        <f>IF(IFERROR(VLOOKUP(TRIM(A1180),Inventory!E:E,1,0),0)=0,"X","_")</f>
        <v>_</v>
      </c>
      <c r="C1180" t="str">
        <f>IF(IFERROR(VLOOKUP(TRIM(A1180),'Full Inventory'!F:F,1,0),0)=0,"X","_")</f>
        <v>X</v>
      </c>
      <c r="D1180" t="str">
        <f t="shared" si="72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F1180" t="str">
        <f t="shared" si="73"/>
        <v>_</v>
      </c>
      <c r="K1180" t="str">
        <f t="shared" ca="1" si="74"/>
        <v>_XX_</v>
      </c>
      <c r="L1180" t="str">
        <f t="shared" ca="1" si="75"/>
        <v/>
      </c>
      <c r="M1180" t="str">
        <f>IFERROR(INDEX(Inventory!A:A,MATCH(Scan!A1180,Inventory!E:E,0)),"")</f>
        <v/>
      </c>
    </row>
    <row r="1181" spans="2:13" x14ac:dyDescent="0.3">
      <c r="B1181" t="str">
        <f>IF(IFERROR(VLOOKUP(TRIM(A1181),Inventory!E:E,1,0),0)=0,"X","_")</f>
        <v>_</v>
      </c>
      <c r="C1181" t="str">
        <f>IF(IFERROR(VLOOKUP(TRIM(A1181),'Full Inventory'!F:F,1,0),0)=0,"X","_")</f>
        <v>X</v>
      </c>
      <c r="D1181" t="str">
        <f t="shared" si="72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F1181" t="str">
        <f t="shared" si="73"/>
        <v>_</v>
      </c>
      <c r="K1181" t="str">
        <f t="shared" ca="1" si="74"/>
        <v>_XX_</v>
      </c>
      <c r="L1181" t="str">
        <f t="shared" ca="1" si="75"/>
        <v/>
      </c>
      <c r="M1181" t="str">
        <f>IFERROR(INDEX(Inventory!A:A,MATCH(Scan!A1181,Inventory!E:E,0)),"")</f>
        <v/>
      </c>
    </row>
    <row r="1182" spans="2:13" x14ac:dyDescent="0.3">
      <c r="B1182" t="str">
        <f>IF(IFERROR(VLOOKUP(TRIM(A1182),Inventory!E:E,1,0),0)=0,"X","_")</f>
        <v>_</v>
      </c>
      <c r="C1182" t="str">
        <f>IF(IFERROR(VLOOKUP(TRIM(A1182),'Full Inventory'!F:F,1,0),0)=0,"X","_")</f>
        <v>X</v>
      </c>
      <c r="D1182" t="str">
        <f t="shared" si="72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F1182" t="str">
        <f t="shared" si="73"/>
        <v>_</v>
      </c>
      <c r="K1182" t="str">
        <f t="shared" ca="1" si="74"/>
        <v>_XX_</v>
      </c>
      <c r="L1182" t="str">
        <f t="shared" ca="1" si="75"/>
        <v/>
      </c>
      <c r="M1182" t="str">
        <f>IFERROR(INDEX(Inventory!A:A,MATCH(Scan!A1182,Inventory!E:E,0)),"")</f>
        <v/>
      </c>
    </row>
    <row r="1183" spans="2:13" x14ac:dyDescent="0.3">
      <c r="B1183" t="str">
        <f>IF(IFERROR(VLOOKUP(TRIM(A1183),Inventory!E:E,1,0),0)=0,"X","_")</f>
        <v>_</v>
      </c>
      <c r="C1183" t="str">
        <f>IF(IFERROR(VLOOKUP(TRIM(A1183),'Full Inventory'!F:F,1,0),0)=0,"X","_")</f>
        <v>X</v>
      </c>
      <c r="D1183" t="str">
        <f t="shared" si="72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F1183" t="str">
        <f t="shared" si="73"/>
        <v>_</v>
      </c>
      <c r="K1183" t="str">
        <f t="shared" ca="1" si="74"/>
        <v>_XX_</v>
      </c>
      <c r="L1183" t="str">
        <f t="shared" ca="1" si="75"/>
        <v/>
      </c>
      <c r="M1183" t="str">
        <f>IFERROR(INDEX(Inventory!A:A,MATCH(Scan!A1183,Inventory!E:E,0)),"")</f>
        <v/>
      </c>
    </row>
    <row r="1184" spans="2:13" x14ac:dyDescent="0.3">
      <c r="B1184" t="str">
        <f>IF(IFERROR(VLOOKUP(TRIM(A1184),Inventory!E:E,1,0),0)=0,"X","_")</f>
        <v>_</v>
      </c>
      <c r="C1184" t="str">
        <f>IF(IFERROR(VLOOKUP(TRIM(A1184),'Full Inventory'!F:F,1,0),0)=0,"X","_")</f>
        <v>X</v>
      </c>
      <c r="D1184" t="str">
        <f t="shared" si="72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F1184" t="str">
        <f t="shared" si="73"/>
        <v>_</v>
      </c>
      <c r="K1184" t="str">
        <f t="shared" ca="1" si="74"/>
        <v>_XX_</v>
      </c>
      <c r="L1184" t="str">
        <f t="shared" ca="1" si="75"/>
        <v/>
      </c>
      <c r="M1184" t="str">
        <f>IFERROR(INDEX(Inventory!A:A,MATCH(Scan!A1184,Inventory!E:E,0)),"")</f>
        <v/>
      </c>
    </row>
    <row r="1185" spans="2:13" x14ac:dyDescent="0.3">
      <c r="B1185" t="str">
        <f>IF(IFERROR(VLOOKUP(TRIM(A1185),Inventory!E:E,1,0),0)=0,"X","_")</f>
        <v>_</v>
      </c>
      <c r="C1185" t="str">
        <f>IF(IFERROR(VLOOKUP(TRIM(A1185),'Full Inventory'!F:F,1,0),0)=0,"X","_")</f>
        <v>X</v>
      </c>
      <c r="D1185" t="str">
        <f t="shared" si="72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F1185" t="str">
        <f t="shared" si="73"/>
        <v>_</v>
      </c>
      <c r="K1185" t="str">
        <f t="shared" ca="1" si="74"/>
        <v>_XX_</v>
      </c>
      <c r="L1185" t="str">
        <f t="shared" ca="1" si="75"/>
        <v/>
      </c>
      <c r="M1185" t="str">
        <f>IFERROR(INDEX(Inventory!A:A,MATCH(Scan!A1185,Inventory!E:E,0)),"")</f>
        <v/>
      </c>
    </row>
    <row r="1186" spans="2:13" x14ac:dyDescent="0.3">
      <c r="B1186" t="str">
        <f>IF(IFERROR(VLOOKUP(TRIM(A1186),Inventory!E:E,1,0),0)=0,"X","_")</f>
        <v>_</v>
      </c>
      <c r="C1186" t="str">
        <f>IF(IFERROR(VLOOKUP(TRIM(A1186),'Full Inventory'!F:F,1,0),0)=0,"X","_")</f>
        <v>X</v>
      </c>
      <c r="D1186" t="str">
        <f t="shared" si="72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F1186" t="str">
        <f t="shared" si="73"/>
        <v>_</v>
      </c>
      <c r="K1186" t="str">
        <f t="shared" ca="1" si="74"/>
        <v>_XX_</v>
      </c>
      <c r="L1186" t="str">
        <f t="shared" ca="1" si="75"/>
        <v/>
      </c>
      <c r="M1186" t="str">
        <f>IFERROR(INDEX(Inventory!A:A,MATCH(Scan!A1186,Inventory!E:E,0)),"")</f>
        <v/>
      </c>
    </row>
    <row r="1187" spans="2:13" x14ac:dyDescent="0.3">
      <c r="B1187" t="str">
        <f>IF(IFERROR(VLOOKUP(TRIM(A1187),Inventory!E:E,1,0),0)=0,"X","_")</f>
        <v>_</v>
      </c>
      <c r="C1187" t="str">
        <f>IF(IFERROR(VLOOKUP(TRIM(A1187),'Full Inventory'!F:F,1,0),0)=0,"X","_")</f>
        <v>X</v>
      </c>
      <c r="D1187" t="str">
        <f t="shared" si="72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F1187" t="str">
        <f t="shared" si="73"/>
        <v>_</v>
      </c>
      <c r="K1187" t="str">
        <f t="shared" ca="1" si="74"/>
        <v>_XX_</v>
      </c>
      <c r="L1187" t="str">
        <f t="shared" ca="1" si="75"/>
        <v/>
      </c>
      <c r="M1187" t="str">
        <f>IFERROR(INDEX(Inventory!A:A,MATCH(Scan!A1187,Inventory!E:E,0)),"")</f>
        <v/>
      </c>
    </row>
    <row r="1188" spans="2:13" x14ac:dyDescent="0.3">
      <c r="B1188" t="str">
        <f>IF(IFERROR(VLOOKUP(TRIM(A1188),Inventory!E:E,1,0),0)=0,"X","_")</f>
        <v>_</v>
      </c>
      <c r="C1188" t="str">
        <f>IF(IFERROR(VLOOKUP(TRIM(A1188),'Full Inventory'!F:F,1,0),0)=0,"X","_")</f>
        <v>X</v>
      </c>
      <c r="D1188" t="str">
        <f t="shared" si="72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F1188" t="str">
        <f t="shared" si="73"/>
        <v>_</v>
      </c>
      <c r="K1188" t="str">
        <f t="shared" ca="1" si="74"/>
        <v>_XX_</v>
      </c>
      <c r="L1188" t="str">
        <f t="shared" ca="1" si="75"/>
        <v/>
      </c>
      <c r="M1188" t="str">
        <f>IFERROR(INDEX(Inventory!A:A,MATCH(Scan!A1188,Inventory!E:E,0)),"")</f>
        <v/>
      </c>
    </row>
    <row r="1189" spans="2:13" x14ac:dyDescent="0.3">
      <c r="B1189" t="str">
        <f>IF(IFERROR(VLOOKUP(TRIM(A1189),Inventory!E:E,1,0),0)=0,"X","_")</f>
        <v>_</v>
      </c>
      <c r="C1189" t="str">
        <f>IF(IFERROR(VLOOKUP(TRIM(A1189),'Full Inventory'!F:F,1,0),0)=0,"X","_")</f>
        <v>X</v>
      </c>
      <c r="D1189" t="str">
        <f t="shared" si="72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F1189" t="str">
        <f t="shared" si="73"/>
        <v>_</v>
      </c>
      <c r="K1189" t="str">
        <f t="shared" ca="1" si="74"/>
        <v>_XX_</v>
      </c>
      <c r="L1189" t="str">
        <f t="shared" ca="1" si="75"/>
        <v/>
      </c>
      <c r="M1189" t="str">
        <f>IFERROR(INDEX(Inventory!A:A,MATCH(Scan!A1189,Inventory!E:E,0)),"")</f>
        <v/>
      </c>
    </row>
    <row r="1190" spans="2:13" x14ac:dyDescent="0.3">
      <c r="B1190" t="str">
        <f>IF(IFERROR(VLOOKUP(TRIM(A1190),Inventory!E:E,1,0),0)=0,"X","_")</f>
        <v>_</v>
      </c>
      <c r="C1190" t="str">
        <f>IF(IFERROR(VLOOKUP(TRIM(A1190),'Full Inventory'!F:F,1,0),0)=0,"X","_")</f>
        <v>X</v>
      </c>
      <c r="D1190" t="str">
        <f t="shared" si="72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F1190" t="str">
        <f t="shared" si="73"/>
        <v>_</v>
      </c>
      <c r="K1190" t="str">
        <f t="shared" ca="1" si="74"/>
        <v>_XX_</v>
      </c>
      <c r="L1190" t="str">
        <f t="shared" ca="1" si="75"/>
        <v/>
      </c>
      <c r="M1190" t="str">
        <f>IFERROR(INDEX(Inventory!A:A,MATCH(Scan!A1190,Inventory!E:E,0)),"")</f>
        <v/>
      </c>
    </row>
    <row r="1191" spans="2:13" x14ac:dyDescent="0.3">
      <c r="B1191" t="str">
        <f>IF(IFERROR(VLOOKUP(TRIM(A1191),Inventory!E:E,1,0),0)=0,"X","_")</f>
        <v>_</v>
      </c>
      <c r="C1191" t="str">
        <f>IF(IFERROR(VLOOKUP(TRIM(A1191),'Full Inventory'!F:F,1,0),0)=0,"X","_")</f>
        <v>X</v>
      </c>
      <c r="D1191" t="str">
        <f t="shared" si="72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F1191" t="str">
        <f t="shared" si="73"/>
        <v>_</v>
      </c>
      <c r="K1191" t="str">
        <f t="shared" ca="1" si="74"/>
        <v>_XX_</v>
      </c>
      <c r="L1191" t="str">
        <f t="shared" ca="1" si="75"/>
        <v/>
      </c>
      <c r="M1191" t="str">
        <f>IFERROR(INDEX(Inventory!A:A,MATCH(Scan!A1191,Inventory!E:E,0)),"")</f>
        <v/>
      </c>
    </row>
    <row r="1192" spans="2:13" x14ac:dyDescent="0.3">
      <c r="B1192" t="str">
        <f>IF(IFERROR(VLOOKUP(TRIM(A1192),Inventory!E:E,1,0),0)=0,"X","_")</f>
        <v>_</v>
      </c>
      <c r="C1192" t="str">
        <f>IF(IFERROR(VLOOKUP(TRIM(A1192),'Full Inventory'!F:F,1,0),0)=0,"X","_")</f>
        <v>X</v>
      </c>
      <c r="D1192" t="str">
        <f t="shared" si="72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F1192" t="str">
        <f t="shared" si="73"/>
        <v>_</v>
      </c>
      <c r="K1192" t="str">
        <f t="shared" ca="1" si="74"/>
        <v>_XX_</v>
      </c>
      <c r="L1192" t="str">
        <f t="shared" ca="1" si="75"/>
        <v/>
      </c>
      <c r="M1192" t="str">
        <f>IFERROR(INDEX(Inventory!A:A,MATCH(Scan!A1192,Inventory!E:E,0)),"")</f>
        <v/>
      </c>
    </row>
    <row r="1193" spans="2:13" x14ac:dyDescent="0.3">
      <c r="B1193" t="str">
        <f>IF(IFERROR(VLOOKUP(TRIM(A1193),Inventory!E:E,1,0),0)=0,"X","_")</f>
        <v>_</v>
      </c>
      <c r="C1193" t="str">
        <f>IF(IFERROR(VLOOKUP(TRIM(A1193),'Full Inventory'!F:F,1,0),0)=0,"X","_")</f>
        <v>X</v>
      </c>
      <c r="D1193" t="str">
        <f t="shared" si="72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F1193" t="str">
        <f t="shared" si="73"/>
        <v>_</v>
      </c>
      <c r="K1193" t="str">
        <f t="shared" ca="1" si="74"/>
        <v>_XX_</v>
      </c>
      <c r="L1193" t="str">
        <f t="shared" ca="1" si="75"/>
        <v/>
      </c>
      <c r="M1193" t="str">
        <f>IFERROR(INDEX(Inventory!A:A,MATCH(Scan!A1193,Inventory!E:E,0)),"")</f>
        <v/>
      </c>
    </row>
    <row r="1194" spans="2:13" x14ac:dyDescent="0.3">
      <c r="B1194" t="str">
        <f>IF(IFERROR(VLOOKUP(TRIM(A1194),Inventory!E:E,1,0),0)=0,"X","_")</f>
        <v>_</v>
      </c>
      <c r="C1194" t="str">
        <f>IF(IFERROR(VLOOKUP(TRIM(A1194),'Full Inventory'!F:F,1,0),0)=0,"X","_")</f>
        <v>X</v>
      </c>
      <c r="D1194" t="str">
        <f t="shared" si="72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F1194" t="str">
        <f t="shared" si="73"/>
        <v>_</v>
      </c>
      <c r="K1194" t="str">
        <f t="shared" ca="1" si="74"/>
        <v>_XX_</v>
      </c>
      <c r="L1194" t="str">
        <f t="shared" ca="1" si="75"/>
        <v/>
      </c>
      <c r="M1194" t="str">
        <f>IFERROR(INDEX(Inventory!A:A,MATCH(Scan!A1194,Inventory!E:E,0)),"")</f>
        <v/>
      </c>
    </row>
    <row r="1195" spans="2:13" x14ac:dyDescent="0.3">
      <c r="B1195" t="str">
        <f>IF(IFERROR(VLOOKUP(TRIM(A1195),Inventory!E:E,1,0),0)=0,"X","_")</f>
        <v>_</v>
      </c>
      <c r="C1195" t="str">
        <f>IF(IFERROR(VLOOKUP(TRIM(A1195),'Full Inventory'!F:F,1,0),0)=0,"X","_")</f>
        <v>X</v>
      </c>
      <c r="D1195" t="str">
        <f t="shared" si="72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F1195" t="str">
        <f t="shared" si="73"/>
        <v>_</v>
      </c>
      <c r="K1195" t="str">
        <f t="shared" ca="1" si="74"/>
        <v>_XX_</v>
      </c>
      <c r="L1195" t="str">
        <f t="shared" ca="1" si="75"/>
        <v/>
      </c>
      <c r="M1195" t="str">
        <f>IFERROR(INDEX(Inventory!A:A,MATCH(Scan!A1195,Inventory!E:E,0)),"")</f>
        <v/>
      </c>
    </row>
    <row r="1196" spans="2:13" x14ac:dyDescent="0.3">
      <c r="B1196" t="str">
        <f>IF(IFERROR(VLOOKUP(TRIM(A1196),Inventory!E:E,1,0),0)=0,"X","_")</f>
        <v>_</v>
      </c>
      <c r="C1196" t="str">
        <f>IF(IFERROR(VLOOKUP(TRIM(A1196),'Full Inventory'!F:F,1,0),0)=0,"X","_")</f>
        <v>X</v>
      </c>
      <c r="D1196" t="str">
        <f t="shared" si="72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F1196" t="str">
        <f t="shared" si="73"/>
        <v>_</v>
      </c>
      <c r="K1196" t="str">
        <f t="shared" ca="1" si="74"/>
        <v>_XX_</v>
      </c>
      <c r="L1196" t="str">
        <f t="shared" ca="1" si="75"/>
        <v/>
      </c>
      <c r="M1196" t="str">
        <f>IFERROR(INDEX(Inventory!A:A,MATCH(Scan!A1196,Inventory!E:E,0)),"")</f>
        <v/>
      </c>
    </row>
    <row r="1197" spans="2:13" x14ac:dyDescent="0.3">
      <c r="B1197" t="str">
        <f>IF(IFERROR(VLOOKUP(TRIM(A1197),Inventory!E:E,1,0),0)=0,"X","_")</f>
        <v>_</v>
      </c>
      <c r="C1197" t="str">
        <f>IF(IFERROR(VLOOKUP(TRIM(A1197),'Full Inventory'!F:F,1,0),0)=0,"X","_")</f>
        <v>X</v>
      </c>
      <c r="D1197" t="str">
        <f t="shared" si="72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F1197" t="str">
        <f t="shared" si="73"/>
        <v>_</v>
      </c>
      <c r="K1197" t="str">
        <f t="shared" ca="1" si="74"/>
        <v>_XX_</v>
      </c>
      <c r="L1197" t="str">
        <f t="shared" ca="1" si="75"/>
        <v/>
      </c>
      <c r="M1197" t="str">
        <f>IFERROR(INDEX(Inventory!A:A,MATCH(Scan!A1197,Inventory!E:E,0)),"")</f>
        <v/>
      </c>
    </row>
    <row r="1198" spans="2:13" x14ac:dyDescent="0.3">
      <c r="B1198" t="str">
        <f>IF(IFERROR(VLOOKUP(TRIM(A1198),Inventory!E:E,1,0),0)=0,"X","_")</f>
        <v>_</v>
      </c>
      <c r="C1198" t="str">
        <f>IF(IFERROR(VLOOKUP(TRIM(A1198),'Full Inventory'!F:F,1,0),0)=0,"X","_")</f>
        <v>X</v>
      </c>
      <c r="D1198" t="str">
        <f t="shared" si="72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F1198" t="str">
        <f t="shared" si="73"/>
        <v>_</v>
      </c>
      <c r="K1198" t="str">
        <f t="shared" ca="1" si="74"/>
        <v>_XX_</v>
      </c>
      <c r="L1198" t="str">
        <f t="shared" ca="1" si="75"/>
        <v/>
      </c>
      <c r="M1198" t="str">
        <f>IFERROR(INDEX(Inventory!A:A,MATCH(Scan!A1198,Inventory!E:E,0)),"")</f>
        <v/>
      </c>
    </row>
    <row r="1199" spans="2:13" x14ac:dyDescent="0.3">
      <c r="B1199" t="str">
        <f>IF(IFERROR(VLOOKUP(TRIM(A1199),Inventory!E:E,1,0),0)=0,"X","_")</f>
        <v>_</v>
      </c>
      <c r="C1199" t="str">
        <f>IF(IFERROR(VLOOKUP(TRIM(A1199),'Full Inventory'!F:F,1,0),0)=0,"X","_")</f>
        <v>X</v>
      </c>
      <c r="D1199" t="str">
        <f t="shared" si="72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F1199" t="str">
        <f t="shared" si="73"/>
        <v>_</v>
      </c>
      <c r="K1199" t="str">
        <f t="shared" ca="1" si="74"/>
        <v>_XX_</v>
      </c>
      <c r="L1199" t="str">
        <f t="shared" ca="1" si="75"/>
        <v/>
      </c>
      <c r="M1199" t="str">
        <f>IFERROR(INDEX(Inventory!A:A,MATCH(Scan!A1199,Inventory!E:E,0)),"")</f>
        <v/>
      </c>
    </row>
    <row r="1200" spans="2:13" x14ac:dyDescent="0.3">
      <c r="B1200" t="str">
        <f>IF(IFERROR(VLOOKUP(TRIM(A1200),Inventory!E:E,1,0),0)=0,"X","_")</f>
        <v>_</v>
      </c>
      <c r="C1200" t="str">
        <f>IF(IFERROR(VLOOKUP(TRIM(A1200),'Full Inventory'!F:F,1,0),0)=0,"X","_")</f>
        <v>X</v>
      </c>
      <c r="D1200" t="str">
        <f t="shared" si="72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F1200" t="str">
        <f t="shared" si="73"/>
        <v>_</v>
      </c>
      <c r="K1200" t="str">
        <f t="shared" ca="1" si="74"/>
        <v>_XX_</v>
      </c>
      <c r="L1200" t="str">
        <f t="shared" ca="1" si="75"/>
        <v/>
      </c>
      <c r="M1200" t="str">
        <f>IFERROR(INDEX(Inventory!A:A,MATCH(Scan!A1200,Inventory!E:E,0)),"")</f>
        <v/>
      </c>
    </row>
    <row r="1201" spans="2:13" x14ac:dyDescent="0.3">
      <c r="B1201" t="str">
        <f>IF(IFERROR(VLOOKUP(TRIM(A1201),Inventory!E:E,1,0),0)=0,"X","_")</f>
        <v>_</v>
      </c>
      <c r="C1201" t="str">
        <f>IF(IFERROR(VLOOKUP(TRIM(A1201),'Full Inventory'!F:F,1,0),0)=0,"X","_")</f>
        <v>X</v>
      </c>
      <c r="D1201" t="str">
        <f t="shared" si="72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F1201" t="str">
        <f t="shared" si="73"/>
        <v>_</v>
      </c>
      <c r="K1201" t="str">
        <f t="shared" ca="1" si="74"/>
        <v>_XX_</v>
      </c>
      <c r="L1201" t="str">
        <f t="shared" ca="1" si="75"/>
        <v/>
      </c>
      <c r="M1201" t="str">
        <f>IFERROR(INDEX(Inventory!A:A,MATCH(Scan!A1201,Inventory!E:E,0)),"")</f>
        <v/>
      </c>
    </row>
    <row r="1202" spans="2:13" x14ac:dyDescent="0.3">
      <c r="B1202" t="str">
        <f>IF(IFERROR(VLOOKUP(TRIM(A1202),Inventory!E:E,1,0),0)=0,"X","_")</f>
        <v>_</v>
      </c>
      <c r="C1202" t="str">
        <f>IF(IFERROR(VLOOKUP(TRIM(A1202),'Full Inventory'!F:F,1,0),0)=0,"X","_")</f>
        <v>X</v>
      </c>
      <c r="D1202" t="str">
        <f t="shared" si="72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F1202" t="str">
        <f t="shared" si="73"/>
        <v>_</v>
      </c>
      <c r="K1202" t="str">
        <f t="shared" ca="1" si="74"/>
        <v>_XX_</v>
      </c>
      <c r="L1202" t="str">
        <f t="shared" ca="1" si="75"/>
        <v/>
      </c>
      <c r="M1202" t="str">
        <f>IFERROR(INDEX(Inventory!A:A,MATCH(Scan!A1202,Inventory!E:E,0)),"")</f>
        <v/>
      </c>
    </row>
    <row r="1203" spans="2:13" x14ac:dyDescent="0.3">
      <c r="B1203" t="str">
        <f>IF(IFERROR(VLOOKUP(TRIM(A1203),Inventory!E:E,1,0),0)=0,"X","_")</f>
        <v>_</v>
      </c>
      <c r="C1203" t="str">
        <f>IF(IFERROR(VLOOKUP(TRIM(A1203),'Full Inventory'!F:F,1,0),0)=0,"X","_")</f>
        <v>X</v>
      </c>
      <c r="D1203" t="str">
        <f t="shared" si="72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F1203" t="str">
        <f t="shared" si="73"/>
        <v>_</v>
      </c>
      <c r="K1203" t="str">
        <f t="shared" ca="1" si="74"/>
        <v>_XX_</v>
      </c>
      <c r="L1203" t="str">
        <f t="shared" ca="1" si="75"/>
        <v/>
      </c>
      <c r="M1203" t="str">
        <f>IFERROR(INDEX(Inventory!A:A,MATCH(Scan!A1203,Inventory!E:E,0)),"")</f>
        <v/>
      </c>
    </row>
    <row r="1204" spans="2:13" x14ac:dyDescent="0.3">
      <c r="B1204" t="str">
        <f>IF(IFERROR(VLOOKUP(TRIM(A1204),Inventory!E:E,1,0),0)=0,"X","_")</f>
        <v>_</v>
      </c>
      <c r="C1204" t="str">
        <f>IF(IFERROR(VLOOKUP(TRIM(A1204),'Full Inventory'!F:F,1,0),0)=0,"X","_")</f>
        <v>X</v>
      </c>
      <c r="D1204" t="str">
        <f t="shared" si="72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F1204" t="str">
        <f t="shared" si="73"/>
        <v>_</v>
      </c>
      <c r="K1204" t="str">
        <f t="shared" ca="1" si="74"/>
        <v>_XX_</v>
      </c>
      <c r="L1204" t="str">
        <f t="shared" ca="1" si="75"/>
        <v/>
      </c>
      <c r="M1204" t="str">
        <f>IFERROR(INDEX(Inventory!A:A,MATCH(Scan!A1204,Inventory!E:E,0)),"")</f>
        <v/>
      </c>
    </row>
    <row r="1205" spans="2:13" x14ac:dyDescent="0.3">
      <c r="B1205" t="str">
        <f>IF(IFERROR(VLOOKUP(TRIM(A1205),Inventory!E:E,1,0),0)=0,"X","_")</f>
        <v>_</v>
      </c>
      <c r="C1205" t="str">
        <f>IF(IFERROR(VLOOKUP(TRIM(A1205),'Full Inventory'!F:F,1,0),0)=0,"X","_")</f>
        <v>X</v>
      </c>
      <c r="D1205" t="str">
        <f t="shared" si="72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F1205" t="str">
        <f t="shared" si="73"/>
        <v>_</v>
      </c>
      <c r="K1205" t="str">
        <f t="shared" ca="1" si="74"/>
        <v>_XX_</v>
      </c>
      <c r="L1205" t="str">
        <f t="shared" ca="1" si="75"/>
        <v/>
      </c>
      <c r="M1205" t="str">
        <f>IFERROR(INDEX(Inventory!A:A,MATCH(Scan!A1205,Inventory!E:E,0)),"")</f>
        <v/>
      </c>
    </row>
    <row r="1206" spans="2:13" x14ac:dyDescent="0.3">
      <c r="B1206" t="str">
        <f>IF(IFERROR(VLOOKUP(TRIM(A1206),Inventory!E:E,1,0),0)=0,"X","_")</f>
        <v>_</v>
      </c>
      <c r="C1206" t="str">
        <f>IF(IFERROR(VLOOKUP(TRIM(A1206),'Full Inventory'!F:F,1,0),0)=0,"X","_")</f>
        <v>X</v>
      </c>
      <c r="D1206" t="str">
        <f t="shared" si="72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F1206" t="str">
        <f t="shared" si="73"/>
        <v>_</v>
      </c>
      <c r="K1206" t="str">
        <f t="shared" ca="1" si="74"/>
        <v>_XX_</v>
      </c>
      <c r="L1206" t="str">
        <f t="shared" ca="1" si="75"/>
        <v/>
      </c>
      <c r="M1206" t="str">
        <f>IFERROR(INDEX(Inventory!A:A,MATCH(Scan!A1206,Inventory!E:E,0)),"")</f>
        <v/>
      </c>
    </row>
    <row r="1207" spans="2:13" x14ac:dyDescent="0.3">
      <c r="B1207" t="str">
        <f>IF(IFERROR(VLOOKUP(TRIM(A1207),Inventory!E:E,1,0),0)=0,"X","_")</f>
        <v>_</v>
      </c>
      <c r="C1207" t="str">
        <f>IF(IFERROR(VLOOKUP(TRIM(A1207),'Full Inventory'!F:F,1,0),0)=0,"X","_")</f>
        <v>X</v>
      </c>
      <c r="D1207" t="str">
        <f t="shared" si="72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F1207" t="str">
        <f t="shared" si="73"/>
        <v>_</v>
      </c>
      <c r="K1207" t="str">
        <f t="shared" ca="1" si="74"/>
        <v>_XX_</v>
      </c>
      <c r="L1207" t="str">
        <f t="shared" ca="1" si="75"/>
        <v/>
      </c>
      <c r="M1207" t="str">
        <f>IFERROR(INDEX(Inventory!A:A,MATCH(Scan!A1207,Inventory!E:E,0)),"")</f>
        <v/>
      </c>
    </row>
    <row r="1208" spans="2:13" x14ac:dyDescent="0.3">
      <c r="B1208" t="str">
        <f>IF(IFERROR(VLOOKUP(TRIM(A1208),Inventory!E:E,1,0),0)=0,"X","_")</f>
        <v>_</v>
      </c>
      <c r="C1208" t="str">
        <f>IF(IFERROR(VLOOKUP(TRIM(A1208),'Full Inventory'!F:F,1,0),0)=0,"X","_")</f>
        <v>X</v>
      </c>
      <c r="D1208" t="str">
        <f t="shared" si="72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F1208" t="str">
        <f t="shared" si="73"/>
        <v>_</v>
      </c>
      <c r="K1208" t="str">
        <f t="shared" ca="1" si="74"/>
        <v>_XX_</v>
      </c>
      <c r="L1208" t="str">
        <f t="shared" ca="1" si="75"/>
        <v/>
      </c>
      <c r="M1208" t="str">
        <f>IFERROR(INDEX(Inventory!A:A,MATCH(Scan!A1208,Inventory!E:E,0)),"")</f>
        <v/>
      </c>
    </row>
    <row r="1209" spans="2:13" x14ac:dyDescent="0.3">
      <c r="B1209" t="str">
        <f>IF(IFERROR(VLOOKUP(TRIM(A1209),Inventory!E:E,1,0),0)=0,"X","_")</f>
        <v>_</v>
      </c>
      <c r="C1209" t="str">
        <f>IF(IFERROR(VLOOKUP(TRIM(A1209),'Full Inventory'!F:F,1,0),0)=0,"X","_")</f>
        <v>X</v>
      </c>
      <c r="D1209" t="str">
        <f t="shared" si="72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F1209" t="str">
        <f t="shared" si="73"/>
        <v>_</v>
      </c>
      <c r="K1209" t="str">
        <f t="shared" ca="1" si="74"/>
        <v>_XX_</v>
      </c>
      <c r="L1209" t="str">
        <f t="shared" ca="1" si="75"/>
        <v/>
      </c>
      <c r="M1209" t="str">
        <f>IFERROR(INDEX(Inventory!A:A,MATCH(Scan!A1209,Inventory!E:E,0)),"")</f>
        <v/>
      </c>
    </row>
    <row r="1210" spans="2:13" x14ac:dyDescent="0.3">
      <c r="B1210" t="str">
        <f>IF(IFERROR(VLOOKUP(TRIM(A1210),Inventory!E:E,1,0),0)=0,"X","_")</f>
        <v>_</v>
      </c>
      <c r="C1210" t="str">
        <f>IF(IFERROR(VLOOKUP(TRIM(A1210),'Full Inventory'!F:F,1,0),0)=0,"X","_")</f>
        <v>X</v>
      </c>
      <c r="D1210" t="str">
        <f t="shared" si="72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F1210" t="str">
        <f t="shared" si="73"/>
        <v>_</v>
      </c>
      <c r="K1210" t="str">
        <f t="shared" ca="1" si="74"/>
        <v>_XX_</v>
      </c>
      <c r="L1210" t="str">
        <f t="shared" ca="1" si="75"/>
        <v/>
      </c>
      <c r="M1210" t="str">
        <f>IFERROR(INDEX(Inventory!A:A,MATCH(Scan!A1210,Inventory!E:E,0)),"")</f>
        <v/>
      </c>
    </row>
    <row r="1211" spans="2:13" x14ac:dyDescent="0.3">
      <c r="B1211" t="str">
        <f>IF(IFERROR(VLOOKUP(TRIM(A1211),Inventory!E:E,1,0),0)=0,"X","_")</f>
        <v>_</v>
      </c>
      <c r="C1211" t="str">
        <f>IF(IFERROR(VLOOKUP(TRIM(A1211),'Full Inventory'!F:F,1,0),0)=0,"X","_")</f>
        <v>X</v>
      </c>
      <c r="D1211" t="str">
        <f t="shared" si="72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F1211" t="str">
        <f t="shared" si="73"/>
        <v>_</v>
      </c>
      <c r="K1211" t="str">
        <f t="shared" ca="1" si="74"/>
        <v>_XX_</v>
      </c>
      <c r="L1211" t="str">
        <f t="shared" ca="1" si="75"/>
        <v/>
      </c>
      <c r="M1211" t="str">
        <f>IFERROR(INDEX(Inventory!A:A,MATCH(Scan!A1211,Inventory!E:E,0)),"")</f>
        <v/>
      </c>
    </row>
    <row r="1212" spans="2:13" x14ac:dyDescent="0.3">
      <c r="B1212" t="str">
        <f>IF(IFERROR(VLOOKUP(TRIM(A1212),Inventory!E:E,1,0),0)=0,"X","_")</f>
        <v>_</v>
      </c>
      <c r="C1212" t="str">
        <f>IF(IFERROR(VLOOKUP(TRIM(A1212),'Full Inventory'!F:F,1,0),0)=0,"X","_")</f>
        <v>X</v>
      </c>
      <c r="D1212" t="str">
        <f t="shared" si="72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F1212" t="str">
        <f t="shared" si="73"/>
        <v>_</v>
      </c>
      <c r="K1212" t="str">
        <f t="shared" ca="1" si="74"/>
        <v>_XX_</v>
      </c>
      <c r="L1212" t="str">
        <f t="shared" ca="1" si="75"/>
        <v/>
      </c>
      <c r="M1212" t="str">
        <f>IFERROR(INDEX(Inventory!A:A,MATCH(Scan!A1212,Inventory!E:E,0)),"")</f>
        <v/>
      </c>
    </row>
    <row r="1213" spans="2:13" x14ac:dyDescent="0.3">
      <c r="B1213" t="str">
        <f>IF(IFERROR(VLOOKUP(TRIM(A1213),Inventory!E:E,1,0),0)=0,"X","_")</f>
        <v>_</v>
      </c>
      <c r="C1213" t="str">
        <f>IF(IFERROR(VLOOKUP(TRIM(A1213),'Full Inventory'!F:F,1,0),0)=0,"X","_")</f>
        <v>X</v>
      </c>
      <c r="D1213" t="str">
        <f t="shared" si="72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F1213" t="str">
        <f t="shared" si="73"/>
        <v>_</v>
      </c>
      <c r="K1213" t="str">
        <f t="shared" ca="1" si="74"/>
        <v>_XX_</v>
      </c>
      <c r="L1213" t="str">
        <f t="shared" ca="1" si="75"/>
        <v/>
      </c>
      <c r="M1213" t="str">
        <f>IFERROR(INDEX(Inventory!A:A,MATCH(Scan!A1213,Inventory!E:E,0)),"")</f>
        <v/>
      </c>
    </row>
    <row r="1214" spans="2:13" x14ac:dyDescent="0.3">
      <c r="B1214" t="str">
        <f>IF(IFERROR(VLOOKUP(TRIM(A1214),Inventory!E:E,1,0),0)=0,"X","_")</f>
        <v>_</v>
      </c>
      <c r="C1214" t="str">
        <f>IF(IFERROR(VLOOKUP(TRIM(A1214),'Full Inventory'!F:F,1,0),0)=0,"X","_")</f>
        <v>X</v>
      </c>
      <c r="D1214" t="str">
        <f t="shared" si="72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F1214" t="str">
        <f t="shared" si="73"/>
        <v>_</v>
      </c>
      <c r="K1214" t="str">
        <f t="shared" ca="1" si="74"/>
        <v>_XX_</v>
      </c>
      <c r="L1214" t="str">
        <f t="shared" ca="1" si="75"/>
        <v/>
      </c>
      <c r="M1214" t="str">
        <f>IFERROR(INDEX(Inventory!A:A,MATCH(Scan!A1214,Inventory!E:E,0)),"")</f>
        <v/>
      </c>
    </row>
    <row r="1215" spans="2:13" x14ac:dyDescent="0.3">
      <c r="B1215" t="str">
        <f>IF(IFERROR(VLOOKUP(TRIM(A1215),Inventory!E:E,1,0),0)=0,"X","_")</f>
        <v>_</v>
      </c>
      <c r="C1215" t="str">
        <f>IF(IFERROR(VLOOKUP(TRIM(A1215),'Full Inventory'!F:F,1,0),0)=0,"X","_")</f>
        <v>X</v>
      </c>
      <c r="D1215" t="str">
        <f t="shared" si="72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F1215" t="str">
        <f t="shared" si="73"/>
        <v>_</v>
      </c>
      <c r="K1215" t="str">
        <f t="shared" ca="1" si="74"/>
        <v>_XX_</v>
      </c>
      <c r="L1215" t="str">
        <f t="shared" ca="1" si="75"/>
        <v/>
      </c>
      <c r="M1215" t="str">
        <f>IFERROR(INDEX(Inventory!A:A,MATCH(Scan!A1215,Inventory!E:E,0)),"")</f>
        <v/>
      </c>
    </row>
    <row r="1216" spans="2:13" x14ac:dyDescent="0.3">
      <c r="B1216" t="str">
        <f>IF(IFERROR(VLOOKUP(TRIM(A1216),Inventory!E:E,1,0),0)=0,"X","_")</f>
        <v>_</v>
      </c>
      <c r="C1216" t="str">
        <f>IF(IFERROR(VLOOKUP(TRIM(A1216),'Full Inventory'!F:F,1,0),0)=0,"X","_")</f>
        <v>X</v>
      </c>
      <c r="D1216" t="str">
        <f t="shared" si="72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F1216" t="str">
        <f t="shared" si="73"/>
        <v>_</v>
      </c>
      <c r="K1216" t="str">
        <f t="shared" ca="1" si="74"/>
        <v>_XX_</v>
      </c>
      <c r="L1216" t="str">
        <f t="shared" ca="1" si="75"/>
        <v/>
      </c>
      <c r="M1216" t="str">
        <f>IFERROR(INDEX(Inventory!A:A,MATCH(Scan!A1216,Inventory!E:E,0)),"")</f>
        <v/>
      </c>
    </row>
    <row r="1217" spans="2:13" x14ac:dyDescent="0.3">
      <c r="B1217" t="str">
        <f>IF(IFERROR(VLOOKUP(TRIM(A1217),Inventory!E:E,1,0),0)=0,"X","_")</f>
        <v>_</v>
      </c>
      <c r="C1217" t="str">
        <f>IF(IFERROR(VLOOKUP(TRIM(A1217),'Full Inventory'!F:F,1,0),0)=0,"X","_")</f>
        <v>X</v>
      </c>
      <c r="D1217" t="str">
        <f t="shared" si="72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F1217" t="str">
        <f t="shared" si="73"/>
        <v>_</v>
      </c>
      <c r="K1217" t="str">
        <f t="shared" ca="1" si="74"/>
        <v>_XX_</v>
      </c>
      <c r="L1217" t="str">
        <f t="shared" ca="1" si="75"/>
        <v/>
      </c>
      <c r="M1217" t="str">
        <f>IFERROR(INDEX(Inventory!A:A,MATCH(Scan!A1217,Inventory!E:E,0)),"")</f>
        <v/>
      </c>
    </row>
    <row r="1218" spans="2:13" x14ac:dyDescent="0.3">
      <c r="B1218" t="str">
        <f>IF(IFERROR(VLOOKUP(TRIM(A1218),Inventory!E:E,1,0),0)=0,"X","_")</f>
        <v>_</v>
      </c>
      <c r="C1218" t="str">
        <f>IF(IFERROR(VLOOKUP(TRIM(A1218),'Full Inventory'!F:F,1,0),0)=0,"X","_")</f>
        <v>X</v>
      </c>
      <c r="D1218" t="str">
        <f t="shared" ref="D1218:D1281" si="76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F1218" t="str">
        <f t="shared" si="73"/>
        <v>_</v>
      </c>
      <c r="K1218" t="str">
        <f t="shared" ca="1" si="74"/>
        <v>_XX_</v>
      </c>
      <c r="L1218" t="str">
        <f t="shared" ca="1" si="75"/>
        <v/>
      </c>
      <c r="M1218" t="str">
        <f>IFERROR(INDEX(Inventory!A:A,MATCH(Scan!A1218,Inventory!E:E,0)),"")</f>
        <v/>
      </c>
    </row>
    <row r="1219" spans="2:13" x14ac:dyDescent="0.3">
      <c r="B1219" t="str">
        <f>IF(IFERROR(VLOOKUP(TRIM(A1219),Inventory!E:E,1,0),0)=0,"X","_")</f>
        <v>_</v>
      </c>
      <c r="C1219" t="str">
        <f>IF(IFERROR(VLOOKUP(TRIM(A1219),'Full Inventory'!F:F,1,0),0)=0,"X","_")</f>
        <v>X</v>
      </c>
      <c r="D1219" t="str">
        <f t="shared" si="76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F1219" t="str">
        <f t="shared" ref="F1219:F1282" si="77">IF(IFERROR(SEARCH("ö",A1219),0)&gt;0,"X","_")</f>
        <v>_</v>
      </c>
      <c r="K1219" t="str">
        <f t="shared" ref="K1219:K1282" ca="1" si="78">B1219&amp;C1219&amp;D1219&amp;E1219</f>
        <v>_XX_</v>
      </c>
      <c r="L1219" t="str">
        <f t="shared" ref="L1219:L1282" ca="1" si="7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3">
      <c r="B1220" t="str">
        <f>IF(IFERROR(VLOOKUP(TRIM(A1220),Inventory!E:E,1,0),0)=0,"X","_")</f>
        <v>_</v>
      </c>
      <c r="C1220" t="str">
        <f>IF(IFERROR(VLOOKUP(TRIM(A1220),'Full Inventory'!F:F,1,0),0)=0,"X","_")</f>
        <v>X</v>
      </c>
      <c r="D1220" t="str">
        <f t="shared" si="76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F1220" t="str">
        <f t="shared" si="77"/>
        <v>_</v>
      </c>
      <c r="K1220" t="str">
        <f t="shared" ca="1" si="78"/>
        <v>_XX_</v>
      </c>
      <c r="L1220" t="str">
        <f t="shared" ca="1" si="79"/>
        <v/>
      </c>
      <c r="M1220" t="str">
        <f>IFERROR(INDEX(Inventory!A:A,MATCH(Scan!A1220,Inventory!E:E,0)),"")</f>
        <v/>
      </c>
    </row>
    <row r="1221" spans="2:13" x14ac:dyDescent="0.3">
      <c r="B1221" t="str">
        <f>IF(IFERROR(VLOOKUP(TRIM(A1221),Inventory!E:E,1,0),0)=0,"X","_")</f>
        <v>_</v>
      </c>
      <c r="C1221" t="str">
        <f>IF(IFERROR(VLOOKUP(TRIM(A1221),'Full Inventory'!F:F,1,0),0)=0,"X","_")</f>
        <v>X</v>
      </c>
      <c r="D1221" t="str">
        <f t="shared" si="76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F1221" t="str">
        <f t="shared" si="77"/>
        <v>_</v>
      </c>
      <c r="K1221" t="str">
        <f t="shared" ca="1" si="78"/>
        <v>_XX_</v>
      </c>
      <c r="L1221" t="str">
        <f t="shared" ca="1" si="79"/>
        <v/>
      </c>
      <c r="M1221" t="str">
        <f>IFERROR(INDEX(Inventory!A:A,MATCH(Scan!A1221,Inventory!E:E,0)),"")</f>
        <v/>
      </c>
    </row>
    <row r="1222" spans="2:13" x14ac:dyDescent="0.3">
      <c r="B1222" t="str">
        <f>IF(IFERROR(VLOOKUP(TRIM(A1222),Inventory!E:E,1,0),0)=0,"X","_")</f>
        <v>_</v>
      </c>
      <c r="C1222" t="str">
        <f>IF(IFERROR(VLOOKUP(TRIM(A1222),'Full Inventory'!F:F,1,0),0)=0,"X","_")</f>
        <v>X</v>
      </c>
      <c r="D1222" t="str">
        <f t="shared" si="76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F1222" t="str">
        <f t="shared" si="77"/>
        <v>_</v>
      </c>
      <c r="K1222" t="str">
        <f t="shared" ca="1" si="78"/>
        <v>_XX_</v>
      </c>
      <c r="L1222" t="str">
        <f t="shared" ca="1" si="79"/>
        <v/>
      </c>
      <c r="M1222" t="str">
        <f>IFERROR(INDEX(Inventory!A:A,MATCH(Scan!A1222,Inventory!E:E,0)),"")</f>
        <v/>
      </c>
    </row>
    <row r="1223" spans="2:13" x14ac:dyDescent="0.3">
      <c r="B1223" t="str">
        <f>IF(IFERROR(VLOOKUP(TRIM(A1223),Inventory!E:E,1,0),0)=0,"X","_")</f>
        <v>_</v>
      </c>
      <c r="C1223" t="str">
        <f>IF(IFERROR(VLOOKUP(TRIM(A1223),'Full Inventory'!F:F,1,0),0)=0,"X","_")</f>
        <v>X</v>
      </c>
      <c r="D1223" t="str">
        <f t="shared" si="76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F1223" t="str">
        <f t="shared" si="77"/>
        <v>_</v>
      </c>
      <c r="K1223" t="str">
        <f t="shared" ca="1" si="78"/>
        <v>_XX_</v>
      </c>
      <c r="L1223" t="str">
        <f t="shared" ca="1" si="79"/>
        <v/>
      </c>
      <c r="M1223" t="str">
        <f>IFERROR(INDEX(Inventory!A:A,MATCH(Scan!A1223,Inventory!E:E,0)),"")</f>
        <v/>
      </c>
    </row>
    <row r="1224" spans="2:13" x14ac:dyDescent="0.3">
      <c r="B1224" t="str">
        <f>IF(IFERROR(VLOOKUP(TRIM(A1224),Inventory!E:E,1,0),0)=0,"X","_")</f>
        <v>_</v>
      </c>
      <c r="C1224" t="str">
        <f>IF(IFERROR(VLOOKUP(TRIM(A1224),'Full Inventory'!F:F,1,0),0)=0,"X","_")</f>
        <v>X</v>
      </c>
      <c r="D1224" t="str">
        <f t="shared" si="76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F1224" t="str">
        <f t="shared" si="77"/>
        <v>_</v>
      </c>
      <c r="K1224" t="str">
        <f t="shared" ca="1" si="78"/>
        <v>_XX_</v>
      </c>
      <c r="L1224" t="str">
        <f t="shared" ca="1" si="79"/>
        <v/>
      </c>
      <c r="M1224" t="str">
        <f>IFERROR(INDEX(Inventory!A:A,MATCH(Scan!A1224,Inventory!E:E,0)),"")</f>
        <v/>
      </c>
    </row>
    <row r="1225" spans="2:13" x14ac:dyDescent="0.3">
      <c r="B1225" t="str">
        <f>IF(IFERROR(VLOOKUP(TRIM(A1225),Inventory!E:E,1,0),0)=0,"X","_")</f>
        <v>_</v>
      </c>
      <c r="C1225" t="str">
        <f>IF(IFERROR(VLOOKUP(TRIM(A1225),'Full Inventory'!F:F,1,0),0)=0,"X","_")</f>
        <v>X</v>
      </c>
      <c r="D1225" t="str">
        <f t="shared" si="76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F1225" t="str">
        <f t="shared" si="77"/>
        <v>_</v>
      </c>
      <c r="K1225" t="str">
        <f t="shared" ca="1" si="78"/>
        <v>_XX_</v>
      </c>
      <c r="L1225" t="str">
        <f t="shared" ca="1" si="79"/>
        <v/>
      </c>
      <c r="M1225" t="str">
        <f>IFERROR(INDEX(Inventory!A:A,MATCH(Scan!A1225,Inventory!E:E,0)),"")</f>
        <v/>
      </c>
    </row>
    <row r="1226" spans="2:13" x14ac:dyDescent="0.3">
      <c r="B1226" t="str">
        <f>IF(IFERROR(VLOOKUP(TRIM(A1226),Inventory!E:E,1,0),0)=0,"X","_")</f>
        <v>_</v>
      </c>
      <c r="C1226" t="str">
        <f>IF(IFERROR(VLOOKUP(TRIM(A1226),'Full Inventory'!F:F,1,0),0)=0,"X","_")</f>
        <v>X</v>
      </c>
      <c r="D1226" t="str">
        <f t="shared" si="76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F1226" t="str">
        <f t="shared" si="77"/>
        <v>_</v>
      </c>
      <c r="K1226" t="str">
        <f t="shared" ca="1" si="78"/>
        <v>_XX_</v>
      </c>
      <c r="L1226" t="str">
        <f t="shared" ca="1" si="79"/>
        <v/>
      </c>
      <c r="M1226" t="str">
        <f>IFERROR(INDEX(Inventory!A:A,MATCH(Scan!A1226,Inventory!E:E,0)),"")</f>
        <v/>
      </c>
    </row>
    <row r="1227" spans="2:13" x14ac:dyDescent="0.3">
      <c r="B1227" t="str">
        <f>IF(IFERROR(VLOOKUP(TRIM(A1227),Inventory!E:E,1,0),0)=0,"X","_")</f>
        <v>_</v>
      </c>
      <c r="C1227" t="str">
        <f>IF(IFERROR(VLOOKUP(TRIM(A1227),'Full Inventory'!F:F,1,0),0)=0,"X","_")</f>
        <v>X</v>
      </c>
      <c r="D1227" t="str">
        <f t="shared" si="76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F1227" t="str">
        <f t="shared" si="77"/>
        <v>_</v>
      </c>
      <c r="K1227" t="str">
        <f t="shared" ca="1" si="78"/>
        <v>_XX_</v>
      </c>
      <c r="L1227" t="str">
        <f t="shared" ca="1" si="79"/>
        <v/>
      </c>
      <c r="M1227" t="str">
        <f>IFERROR(INDEX(Inventory!A:A,MATCH(Scan!A1227,Inventory!E:E,0)),"")</f>
        <v/>
      </c>
    </row>
    <row r="1228" spans="2:13" x14ac:dyDescent="0.3">
      <c r="B1228" t="str">
        <f>IF(IFERROR(VLOOKUP(TRIM(A1228),Inventory!E:E,1,0),0)=0,"X","_")</f>
        <v>_</v>
      </c>
      <c r="C1228" t="str">
        <f>IF(IFERROR(VLOOKUP(TRIM(A1228),'Full Inventory'!F:F,1,0),0)=0,"X","_")</f>
        <v>X</v>
      </c>
      <c r="D1228" t="str">
        <f t="shared" si="76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F1228" t="str">
        <f t="shared" si="77"/>
        <v>_</v>
      </c>
      <c r="K1228" t="str">
        <f t="shared" ca="1" si="78"/>
        <v>_XX_</v>
      </c>
      <c r="L1228" t="str">
        <f t="shared" ca="1" si="79"/>
        <v/>
      </c>
      <c r="M1228" t="str">
        <f>IFERROR(INDEX(Inventory!A:A,MATCH(Scan!A1228,Inventory!E:E,0)),"")</f>
        <v/>
      </c>
    </row>
    <row r="1229" spans="2:13" x14ac:dyDescent="0.3">
      <c r="B1229" t="str">
        <f>IF(IFERROR(VLOOKUP(TRIM(A1229),Inventory!E:E,1,0),0)=0,"X","_")</f>
        <v>_</v>
      </c>
      <c r="C1229" t="str">
        <f>IF(IFERROR(VLOOKUP(TRIM(A1229),'Full Inventory'!F:F,1,0),0)=0,"X","_")</f>
        <v>X</v>
      </c>
      <c r="D1229" t="str">
        <f t="shared" si="76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F1229" t="str">
        <f t="shared" si="77"/>
        <v>_</v>
      </c>
      <c r="K1229" t="str">
        <f t="shared" ca="1" si="78"/>
        <v>_XX_</v>
      </c>
      <c r="L1229" t="str">
        <f t="shared" ca="1" si="79"/>
        <v/>
      </c>
      <c r="M1229" t="str">
        <f>IFERROR(INDEX(Inventory!A:A,MATCH(Scan!A1229,Inventory!E:E,0)),"")</f>
        <v/>
      </c>
    </row>
    <row r="1230" spans="2:13" x14ac:dyDescent="0.3">
      <c r="B1230" t="str">
        <f>IF(IFERROR(VLOOKUP(TRIM(A1230),Inventory!E:E,1,0),0)=0,"X","_")</f>
        <v>_</v>
      </c>
      <c r="C1230" t="str">
        <f>IF(IFERROR(VLOOKUP(TRIM(A1230),'Full Inventory'!F:F,1,0),0)=0,"X","_")</f>
        <v>X</v>
      </c>
      <c r="D1230" t="str">
        <f t="shared" si="76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F1230" t="str">
        <f t="shared" si="77"/>
        <v>_</v>
      </c>
      <c r="K1230" t="str">
        <f t="shared" ca="1" si="78"/>
        <v>_XX_</v>
      </c>
      <c r="L1230" t="str">
        <f t="shared" ca="1" si="79"/>
        <v/>
      </c>
      <c r="M1230" t="str">
        <f>IFERROR(INDEX(Inventory!A:A,MATCH(Scan!A1230,Inventory!E:E,0)),"")</f>
        <v/>
      </c>
    </row>
    <row r="1231" spans="2:13" x14ac:dyDescent="0.3">
      <c r="B1231" t="str">
        <f>IF(IFERROR(VLOOKUP(TRIM(A1231),Inventory!E:E,1,0),0)=0,"X","_")</f>
        <v>_</v>
      </c>
      <c r="C1231" t="str">
        <f>IF(IFERROR(VLOOKUP(TRIM(A1231),'Full Inventory'!F:F,1,0),0)=0,"X","_")</f>
        <v>X</v>
      </c>
      <c r="D1231" t="str">
        <f t="shared" si="76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F1231" t="str">
        <f t="shared" si="77"/>
        <v>_</v>
      </c>
      <c r="K1231" t="str">
        <f t="shared" ca="1" si="78"/>
        <v>_XX_</v>
      </c>
      <c r="L1231" t="str">
        <f t="shared" ca="1" si="79"/>
        <v/>
      </c>
      <c r="M1231" t="str">
        <f>IFERROR(INDEX(Inventory!A:A,MATCH(Scan!A1231,Inventory!E:E,0)),"")</f>
        <v/>
      </c>
    </row>
    <row r="1232" spans="2:13" x14ac:dyDescent="0.3">
      <c r="B1232" t="str">
        <f>IF(IFERROR(VLOOKUP(TRIM(A1232),Inventory!E:E,1,0),0)=0,"X","_")</f>
        <v>_</v>
      </c>
      <c r="C1232" t="str">
        <f>IF(IFERROR(VLOOKUP(TRIM(A1232),'Full Inventory'!F:F,1,0),0)=0,"X","_")</f>
        <v>X</v>
      </c>
      <c r="D1232" t="str">
        <f t="shared" si="76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F1232" t="str">
        <f t="shared" si="77"/>
        <v>_</v>
      </c>
      <c r="K1232" t="str">
        <f t="shared" ca="1" si="78"/>
        <v>_XX_</v>
      </c>
      <c r="L1232" t="str">
        <f t="shared" ca="1" si="79"/>
        <v/>
      </c>
      <c r="M1232" t="str">
        <f>IFERROR(INDEX(Inventory!A:A,MATCH(Scan!A1232,Inventory!E:E,0)),"")</f>
        <v/>
      </c>
    </row>
    <row r="1233" spans="2:13" x14ac:dyDescent="0.3">
      <c r="B1233" t="str">
        <f>IF(IFERROR(VLOOKUP(TRIM(A1233),Inventory!E:E,1,0),0)=0,"X","_")</f>
        <v>_</v>
      </c>
      <c r="C1233" t="str">
        <f>IF(IFERROR(VLOOKUP(TRIM(A1233),'Full Inventory'!F:F,1,0),0)=0,"X","_")</f>
        <v>X</v>
      </c>
      <c r="D1233" t="str">
        <f t="shared" si="76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F1233" t="str">
        <f t="shared" si="77"/>
        <v>_</v>
      </c>
      <c r="K1233" t="str">
        <f t="shared" ca="1" si="78"/>
        <v>_XX_</v>
      </c>
      <c r="L1233" t="str">
        <f t="shared" ca="1" si="79"/>
        <v/>
      </c>
      <c r="M1233" t="str">
        <f>IFERROR(INDEX(Inventory!A:A,MATCH(Scan!A1233,Inventory!E:E,0)),"")</f>
        <v/>
      </c>
    </row>
    <row r="1234" spans="2:13" x14ac:dyDescent="0.3">
      <c r="B1234" t="str">
        <f>IF(IFERROR(VLOOKUP(TRIM(A1234),Inventory!E:E,1,0),0)=0,"X","_")</f>
        <v>_</v>
      </c>
      <c r="C1234" t="str">
        <f>IF(IFERROR(VLOOKUP(TRIM(A1234),'Full Inventory'!F:F,1,0),0)=0,"X","_")</f>
        <v>X</v>
      </c>
      <c r="D1234" t="str">
        <f t="shared" si="76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F1234" t="str">
        <f t="shared" si="77"/>
        <v>_</v>
      </c>
      <c r="K1234" t="str">
        <f t="shared" ca="1" si="78"/>
        <v>_XX_</v>
      </c>
      <c r="L1234" t="str">
        <f t="shared" ca="1" si="79"/>
        <v/>
      </c>
      <c r="M1234" t="str">
        <f>IFERROR(INDEX(Inventory!A:A,MATCH(Scan!A1234,Inventory!E:E,0)),"")</f>
        <v/>
      </c>
    </row>
    <row r="1235" spans="2:13" x14ac:dyDescent="0.3">
      <c r="B1235" t="str">
        <f>IF(IFERROR(VLOOKUP(TRIM(A1235),Inventory!E:E,1,0),0)=0,"X","_")</f>
        <v>_</v>
      </c>
      <c r="C1235" t="str">
        <f>IF(IFERROR(VLOOKUP(TRIM(A1235),'Full Inventory'!F:F,1,0),0)=0,"X","_")</f>
        <v>X</v>
      </c>
      <c r="D1235" t="str">
        <f t="shared" si="76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F1235" t="str">
        <f t="shared" si="77"/>
        <v>_</v>
      </c>
      <c r="K1235" t="str">
        <f t="shared" ca="1" si="78"/>
        <v>_XX_</v>
      </c>
      <c r="L1235" t="str">
        <f t="shared" ca="1" si="79"/>
        <v/>
      </c>
      <c r="M1235" t="str">
        <f>IFERROR(INDEX(Inventory!A:A,MATCH(Scan!A1235,Inventory!E:E,0)),"")</f>
        <v/>
      </c>
    </row>
    <row r="1236" spans="2:13" x14ac:dyDescent="0.3">
      <c r="B1236" t="str">
        <f>IF(IFERROR(VLOOKUP(TRIM(A1236),Inventory!E:E,1,0),0)=0,"X","_")</f>
        <v>_</v>
      </c>
      <c r="C1236" t="str">
        <f>IF(IFERROR(VLOOKUP(TRIM(A1236),'Full Inventory'!F:F,1,0),0)=0,"X","_")</f>
        <v>X</v>
      </c>
      <c r="D1236" t="str">
        <f t="shared" si="76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F1236" t="str">
        <f t="shared" si="77"/>
        <v>_</v>
      </c>
      <c r="K1236" t="str">
        <f t="shared" ca="1" si="78"/>
        <v>_XX_</v>
      </c>
      <c r="L1236" t="str">
        <f t="shared" ca="1" si="79"/>
        <v/>
      </c>
      <c r="M1236" t="str">
        <f>IFERROR(INDEX(Inventory!A:A,MATCH(Scan!A1236,Inventory!E:E,0)),"")</f>
        <v/>
      </c>
    </row>
    <row r="1237" spans="2:13" x14ac:dyDescent="0.3">
      <c r="B1237" t="str">
        <f>IF(IFERROR(VLOOKUP(TRIM(A1237),Inventory!E:E,1,0),0)=0,"X","_")</f>
        <v>_</v>
      </c>
      <c r="C1237" t="str">
        <f>IF(IFERROR(VLOOKUP(TRIM(A1237),'Full Inventory'!F:F,1,0),0)=0,"X","_")</f>
        <v>X</v>
      </c>
      <c r="D1237" t="str">
        <f t="shared" si="76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F1237" t="str">
        <f t="shared" si="77"/>
        <v>_</v>
      </c>
      <c r="K1237" t="str">
        <f t="shared" ca="1" si="78"/>
        <v>_XX_</v>
      </c>
      <c r="L1237" t="str">
        <f t="shared" ca="1" si="79"/>
        <v/>
      </c>
      <c r="M1237" t="str">
        <f>IFERROR(INDEX(Inventory!A:A,MATCH(Scan!A1237,Inventory!E:E,0)),"")</f>
        <v/>
      </c>
    </row>
    <row r="1238" spans="2:13" x14ac:dyDescent="0.3">
      <c r="B1238" t="str">
        <f>IF(IFERROR(VLOOKUP(TRIM(A1238),Inventory!E:E,1,0),0)=0,"X","_")</f>
        <v>_</v>
      </c>
      <c r="C1238" t="str">
        <f>IF(IFERROR(VLOOKUP(TRIM(A1238),'Full Inventory'!F:F,1,0),0)=0,"X","_")</f>
        <v>X</v>
      </c>
      <c r="D1238" t="str">
        <f t="shared" si="76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F1238" t="str">
        <f t="shared" si="77"/>
        <v>_</v>
      </c>
      <c r="K1238" t="str">
        <f t="shared" ca="1" si="78"/>
        <v>_XX_</v>
      </c>
      <c r="L1238" t="str">
        <f t="shared" ca="1" si="79"/>
        <v/>
      </c>
      <c r="M1238" t="str">
        <f>IFERROR(INDEX(Inventory!A:A,MATCH(Scan!A1238,Inventory!E:E,0)),"")</f>
        <v/>
      </c>
    </row>
    <row r="1239" spans="2:13" x14ac:dyDescent="0.3">
      <c r="B1239" t="str">
        <f>IF(IFERROR(VLOOKUP(TRIM(A1239),Inventory!E:E,1,0),0)=0,"X","_")</f>
        <v>_</v>
      </c>
      <c r="C1239" t="str">
        <f>IF(IFERROR(VLOOKUP(TRIM(A1239),'Full Inventory'!F:F,1,0),0)=0,"X","_")</f>
        <v>X</v>
      </c>
      <c r="D1239" t="str">
        <f t="shared" si="76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F1239" t="str">
        <f t="shared" si="77"/>
        <v>_</v>
      </c>
      <c r="K1239" t="str">
        <f t="shared" ca="1" si="78"/>
        <v>_XX_</v>
      </c>
      <c r="L1239" t="str">
        <f t="shared" ca="1" si="79"/>
        <v/>
      </c>
      <c r="M1239" t="str">
        <f>IFERROR(INDEX(Inventory!A:A,MATCH(Scan!A1239,Inventory!E:E,0)),"")</f>
        <v/>
      </c>
    </row>
    <row r="1240" spans="2:13" x14ac:dyDescent="0.3">
      <c r="B1240" t="str">
        <f>IF(IFERROR(VLOOKUP(TRIM(A1240),Inventory!E:E,1,0),0)=0,"X","_")</f>
        <v>_</v>
      </c>
      <c r="C1240" t="str">
        <f>IF(IFERROR(VLOOKUP(TRIM(A1240),'Full Inventory'!F:F,1,0),0)=0,"X","_")</f>
        <v>X</v>
      </c>
      <c r="D1240" t="str">
        <f t="shared" si="76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F1240" t="str">
        <f t="shared" si="77"/>
        <v>_</v>
      </c>
      <c r="K1240" t="str">
        <f t="shared" ca="1" si="78"/>
        <v>_XX_</v>
      </c>
      <c r="L1240" t="str">
        <f t="shared" ca="1" si="79"/>
        <v/>
      </c>
      <c r="M1240" t="str">
        <f>IFERROR(INDEX(Inventory!A:A,MATCH(Scan!A1240,Inventory!E:E,0)),"")</f>
        <v/>
      </c>
    </row>
    <row r="1241" spans="2:13" x14ac:dyDescent="0.3">
      <c r="B1241" t="str">
        <f>IF(IFERROR(VLOOKUP(TRIM(A1241),Inventory!E:E,1,0),0)=0,"X","_")</f>
        <v>_</v>
      </c>
      <c r="C1241" t="str">
        <f>IF(IFERROR(VLOOKUP(TRIM(A1241),'Full Inventory'!F:F,1,0),0)=0,"X","_")</f>
        <v>X</v>
      </c>
      <c r="D1241" t="str">
        <f t="shared" si="76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F1241" t="str">
        <f t="shared" si="77"/>
        <v>_</v>
      </c>
      <c r="K1241" t="str">
        <f t="shared" ca="1" si="78"/>
        <v>_XX_</v>
      </c>
      <c r="L1241" t="str">
        <f t="shared" ca="1" si="79"/>
        <v/>
      </c>
      <c r="M1241" t="str">
        <f>IFERROR(INDEX(Inventory!A:A,MATCH(Scan!A1241,Inventory!E:E,0)),"")</f>
        <v/>
      </c>
    </row>
    <row r="1242" spans="2:13" x14ac:dyDescent="0.3">
      <c r="B1242" t="str">
        <f>IF(IFERROR(VLOOKUP(TRIM(A1242),Inventory!E:E,1,0),0)=0,"X","_")</f>
        <v>_</v>
      </c>
      <c r="C1242" t="str">
        <f>IF(IFERROR(VLOOKUP(TRIM(A1242),'Full Inventory'!F:F,1,0),0)=0,"X","_")</f>
        <v>X</v>
      </c>
      <c r="D1242" t="str">
        <f t="shared" si="76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F1242" t="str">
        <f t="shared" si="77"/>
        <v>_</v>
      </c>
      <c r="K1242" t="str">
        <f t="shared" ca="1" si="78"/>
        <v>_XX_</v>
      </c>
      <c r="L1242" t="str">
        <f t="shared" ca="1" si="79"/>
        <v/>
      </c>
      <c r="M1242" t="str">
        <f>IFERROR(INDEX(Inventory!A:A,MATCH(Scan!A1242,Inventory!E:E,0)),"")</f>
        <v/>
      </c>
    </row>
    <row r="1243" spans="2:13" x14ac:dyDescent="0.3">
      <c r="B1243" t="str">
        <f>IF(IFERROR(VLOOKUP(TRIM(A1243),Inventory!E:E,1,0),0)=0,"X","_")</f>
        <v>_</v>
      </c>
      <c r="C1243" t="str">
        <f>IF(IFERROR(VLOOKUP(TRIM(A1243),'Full Inventory'!F:F,1,0),0)=0,"X","_")</f>
        <v>X</v>
      </c>
      <c r="D1243" t="str">
        <f t="shared" si="76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F1243" t="str">
        <f t="shared" si="77"/>
        <v>_</v>
      </c>
      <c r="K1243" t="str">
        <f t="shared" ca="1" si="78"/>
        <v>_XX_</v>
      </c>
      <c r="L1243" t="str">
        <f t="shared" ca="1" si="79"/>
        <v/>
      </c>
      <c r="M1243" t="str">
        <f>IFERROR(INDEX(Inventory!A:A,MATCH(Scan!A1243,Inventory!E:E,0)),"")</f>
        <v/>
      </c>
    </row>
    <row r="1244" spans="2:13" x14ac:dyDescent="0.3">
      <c r="B1244" t="str">
        <f>IF(IFERROR(VLOOKUP(TRIM(A1244),Inventory!E:E,1,0),0)=0,"X","_")</f>
        <v>_</v>
      </c>
      <c r="C1244" t="str">
        <f>IF(IFERROR(VLOOKUP(TRIM(A1244),'Full Inventory'!F:F,1,0),0)=0,"X","_")</f>
        <v>X</v>
      </c>
      <c r="D1244" t="str">
        <f t="shared" si="76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F1244" t="str">
        <f t="shared" si="77"/>
        <v>_</v>
      </c>
      <c r="K1244" t="str">
        <f t="shared" ca="1" si="78"/>
        <v>_XX_</v>
      </c>
      <c r="L1244" t="str">
        <f t="shared" ca="1" si="79"/>
        <v/>
      </c>
      <c r="M1244" t="str">
        <f>IFERROR(INDEX(Inventory!A:A,MATCH(Scan!A1244,Inventory!E:E,0)),"")</f>
        <v/>
      </c>
    </row>
    <row r="1245" spans="2:13" x14ac:dyDescent="0.3">
      <c r="B1245" t="str">
        <f>IF(IFERROR(VLOOKUP(TRIM(A1245),Inventory!E:E,1,0),0)=0,"X","_")</f>
        <v>_</v>
      </c>
      <c r="C1245" t="str">
        <f>IF(IFERROR(VLOOKUP(TRIM(A1245),'Full Inventory'!F:F,1,0),0)=0,"X","_")</f>
        <v>X</v>
      </c>
      <c r="D1245" t="str">
        <f t="shared" si="76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F1245" t="str">
        <f t="shared" si="77"/>
        <v>_</v>
      </c>
      <c r="K1245" t="str">
        <f t="shared" ca="1" si="78"/>
        <v>_XX_</v>
      </c>
      <c r="L1245" t="str">
        <f t="shared" ca="1" si="79"/>
        <v/>
      </c>
      <c r="M1245" t="str">
        <f>IFERROR(INDEX(Inventory!A:A,MATCH(Scan!A1245,Inventory!E:E,0)),"")</f>
        <v/>
      </c>
    </row>
    <row r="1246" spans="2:13" x14ac:dyDescent="0.3">
      <c r="B1246" t="str">
        <f>IF(IFERROR(VLOOKUP(TRIM(A1246),Inventory!E:E,1,0),0)=0,"X","_")</f>
        <v>_</v>
      </c>
      <c r="C1246" t="str">
        <f>IF(IFERROR(VLOOKUP(TRIM(A1246),'Full Inventory'!F:F,1,0),0)=0,"X","_")</f>
        <v>X</v>
      </c>
      <c r="D1246" t="str">
        <f t="shared" si="76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F1246" t="str">
        <f t="shared" si="77"/>
        <v>_</v>
      </c>
      <c r="K1246" t="str">
        <f t="shared" ca="1" si="78"/>
        <v>_XX_</v>
      </c>
      <c r="L1246" t="str">
        <f t="shared" ca="1" si="79"/>
        <v/>
      </c>
      <c r="M1246" t="str">
        <f>IFERROR(INDEX(Inventory!A:A,MATCH(Scan!A1246,Inventory!E:E,0)),"")</f>
        <v/>
      </c>
    </row>
    <row r="1247" spans="2:13" x14ac:dyDescent="0.3">
      <c r="B1247" t="str">
        <f>IF(IFERROR(VLOOKUP(TRIM(A1247),Inventory!E:E,1,0),0)=0,"X","_")</f>
        <v>_</v>
      </c>
      <c r="C1247" t="str">
        <f>IF(IFERROR(VLOOKUP(TRIM(A1247),'Full Inventory'!F:F,1,0),0)=0,"X","_")</f>
        <v>X</v>
      </c>
      <c r="D1247" t="str">
        <f t="shared" si="76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F1247" t="str">
        <f t="shared" si="77"/>
        <v>_</v>
      </c>
      <c r="K1247" t="str">
        <f t="shared" ca="1" si="78"/>
        <v>_XX_</v>
      </c>
      <c r="L1247" t="str">
        <f t="shared" ca="1" si="79"/>
        <v/>
      </c>
      <c r="M1247" t="str">
        <f>IFERROR(INDEX(Inventory!A:A,MATCH(Scan!A1247,Inventory!E:E,0)),"")</f>
        <v/>
      </c>
    </row>
    <row r="1248" spans="2:13" x14ac:dyDescent="0.3">
      <c r="B1248" t="str">
        <f>IF(IFERROR(VLOOKUP(TRIM(A1248),Inventory!E:E,1,0),0)=0,"X","_")</f>
        <v>_</v>
      </c>
      <c r="C1248" t="str">
        <f>IF(IFERROR(VLOOKUP(TRIM(A1248),'Full Inventory'!F:F,1,0),0)=0,"X","_")</f>
        <v>X</v>
      </c>
      <c r="D1248" t="str">
        <f t="shared" si="76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F1248" t="str">
        <f t="shared" si="77"/>
        <v>_</v>
      </c>
      <c r="K1248" t="str">
        <f t="shared" ca="1" si="78"/>
        <v>_XX_</v>
      </c>
      <c r="L1248" t="str">
        <f t="shared" ca="1" si="79"/>
        <v/>
      </c>
      <c r="M1248" t="str">
        <f>IFERROR(INDEX(Inventory!A:A,MATCH(Scan!A1248,Inventory!E:E,0)),"")</f>
        <v/>
      </c>
    </row>
    <row r="1249" spans="2:13" x14ac:dyDescent="0.3">
      <c r="B1249" t="str">
        <f>IF(IFERROR(VLOOKUP(TRIM(A1249),Inventory!E:E,1,0),0)=0,"X","_")</f>
        <v>_</v>
      </c>
      <c r="C1249" t="str">
        <f>IF(IFERROR(VLOOKUP(TRIM(A1249),'Full Inventory'!F:F,1,0),0)=0,"X","_")</f>
        <v>X</v>
      </c>
      <c r="D1249" t="str">
        <f t="shared" si="76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F1249" t="str">
        <f t="shared" si="77"/>
        <v>_</v>
      </c>
      <c r="K1249" t="str">
        <f t="shared" ca="1" si="78"/>
        <v>_XX_</v>
      </c>
      <c r="L1249" t="str">
        <f t="shared" ca="1" si="79"/>
        <v/>
      </c>
      <c r="M1249" t="str">
        <f>IFERROR(INDEX(Inventory!A:A,MATCH(Scan!A1249,Inventory!E:E,0)),"")</f>
        <v/>
      </c>
    </row>
    <row r="1250" spans="2:13" x14ac:dyDescent="0.3">
      <c r="B1250" t="str">
        <f>IF(IFERROR(VLOOKUP(TRIM(A1250),Inventory!E:E,1,0),0)=0,"X","_")</f>
        <v>_</v>
      </c>
      <c r="C1250" t="str">
        <f>IF(IFERROR(VLOOKUP(TRIM(A1250),'Full Inventory'!F:F,1,0),0)=0,"X","_")</f>
        <v>X</v>
      </c>
      <c r="D1250" t="str">
        <f t="shared" si="76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F1250" t="str">
        <f t="shared" si="77"/>
        <v>_</v>
      </c>
      <c r="K1250" t="str">
        <f t="shared" ca="1" si="78"/>
        <v>_XX_</v>
      </c>
      <c r="L1250" t="str">
        <f t="shared" ca="1" si="79"/>
        <v/>
      </c>
      <c r="M1250" t="str">
        <f>IFERROR(INDEX(Inventory!A:A,MATCH(Scan!A1250,Inventory!E:E,0)),"")</f>
        <v/>
      </c>
    </row>
    <row r="1251" spans="2:13" x14ac:dyDescent="0.3">
      <c r="B1251" t="str">
        <f>IF(IFERROR(VLOOKUP(TRIM(A1251),Inventory!E:E,1,0),0)=0,"X","_")</f>
        <v>_</v>
      </c>
      <c r="C1251" t="str">
        <f>IF(IFERROR(VLOOKUP(TRIM(A1251),'Full Inventory'!F:F,1,0),0)=0,"X","_")</f>
        <v>X</v>
      </c>
      <c r="D1251" t="str">
        <f t="shared" si="76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F1251" t="str">
        <f t="shared" si="77"/>
        <v>_</v>
      </c>
      <c r="K1251" t="str">
        <f t="shared" ca="1" si="78"/>
        <v>_XX_</v>
      </c>
      <c r="L1251" t="str">
        <f t="shared" ca="1" si="79"/>
        <v/>
      </c>
      <c r="M1251" t="str">
        <f>IFERROR(INDEX(Inventory!A:A,MATCH(Scan!A1251,Inventory!E:E,0)),"")</f>
        <v/>
      </c>
    </row>
    <row r="1252" spans="2:13" x14ac:dyDescent="0.3">
      <c r="B1252" t="str">
        <f>IF(IFERROR(VLOOKUP(TRIM(A1252),Inventory!E:E,1,0),0)=0,"X","_")</f>
        <v>_</v>
      </c>
      <c r="C1252" t="str">
        <f>IF(IFERROR(VLOOKUP(TRIM(A1252),'Full Inventory'!F:F,1,0),0)=0,"X","_")</f>
        <v>X</v>
      </c>
      <c r="D1252" t="str">
        <f t="shared" si="76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F1252" t="str">
        <f t="shared" si="77"/>
        <v>_</v>
      </c>
      <c r="K1252" t="str">
        <f t="shared" ca="1" si="78"/>
        <v>_XX_</v>
      </c>
      <c r="L1252" t="str">
        <f t="shared" ca="1" si="79"/>
        <v/>
      </c>
      <c r="M1252" t="str">
        <f>IFERROR(INDEX(Inventory!A:A,MATCH(Scan!A1252,Inventory!E:E,0)),"")</f>
        <v/>
      </c>
    </row>
    <row r="1253" spans="2:13" x14ac:dyDescent="0.3">
      <c r="B1253" t="str">
        <f>IF(IFERROR(VLOOKUP(TRIM(A1253),Inventory!E:E,1,0),0)=0,"X","_")</f>
        <v>_</v>
      </c>
      <c r="C1253" t="str">
        <f>IF(IFERROR(VLOOKUP(TRIM(A1253),'Full Inventory'!F:F,1,0),0)=0,"X","_")</f>
        <v>X</v>
      </c>
      <c r="D1253" t="str">
        <f t="shared" si="76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F1253" t="str">
        <f t="shared" si="77"/>
        <v>_</v>
      </c>
      <c r="K1253" t="str">
        <f t="shared" ca="1" si="78"/>
        <v>_XX_</v>
      </c>
      <c r="L1253" t="str">
        <f t="shared" ca="1" si="79"/>
        <v/>
      </c>
      <c r="M1253" t="str">
        <f>IFERROR(INDEX(Inventory!A:A,MATCH(Scan!A1253,Inventory!E:E,0)),"")</f>
        <v/>
      </c>
    </row>
    <row r="1254" spans="2:13" x14ac:dyDescent="0.3">
      <c r="B1254" t="str">
        <f>IF(IFERROR(VLOOKUP(TRIM(A1254),Inventory!E:E,1,0),0)=0,"X","_")</f>
        <v>_</v>
      </c>
      <c r="C1254" t="str">
        <f>IF(IFERROR(VLOOKUP(TRIM(A1254),'Full Inventory'!F:F,1,0),0)=0,"X","_")</f>
        <v>X</v>
      </c>
      <c r="D1254" t="str">
        <f t="shared" si="76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F1254" t="str">
        <f t="shared" si="77"/>
        <v>_</v>
      </c>
      <c r="K1254" t="str">
        <f t="shared" ca="1" si="78"/>
        <v>_XX_</v>
      </c>
      <c r="L1254" t="str">
        <f t="shared" ca="1" si="79"/>
        <v/>
      </c>
      <c r="M1254" t="str">
        <f>IFERROR(INDEX(Inventory!A:A,MATCH(Scan!A1254,Inventory!E:E,0)),"")</f>
        <v/>
      </c>
    </row>
    <row r="1255" spans="2:13" x14ac:dyDescent="0.3">
      <c r="B1255" t="str">
        <f>IF(IFERROR(VLOOKUP(TRIM(A1255),Inventory!E:E,1,0),0)=0,"X","_")</f>
        <v>_</v>
      </c>
      <c r="C1255" t="str">
        <f>IF(IFERROR(VLOOKUP(TRIM(A1255),'Full Inventory'!F:F,1,0),0)=0,"X","_")</f>
        <v>X</v>
      </c>
      <c r="D1255" t="str">
        <f t="shared" si="76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F1255" t="str">
        <f t="shared" si="77"/>
        <v>_</v>
      </c>
      <c r="K1255" t="str">
        <f t="shared" ca="1" si="78"/>
        <v>_XX_</v>
      </c>
      <c r="L1255" t="str">
        <f t="shared" ca="1" si="79"/>
        <v/>
      </c>
      <c r="M1255" t="str">
        <f>IFERROR(INDEX(Inventory!A:A,MATCH(Scan!A1255,Inventory!E:E,0)),"")</f>
        <v/>
      </c>
    </row>
    <row r="1256" spans="2:13" x14ac:dyDescent="0.3">
      <c r="B1256" t="str">
        <f>IF(IFERROR(VLOOKUP(TRIM(A1256),Inventory!E:E,1,0),0)=0,"X","_")</f>
        <v>_</v>
      </c>
      <c r="C1256" t="str">
        <f>IF(IFERROR(VLOOKUP(TRIM(A1256),'Full Inventory'!F:F,1,0),0)=0,"X","_")</f>
        <v>X</v>
      </c>
      <c r="D1256" t="str">
        <f t="shared" si="76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F1256" t="str">
        <f t="shared" si="77"/>
        <v>_</v>
      </c>
      <c r="K1256" t="str">
        <f t="shared" ca="1" si="78"/>
        <v>_XX_</v>
      </c>
      <c r="L1256" t="str">
        <f t="shared" ca="1" si="79"/>
        <v/>
      </c>
      <c r="M1256" t="str">
        <f>IFERROR(INDEX(Inventory!A:A,MATCH(Scan!A1256,Inventory!E:E,0)),"")</f>
        <v/>
      </c>
    </row>
    <row r="1257" spans="2:13" x14ac:dyDescent="0.3">
      <c r="B1257" t="str">
        <f>IF(IFERROR(VLOOKUP(TRIM(A1257),Inventory!E:E,1,0),0)=0,"X","_")</f>
        <v>_</v>
      </c>
      <c r="C1257" t="str">
        <f>IF(IFERROR(VLOOKUP(TRIM(A1257),'Full Inventory'!F:F,1,0),0)=0,"X","_")</f>
        <v>X</v>
      </c>
      <c r="D1257" t="str">
        <f t="shared" si="76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F1257" t="str">
        <f t="shared" si="77"/>
        <v>_</v>
      </c>
      <c r="K1257" t="str">
        <f t="shared" ca="1" si="78"/>
        <v>_XX_</v>
      </c>
      <c r="L1257" t="str">
        <f t="shared" ca="1" si="79"/>
        <v/>
      </c>
      <c r="M1257" t="str">
        <f>IFERROR(INDEX(Inventory!A:A,MATCH(Scan!A1257,Inventory!E:E,0)),"")</f>
        <v/>
      </c>
    </row>
    <row r="1258" spans="2:13" x14ac:dyDescent="0.3">
      <c r="B1258" t="str">
        <f>IF(IFERROR(VLOOKUP(TRIM(A1258),Inventory!E:E,1,0),0)=0,"X","_")</f>
        <v>_</v>
      </c>
      <c r="C1258" t="str">
        <f>IF(IFERROR(VLOOKUP(TRIM(A1258),'Full Inventory'!F:F,1,0),0)=0,"X","_")</f>
        <v>X</v>
      </c>
      <c r="D1258" t="str">
        <f t="shared" si="76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F1258" t="str">
        <f t="shared" si="77"/>
        <v>_</v>
      </c>
      <c r="K1258" t="str">
        <f t="shared" ca="1" si="78"/>
        <v>_XX_</v>
      </c>
      <c r="L1258" t="str">
        <f t="shared" ca="1" si="79"/>
        <v/>
      </c>
      <c r="M1258" t="str">
        <f>IFERROR(INDEX(Inventory!A:A,MATCH(Scan!A1258,Inventory!E:E,0)),"")</f>
        <v/>
      </c>
    </row>
    <row r="1259" spans="2:13" x14ac:dyDescent="0.3">
      <c r="B1259" t="str">
        <f>IF(IFERROR(VLOOKUP(TRIM(A1259),Inventory!E:E,1,0),0)=0,"X","_")</f>
        <v>_</v>
      </c>
      <c r="C1259" t="str">
        <f>IF(IFERROR(VLOOKUP(TRIM(A1259),'Full Inventory'!F:F,1,0),0)=0,"X","_")</f>
        <v>X</v>
      </c>
      <c r="D1259" t="str">
        <f t="shared" si="76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F1259" t="str">
        <f t="shared" si="77"/>
        <v>_</v>
      </c>
      <c r="K1259" t="str">
        <f t="shared" ca="1" si="78"/>
        <v>_XX_</v>
      </c>
      <c r="L1259" t="str">
        <f t="shared" ca="1" si="79"/>
        <v/>
      </c>
      <c r="M1259" t="str">
        <f>IFERROR(INDEX(Inventory!A:A,MATCH(Scan!A1259,Inventory!E:E,0)),"")</f>
        <v/>
      </c>
    </row>
    <row r="1260" spans="2:13" x14ac:dyDescent="0.3">
      <c r="B1260" t="str">
        <f>IF(IFERROR(VLOOKUP(TRIM(A1260),Inventory!E:E,1,0),0)=0,"X","_")</f>
        <v>_</v>
      </c>
      <c r="C1260" t="str">
        <f>IF(IFERROR(VLOOKUP(TRIM(A1260),'Full Inventory'!F:F,1,0),0)=0,"X","_")</f>
        <v>X</v>
      </c>
      <c r="D1260" t="str">
        <f t="shared" si="76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F1260" t="str">
        <f t="shared" si="77"/>
        <v>_</v>
      </c>
      <c r="K1260" t="str">
        <f t="shared" ca="1" si="78"/>
        <v>_XX_</v>
      </c>
      <c r="L1260" t="str">
        <f t="shared" ca="1" si="79"/>
        <v/>
      </c>
      <c r="M1260" t="str">
        <f>IFERROR(INDEX(Inventory!A:A,MATCH(Scan!A1260,Inventory!E:E,0)),"")</f>
        <v/>
      </c>
    </row>
    <row r="1261" spans="2:13" x14ac:dyDescent="0.3">
      <c r="B1261" t="str">
        <f>IF(IFERROR(VLOOKUP(TRIM(A1261),Inventory!E:E,1,0),0)=0,"X","_")</f>
        <v>_</v>
      </c>
      <c r="C1261" t="str">
        <f>IF(IFERROR(VLOOKUP(TRIM(A1261),'Full Inventory'!F:F,1,0),0)=0,"X","_")</f>
        <v>X</v>
      </c>
      <c r="D1261" t="str">
        <f t="shared" si="76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F1261" t="str">
        <f t="shared" si="77"/>
        <v>_</v>
      </c>
      <c r="K1261" t="str">
        <f t="shared" ca="1" si="78"/>
        <v>_XX_</v>
      </c>
      <c r="L1261" t="str">
        <f t="shared" ca="1" si="79"/>
        <v/>
      </c>
      <c r="M1261" t="str">
        <f>IFERROR(INDEX(Inventory!A:A,MATCH(Scan!A1261,Inventory!E:E,0)),"")</f>
        <v/>
      </c>
    </row>
    <row r="1262" spans="2:13" x14ac:dyDescent="0.3">
      <c r="B1262" t="str">
        <f>IF(IFERROR(VLOOKUP(TRIM(A1262),Inventory!E:E,1,0),0)=0,"X","_")</f>
        <v>_</v>
      </c>
      <c r="C1262" t="str">
        <f>IF(IFERROR(VLOOKUP(TRIM(A1262),'Full Inventory'!F:F,1,0),0)=0,"X","_")</f>
        <v>X</v>
      </c>
      <c r="D1262" t="str">
        <f t="shared" si="76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F1262" t="str">
        <f t="shared" si="77"/>
        <v>_</v>
      </c>
      <c r="K1262" t="str">
        <f t="shared" ca="1" si="78"/>
        <v>_XX_</v>
      </c>
      <c r="L1262" t="str">
        <f t="shared" ca="1" si="79"/>
        <v/>
      </c>
      <c r="M1262" t="str">
        <f>IFERROR(INDEX(Inventory!A:A,MATCH(Scan!A1262,Inventory!E:E,0)),"")</f>
        <v/>
      </c>
    </row>
    <row r="1263" spans="2:13" x14ac:dyDescent="0.3">
      <c r="B1263" t="str">
        <f>IF(IFERROR(VLOOKUP(TRIM(A1263),Inventory!E:E,1,0),0)=0,"X","_")</f>
        <v>_</v>
      </c>
      <c r="C1263" t="str">
        <f>IF(IFERROR(VLOOKUP(TRIM(A1263),'Full Inventory'!F:F,1,0),0)=0,"X","_")</f>
        <v>X</v>
      </c>
      <c r="D1263" t="str">
        <f t="shared" si="76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F1263" t="str">
        <f t="shared" si="77"/>
        <v>_</v>
      </c>
      <c r="K1263" t="str">
        <f t="shared" ca="1" si="78"/>
        <v>_XX_</v>
      </c>
      <c r="L1263" t="str">
        <f t="shared" ca="1" si="79"/>
        <v/>
      </c>
      <c r="M1263" t="str">
        <f>IFERROR(INDEX(Inventory!A:A,MATCH(Scan!A1263,Inventory!E:E,0)),"")</f>
        <v/>
      </c>
    </row>
    <row r="1264" spans="2:13" x14ac:dyDescent="0.3">
      <c r="B1264" t="str">
        <f>IF(IFERROR(VLOOKUP(TRIM(A1264),Inventory!E:E,1,0),0)=0,"X","_")</f>
        <v>_</v>
      </c>
      <c r="C1264" t="str">
        <f>IF(IFERROR(VLOOKUP(TRIM(A1264),'Full Inventory'!F:F,1,0),0)=0,"X","_")</f>
        <v>X</v>
      </c>
      <c r="D1264" t="str">
        <f t="shared" si="76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F1264" t="str">
        <f t="shared" si="77"/>
        <v>_</v>
      </c>
      <c r="K1264" t="str">
        <f t="shared" ca="1" si="78"/>
        <v>_XX_</v>
      </c>
      <c r="L1264" t="str">
        <f t="shared" ca="1" si="79"/>
        <v/>
      </c>
      <c r="M1264" t="str">
        <f>IFERROR(INDEX(Inventory!A:A,MATCH(Scan!A1264,Inventory!E:E,0)),"")</f>
        <v/>
      </c>
    </row>
    <row r="1265" spans="2:13" x14ac:dyDescent="0.3">
      <c r="B1265" t="str">
        <f>IF(IFERROR(VLOOKUP(TRIM(A1265),Inventory!E:E,1,0),0)=0,"X","_")</f>
        <v>_</v>
      </c>
      <c r="C1265" t="str">
        <f>IF(IFERROR(VLOOKUP(TRIM(A1265),'Full Inventory'!F:F,1,0),0)=0,"X","_")</f>
        <v>X</v>
      </c>
      <c r="D1265" t="str">
        <f t="shared" si="76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F1265" t="str">
        <f t="shared" si="77"/>
        <v>_</v>
      </c>
      <c r="K1265" t="str">
        <f t="shared" ca="1" si="78"/>
        <v>_XX_</v>
      </c>
      <c r="L1265" t="str">
        <f t="shared" ca="1" si="79"/>
        <v/>
      </c>
      <c r="M1265" t="str">
        <f>IFERROR(INDEX(Inventory!A:A,MATCH(Scan!A1265,Inventory!E:E,0)),"")</f>
        <v/>
      </c>
    </row>
    <row r="1266" spans="2:13" x14ac:dyDescent="0.3">
      <c r="B1266" t="str">
        <f>IF(IFERROR(VLOOKUP(TRIM(A1266),Inventory!E:E,1,0),0)=0,"X","_")</f>
        <v>_</v>
      </c>
      <c r="C1266" t="str">
        <f>IF(IFERROR(VLOOKUP(TRIM(A1266),'Full Inventory'!F:F,1,0),0)=0,"X","_")</f>
        <v>X</v>
      </c>
      <c r="D1266" t="str">
        <f t="shared" si="76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F1266" t="str">
        <f t="shared" si="77"/>
        <v>_</v>
      </c>
      <c r="K1266" t="str">
        <f t="shared" ca="1" si="78"/>
        <v>_XX_</v>
      </c>
      <c r="L1266" t="str">
        <f t="shared" ca="1" si="79"/>
        <v/>
      </c>
      <c r="M1266" t="str">
        <f>IFERROR(INDEX(Inventory!A:A,MATCH(Scan!A1266,Inventory!E:E,0)),"")</f>
        <v/>
      </c>
    </row>
    <row r="1267" spans="2:13" x14ac:dyDescent="0.3">
      <c r="B1267" t="str">
        <f>IF(IFERROR(VLOOKUP(TRIM(A1267),Inventory!E:E,1,0),0)=0,"X","_")</f>
        <v>_</v>
      </c>
      <c r="C1267" t="str">
        <f>IF(IFERROR(VLOOKUP(TRIM(A1267),'Full Inventory'!F:F,1,0),0)=0,"X","_")</f>
        <v>X</v>
      </c>
      <c r="D1267" t="str">
        <f t="shared" si="76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F1267" t="str">
        <f t="shared" si="77"/>
        <v>_</v>
      </c>
      <c r="K1267" t="str">
        <f t="shared" ca="1" si="78"/>
        <v>_XX_</v>
      </c>
      <c r="L1267" t="str">
        <f t="shared" ca="1" si="79"/>
        <v/>
      </c>
      <c r="M1267" t="str">
        <f>IFERROR(INDEX(Inventory!A:A,MATCH(Scan!A1267,Inventory!E:E,0)),"")</f>
        <v/>
      </c>
    </row>
    <row r="1268" spans="2:13" x14ac:dyDescent="0.3">
      <c r="B1268" t="str">
        <f>IF(IFERROR(VLOOKUP(TRIM(A1268),Inventory!E:E,1,0),0)=0,"X","_")</f>
        <v>_</v>
      </c>
      <c r="C1268" t="str">
        <f>IF(IFERROR(VLOOKUP(TRIM(A1268),'Full Inventory'!F:F,1,0),0)=0,"X","_")</f>
        <v>X</v>
      </c>
      <c r="D1268" t="str">
        <f t="shared" si="76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F1268" t="str">
        <f t="shared" si="77"/>
        <v>_</v>
      </c>
      <c r="K1268" t="str">
        <f t="shared" ca="1" si="78"/>
        <v>_XX_</v>
      </c>
      <c r="L1268" t="str">
        <f t="shared" ca="1" si="79"/>
        <v/>
      </c>
      <c r="M1268" t="str">
        <f>IFERROR(INDEX(Inventory!A:A,MATCH(Scan!A1268,Inventory!E:E,0)),"")</f>
        <v/>
      </c>
    </row>
    <row r="1269" spans="2:13" x14ac:dyDescent="0.3">
      <c r="B1269" t="str">
        <f>IF(IFERROR(VLOOKUP(TRIM(A1269),Inventory!E:E,1,0),0)=0,"X","_")</f>
        <v>_</v>
      </c>
      <c r="C1269" t="str">
        <f>IF(IFERROR(VLOOKUP(TRIM(A1269),'Full Inventory'!F:F,1,0),0)=0,"X","_")</f>
        <v>X</v>
      </c>
      <c r="D1269" t="str">
        <f t="shared" si="76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F1269" t="str">
        <f t="shared" si="77"/>
        <v>_</v>
      </c>
      <c r="K1269" t="str">
        <f t="shared" ca="1" si="78"/>
        <v>_XX_</v>
      </c>
      <c r="L1269" t="str">
        <f t="shared" ca="1" si="79"/>
        <v/>
      </c>
      <c r="M1269" t="str">
        <f>IFERROR(INDEX(Inventory!A:A,MATCH(Scan!A1269,Inventory!E:E,0)),"")</f>
        <v/>
      </c>
    </row>
    <row r="1270" spans="2:13" x14ac:dyDescent="0.3">
      <c r="B1270" t="str">
        <f>IF(IFERROR(VLOOKUP(TRIM(A1270),Inventory!E:E,1,0),0)=0,"X","_")</f>
        <v>_</v>
      </c>
      <c r="C1270" t="str">
        <f>IF(IFERROR(VLOOKUP(TRIM(A1270),'Full Inventory'!F:F,1,0),0)=0,"X","_")</f>
        <v>X</v>
      </c>
      <c r="D1270" t="str">
        <f t="shared" si="76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F1270" t="str">
        <f t="shared" si="77"/>
        <v>_</v>
      </c>
      <c r="K1270" t="str">
        <f t="shared" ca="1" si="78"/>
        <v>_XX_</v>
      </c>
      <c r="L1270" t="str">
        <f t="shared" ca="1" si="79"/>
        <v/>
      </c>
      <c r="M1270" t="str">
        <f>IFERROR(INDEX(Inventory!A:A,MATCH(Scan!A1270,Inventory!E:E,0)),"")</f>
        <v/>
      </c>
    </row>
    <row r="1271" spans="2:13" x14ac:dyDescent="0.3">
      <c r="B1271" t="str">
        <f>IF(IFERROR(VLOOKUP(TRIM(A1271),Inventory!E:E,1,0),0)=0,"X","_")</f>
        <v>_</v>
      </c>
      <c r="C1271" t="str">
        <f>IF(IFERROR(VLOOKUP(TRIM(A1271),'Full Inventory'!F:F,1,0),0)=0,"X","_")</f>
        <v>X</v>
      </c>
      <c r="D1271" t="str">
        <f t="shared" si="76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F1271" t="str">
        <f t="shared" si="77"/>
        <v>_</v>
      </c>
      <c r="K1271" t="str">
        <f t="shared" ca="1" si="78"/>
        <v>_XX_</v>
      </c>
      <c r="L1271" t="str">
        <f t="shared" ca="1" si="79"/>
        <v/>
      </c>
      <c r="M1271" t="str">
        <f>IFERROR(INDEX(Inventory!A:A,MATCH(Scan!A1271,Inventory!E:E,0)),"")</f>
        <v/>
      </c>
    </row>
    <row r="1272" spans="2:13" x14ac:dyDescent="0.3">
      <c r="B1272" t="str">
        <f>IF(IFERROR(VLOOKUP(TRIM(A1272),Inventory!E:E,1,0),0)=0,"X","_")</f>
        <v>_</v>
      </c>
      <c r="C1272" t="str">
        <f>IF(IFERROR(VLOOKUP(TRIM(A1272),'Full Inventory'!F:F,1,0),0)=0,"X","_")</f>
        <v>X</v>
      </c>
      <c r="D1272" t="str">
        <f t="shared" si="76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F1272" t="str">
        <f t="shared" si="77"/>
        <v>_</v>
      </c>
      <c r="K1272" t="str">
        <f t="shared" ca="1" si="78"/>
        <v>_XX_</v>
      </c>
      <c r="L1272" t="str">
        <f t="shared" ca="1" si="79"/>
        <v/>
      </c>
      <c r="M1272" t="str">
        <f>IFERROR(INDEX(Inventory!A:A,MATCH(Scan!A1272,Inventory!E:E,0)),"")</f>
        <v/>
      </c>
    </row>
    <row r="1273" spans="2:13" x14ac:dyDescent="0.3">
      <c r="B1273" t="str">
        <f>IF(IFERROR(VLOOKUP(TRIM(A1273),Inventory!E:E,1,0),0)=0,"X","_")</f>
        <v>_</v>
      </c>
      <c r="C1273" t="str">
        <f>IF(IFERROR(VLOOKUP(TRIM(A1273),'Full Inventory'!F:F,1,0),0)=0,"X","_")</f>
        <v>X</v>
      </c>
      <c r="D1273" t="str">
        <f t="shared" si="76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F1273" t="str">
        <f t="shared" si="77"/>
        <v>_</v>
      </c>
      <c r="K1273" t="str">
        <f t="shared" ca="1" si="78"/>
        <v>_XX_</v>
      </c>
      <c r="L1273" t="str">
        <f t="shared" ca="1" si="79"/>
        <v/>
      </c>
      <c r="M1273" t="str">
        <f>IFERROR(INDEX(Inventory!A:A,MATCH(Scan!A1273,Inventory!E:E,0)),"")</f>
        <v/>
      </c>
    </row>
    <row r="1274" spans="2:13" x14ac:dyDescent="0.3">
      <c r="B1274" t="str">
        <f>IF(IFERROR(VLOOKUP(TRIM(A1274),Inventory!E:E,1,0),0)=0,"X","_")</f>
        <v>_</v>
      </c>
      <c r="C1274" t="str">
        <f>IF(IFERROR(VLOOKUP(TRIM(A1274),'Full Inventory'!F:F,1,0),0)=0,"X","_")</f>
        <v>X</v>
      </c>
      <c r="D1274" t="str">
        <f t="shared" si="76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F1274" t="str">
        <f t="shared" si="77"/>
        <v>_</v>
      </c>
      <c r="K1274" t="str">
        <f t="shared" ca="1" si="78"/>
        <v>_XX_</v>
      </c>
      <c r="L1274" t="str">
        <f t="shared" ca="1" si="79"/>
        <v/>
      </c>
      <c r="M1274" t="str">
        <f>IFERROR(INDEX(Inventory!A:A,MATCH(Scan!A1274,Inventory!E:E,0)),"")</f>
        <v/>
      </c>
    </row>
    <row r="1275" spans="2:13" x14ac:dyDescent="0.3">
      <c r="B1275" t="str">
        <f>IF(IFERROR(VLOOKUP(TRIM(A1275),Inventory!E:E,1,0),0)=0,"X","_")</f>
        <v>_</v>
      </c>
      <c r="C1275" t="str">
        <f>IF(IFERROR(VLOOKUP(TRIM(A1275),'Full Inventory'!F:F,1,0),0)=0,"X","_")</f>
        <v>X</v>
      </c>
      <c r="D1275" t="str">
        <f t="shared" si="76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F1275" t="str">
        <f t="shared" si="77"/>
        <v>_</v>
      </c>
      <c r="K1275" t="str">
        <f t="shared" ca="1" si="78"/>
        <v>_XX_</v>
      </c>
      <c r="L1275" t="str">
        <f t="shared" ca="1" si="79"/>
        <v/>
      </c>
      <c r="M1275" t="str">
        <f>IFERROR(INDEX(Inventory!A:A,MATCH(Scan!A1275,Inventory!E:E,0)),"")</f>
        <v/>
      </c>
    </row>
    <row r="1276" spans="2:13" x14ac:dyDescent="0.3">
      <c r="B1276" t="str">
        <f>IF(IFERROR(VLOOKUP(TRIM(A1276),Inventory!E:E,1,0),0)=0,"X","_")</f>
        <v>_</v>
      </c>
      <c r="C1276" t="str">
        <f>IF(IFERROR(VLOOKUP(TRIM(A1276),'Full Inventory'!F:F,1,0),0)=0,"X","_")</f>
        <v>X</v>
      </c>
      <c r="D1276" t="str">
        <f t="shared" si="76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F1276" t="str">
        <f t="shared" si="77"/>
        <v>_</v>
      </c>
      <c r="K1276" t="str">
        <f t="shared" ca="1" si="78"/>
        <v>_XX_</v>
      </c>
      <c r="L1276" t="str">
        <f t="shared" ca="1" si="79"/>
        <v/>
      </c>
      <c r="M1276" t="str">
        <f>IFERROR(INDEX(Inventory!A:A,MATCH(Scan!A1276,Inventory!E:E,0)),"")</f>
        <v/>
      </c>
    </row>
    <row r="1277" spans="2:13" x14ac:dyDescent="0.3">
      <c r="B1277" t="str">
        <f>IF(IFERROR(VLOOKUP(TRIM(A1277),Inventory!E:E,1,0),0)=0,"X","_")</f>
        <v>_</v>
      </c>
      <c r="C1277" t="str">
        <f>IF(IFERROR(VLOOKUP(TRIM(A1277),'Full Inventory'!F:F,1,0),0)=0,"X","_")</f>
        <v>X</v>
      </c>
      <c r="D1277" t="str">
        <f t="shared" si="76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F1277" t="str">
        <f t="shared" si="77"/>
        <v>_</v>
      </c>
      <c r="K1277" t="str">
        <f t="shared" ca="1" si="78"/>
        <v>_XX_</v>
      </c>
      <c r="L1277" t="str">
        <f t="shared" ca="1" si="79"/>
        <v/>
      </c>
      <c r="M1277" t="str">
        <f>IFERROR(INDEX(Inventory!A:A,MATCH(Scan!A1277,Inventory!E:E,0)),"")</f>
        <v/>
      </c>
    </row>
    <row r="1278" spans="2:13" x14ac:dyDescent="0.3">
      <c r="B1278" t="str">
        <f>IF(IFERROR(VLOOKUP(TRIM(A1278),Inventory!E:E,1,0),0)=0,"X","_")</f>
        <v>_</v>
      </c>
      <c r="C1278" t="str">
        <f>IF(IFERROR(VLOOKUP(TRIM(A1278),'Full Inventory'!F:F,1,0),0)=0,"X","_")</f>
        <v>X</v>
      </c>
      <c r="D1278" t="str">
        <f t="shared" si="76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F1278" t="str">
        <f t="shared" si="77"/>
        <v>_</v>
      </c>
      <c r="K1278" t="str">
        <f t="shared" ca="1" si="78"/>
        <v>_XX_</v>
      </c>
      <c r="L1278" t="str">
        <f t="shared" ca="1" si="79"/>
        <v/>
      </c>
      <c r="M1278" t="str">
        <f>IFERROR(INDEX(Inventory!A:A,MATCH(Scan!A1278,Inventory!E:E,0)),"")</f>
        <v/>
      </c>
    </row>
    <row r="1279" spans="2:13" x14ac:dyDescent="0.3">
      <c r="B1279" t="str">
        <f>IF(IFERROR(VLOOKUP(TRIM(A1279),Inventory!E:E,1,0),0)=0,"X","_")</f>
        <v>_</v>
      </c>
      <c r="C1279" t="str">
        <f>IF(IFERROR(VLOOKUP(TRIM(A1279),'Full Inventory'!F:F,1,0),0)=0,"X","_")</f>
        <v>X</v>
      </c>
      <c r="D1279" t="str">
        <f t="shared" si="76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F1279" t="str">
        <f t="shared" si="77"/>
        <v>_</v>
      </c>
      <c r="K1279" t="str">
        <f t="shared" ca="1" si="78"/>
        <v>_XX_</v>
      </c>
      <c r="L1279" t="str">
        <f t="shared" ca="1" si="79"/>
        <v/>
      </c>
      <c r="M1279" t="str">
        <f>IFERROR(INDEX(Inventory!A:A,MATCH(Scan!A1279,Inventory!E:E,0)),"")</f>
        <v/>
      </c>
    </row>
    <row r="1280" spans="2:13" x14ac:dyDescent="0.3">
      <c r="B1280" t="str">
        <f>IF(IFERROR(VLOOKUP(TRIM(A1280),Inventory!E:E,1,0),0)=0,"X","_")</f>
        <v>_</v>
      </c>
      <c r="C1280" t="str">
        <f>IF(IFERROR(VLOOKUP(TRIM(A1280),'Full Inventory'!F:F,1,0),0)=0,"X","_")</f>
        <v>X</v>
      </c>
      <c r="D1280" t="str">
        <f t="shared" si="76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F1280" t="str">
        <f t="shared" si="77"/>
        <v>_</v>
      </c>
      <c r="K1280" t="str">
        <f t="shared" ca="1" si="78"/>
        <v>_XX_</v>
      </c>
      <c r="L1280" t="str">
        <f t="shared" ca="1" si="79"/>
        <v/>
      </c>
      <c r="M1280" t="str">
        <f>IFERROR(INDEX(Inventory!A:A,MATCH(Scan!A1280,Inventory!E:E,0)),"")</f>
        <v/>
      </c>
    </row>
    <row r="1281" spans="2:13" x14ac:dyDescent="0.3">
      <c r="B1281" t="str">
        <f>IF(IFERROR(VLOOKUP(TRIM(A1281),Inventory!E:E,1,0),0)=0,"X","_")</f>
        <v>_</v>
      </c>
      <c r="C1281" t="str">
        <f>IF(IFERROR(VLOOKUP(TRIM(A1281),'Full Inventory'!F:F,1,0),0)=0,"X","_")</f>
        <v>X</v>
      </c>
      <c r="D1281" t="str">
        <f t="shared" si="76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F1281" t="str">
        <f t="shared" si="77"/>
        <v>_</v>
      </c>
      <c r="K1281" t="str">
        <f t="shared" ca="1" si="78"/>
        <v>_XX_</v>
      </c>
      <c r="L1281" t="str">
        <f t="shared" ca="1" si="79"/>
        <v/>
      </c>
      <c r="M1281" t="str">
        <f>IFERROR(INDEX(Inventory!A:A,MATCH(Scan!A1281,Inventory!E:E,0)),"")</f>
        <v/>
      </c>
    </row>
    <row r="1282" spans="2:13" x14ac:dyDescent="0.3">
      <c r="B1282" t="str">
        <f>IF(IFERROR(VLOOKUP(TRIM(A1282),Inventory!E:E,1,0),0)=0,"X","_")</f>
        <v>_</v>
      </c>
      <c r="C1282" t="str">
        <f>IF(IFERROR(VLOOKUP(TRIM(A1282),'Full Inventory'!F:F,1,0),0)=0,"X","_")</f>
        <v>X</v>
      </c>
      <c r="D1282" t="str">
        <f t="shared" ref="D1282:D1345" si="8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F1282" t="str">
        <f t="shared" si="77"/>
        <v>_</v>
      </c>
      <c r="K1282" t="str">
        <f t="shared" ca="1" si="78"/>
        <v>_XX_</v>
      </c>
      <c r="L1282" t="str">
        <f t="shared" ca="1" si="79"/>
        <v/>
      </c>
      <c r="M1282" t="str">
        <f>IFERROR(INDEX(Inventory!A:A,MATCH(Scan!A1282,Inventory!E:E,0)),"")</f>
        <v/>
      </c>
    </row>
    <row r="1283" spans="2:13" x14ac:dyDescent="0.3">
      <c r="B1283" t="str">
        <f>IF(IFERROR(VLOOKUP(TRIM(A1283),Inventory!E:E,1,0),0)=0,"X","_")</f>
        <v>_</v>
      </c>
      <c r="C1283" t="str">
        <f>IF(IFERROR(VLOOKUP(TRIM(A1283),'Full Inventory'!F:F,1,0),0)=0,"X","_")</f>
        <v>X</v>
      </c>
      <c r="D1283" t="str">
        <f t="shared" si="8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F1283" t="str">
        <f t="shared" ref="F1283:F1346" si="81">IF(IFERROR(SEARCH("ö",A1283),0)&gt;0,"X","_")</f>
        <v>_</v>
      </c>
      <c r="K1283" t="str">
        <f t="shared" ref="K1283:K1346" ca="1" si="82">B1283&amp;C1283&amp;D1283&amp;E1283</f>
        <v>_XX_</v>
      </c>
      <c r="L1283" t="str">
        <f t="shared" ref="L1283:L1346" ca="1" si="83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3">
      <c r="B1284" t="str">
        <f>IF(IFERROR(VLOOKUP(TRIM(A1284),Inventory!E:E,1,0),0)=0,"X","_")</f>
        <v>_</v>
      </c>
      <c r="C1284" t="str">
        <f>IF(IFERROR(VLOOKUP(TRIM(A1284),'Full Inventory'!F:F,1,0),0)=0,"X","_")</f>
        <v>X</v>
      </c>
      <c r="D1284" t="str">
        <f t="shared" si="8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F1284" t="str">
        <f t="shared" si="81"/>
        <v>_</v>
      </c>
      <c r="K1284" t="str">
        <f t="shared" ca="1" si="82"/>
        <v>_XX_</v>
      </c>
      <c r="L1284" t="str">
        <f t="shared" ca="1" si="83"/>
        <v/>
      </c>
      <c r="M1284" t="str">
        <f>IFERROR(INDEX(Inventory!A:A,MATCH(Scan!A1284,Inventory!E:E,0)),"")</f>
        <v/>
      </c>
    </row>
    <row r="1285" spans="2:13" x14ac:dyDescent="0.3">
      <c r="B1285" t="str">
        <f>IF(IFERROR(VLOOKUP(TRIM(A1285),Inventory!E:E,1,0),0)=0,"X","_")</f>
        <v>_</v>
      </c>
      <c r="C1285" t="str">
        <f>IF(IFERROR(VLOOKUP(TRIM(A1285),'Full Inventory'!F:F,1,0),0)=0,"X","_")</f>
        <v>X</v>
      </c>
      <c r="D1285" t="str">
        <f t="shared" si="8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F1285" t="str">
        <f t="shared" si="81"/>
        <v>_</v>
      </c>
      <c r="K1285" t="str">
        <f t="shared" ca="1" si="82"/>
        <v>_XX_</v>
      </c>
      <c r="L1285" t="str">
        <f t="shared" ca="1" si="83"/>
        <v/>
      </c>
      <c r="M1285" t="str">
        <f>IFERROR(INDEX(Inventory!A:A,MATCH(Scan!A1285,Inventory!E:E,0)),"")</f>
        <v/>
      </c>
    </row>
    <row r="1286" spans="2:13" x14ac:dyDescent="0.3">
      <c r="B1286" t="str">
        <f>IF(IFERROR(VLOOKUP(TRIM(A1286),Inventory!E:E,1,0),0)=0,"X","_")</f>
        <v>_</v>
      </c>
      <c r="C1286" t="str">
        <f>IF(IFERROR(VLOOKUP(TRIM(A1286),'Full Inventory'!F:F,1,0),0)=0,"X","_")</f>
        <v>X</v>
      </c>
      <c r="D1286" t="str">
        <f t="shared" si="8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F1286" t="str">
        <f t="shared" si="81"/>
        <v>_</v>
      </c>
      <c r="K1286" t="str">
        <f t="shared" ca="1" si="82"/>
        <v>_XX_</v>
      </c>
      <c r="L1286" t="str">
        <f t="shared" ca="1" si="83"/>
        <v/>
      </c>
      <c r="M1286" t="str">
        <f>IFERROR(INDEX(Inventory!A:A,MATCH(Scan!A1286,Inventory!E:E,0)),"")</f>
        <v/>
      </c>
    </row>
    <row r="1287" spans="2:13" x14ac:dyDescent="0.3">
      <c r="B1287" t="str">
        <f>IF(IFERROR(VLOOKUP(TRIM(A1287),Inventory!E:E,1,0),0)=0,"X","_")</f>
        <v>_</v>
      </c>
      <c r="C1287" t="str">
        <f>IF(IFERROR(VLOOKUP(TRIM(A1287),'Full Inventory'!F:F,1,0),0)=0,"X","_")</f>
        <v>X</v>
      </c>
      <c r="D1287" t="str">
        <f t="shared" si="8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F1287" t="str">
        <f t="shared" si="81"/>
        <v>_</v>
      </c>
      <c r="K1287" t="str">
        <f t="shared" ca="1" si="82"/>
        <v>_XX_</v>
      </c>
      <c r="L1287" t="str">
        <f t="shared" ca="1" si="83"/>
        <v/>
      </c>
      <c r="M1287" t="str">
        <f>IFERROR(INDEX(Inventory!A:A,MATCH(Scan!A1287,Inventory!E:E,0)),"")</f>
        <v/>
      </c>
    </row>
    <row r="1288" spans="2:13" x14ac:dyDescent="0.3">
      <c r="B1288" t="str">
        <f>IF(IFERROR(VLOOKUP(TRIM(A1288),Inventory!E:E,1,0),0)=0,"X","_")</f>
        <v>_</v>
      </c>
      <c r="C1288" t="str">
        <f>IF(IFERROR(VLOOKUP(TRIM(A1288),'Full Inventory'!F:F,1,0),0)=0,"X","_")</f>
        <v>X</v>
      </c>
      <c r="D1288" t="str">
        <f t="shared" si="8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F1288" t="str">
        <f t="shared" si="81"/>
        <v>_</v>
      </c>
      <c r="K1288" t="str">
        <f t="shared" ca="1" si="82"/>
        <v>_XX_</v>
      </c>
      <c r="L1288" t="str">
        <f t="shared" ca="1" si="83"/>
        <v/>
      </c>
      <c r="M1288" t="str">
        <f>IFERROR(INDEX(Inventory!A:A,MATCH(Scan!A1288,Inventory!E:E,0)),"")</f>
        <v/>
      </c>
    </row>
    <row r="1289" spans="2:13" x14ac:dyDescent="0.3">
      <c r="B1289" t="str">
        <f>IF(IFERROR(VLOOKUP(TRIM(A1289),Inventory!E:E,1,0),0)=0,"X","_")</f>
        <v>_</v>
      </c>
      <c r="C1289" t="str">
        <f>IF(IFERROR(VLOOKUP(TRIM(A1289),'Full Inventory'!F:F,1,0),0)=0,"X","_")</f>
        <v>X</v>
      </c>
      <c r="D1289" t="str">
        <f t="shared" si="8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F1289" t="str">
        <f t="shared" si="81"/>
        <v>_</v>
      </c>
      <c r="K1289" t="str">
        <f t="shared" ca="1" si="82"/>
        <v>_XX_</v>
      </c>
      <c r="L1289" t="str">
        <f t="shared" ca="1" si="83"/>
        <v/>
      </c>
      <c r="M1289" t="str">
        <f>IFERROR(INDEX(Inventory!A:A,MATCH(Scan!A1289,Inventory!E:E,0)),"")</f>
        <v/>
      </c>
    </row>
    <row r="1290" spans="2:13" x14ac:dyDescent="0.3">
      <c r="B1290" t="str">
        <f>IF(IFERROR(VLOOKUP(TRIM(A1290),Inventory!E:E,1,0),0)=0,"X","_")</f>
        <v>_</v>
      </c>
      <c r="C1290" t="str">
        <f>IF(IFERROR(VLOOKUP(TRIM(A1290),'Full Inventory'!F:F,1,0),0)=0,"X","_")</f>
        <v>X</v>
      </c>
      <c r="D1290" t="str">
        <f t="shared" si="8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F1290" t="str">
        <f t="shared" si="81"/>
        <v>_</v>
      </c>
      <c r="K1290" t="str">
        <f t="shared" ca="1" si="82"/>
        <v>_XX_</v>
      </c>
      <c r="L1290" t="str">
        <f t="shared" ca="1" si="83"/>
        <v/>
      </c>
      <c r="M1290" t="str">
        <f>IFERROR(INDEX(Inventory!A:A,MATCH(Scan!A1290,Inventory!E:E,0)),"")</f>
        <v/>
      </c>
    </row>
    <row r="1291" spans="2:13" x14ac:dyDescent="0.3">
      <c r="B1291" t="str">
        <f>IF(IFERROR(VLOOKUP(TRIM(A1291),Inventory!E:E,1,0),0)=0,"X","_")</f>
        <v>_</v>
      </c>
      <c r="C1291" t="str">
        <f>IF(IFERROR(VLOOKUP(TRIM(A1291),'Full Inventory'!F:F,1,0),0)=0,"X","_")</f>
        <v>X</v>
      </c>
      <c r="D1291" t="str">
        <f t="shared" si="8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F1291" t="str">
        <f t="shared" si="81"/>
        <v>_</v>
      </c>
      <c r="K1291" t="str">
        <f t="shared" ca="1" si="82"/>
        <v>_XX_</v>
      </c>
      <c r="L1291" t="str">
        <f t="shared" ca="1" si="83"/>
        <v/>
      </c>
      <c r="M1291" t="str">
        <f>IFERROR(INDEX(Inventory!A:A,MATCH(Scan!A1291,Inventory!E:E,0)),"")</f>
        <v/>
      </c>
    </row>
    <row r="1292" spans="2:13" x14ac:dyDescent="0.3">
      <c r="B1292" t="str">
        <f>IF(IFERROR(VLOOKUP(TRIM(A1292),Inventory!E:E,1,0),0)=0,"X","_")</f>
        <v>_</v>
      </c>
      <c r="C1292" t="str">
        <f>IF(IFERROR(VLOOKUP(TRIM(A1292),'Full Inventory'!F:F,1,0),0)=0,"X","_")</f>
        <v>X</v>
      </c>
      <c r="D1292" t="str">
        <f t="shared" si="8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F1292" t="str">
        <f t="shared" si="81"/>
        <v>_</v>
      </c>
      <c r="K1292" t="str">
        <f t="shared" ca="1" si="82"/>
        <v>_XX_</v>
      </c>
      <c r="L1292" t="str">
        <f t="shared" ca="1" si="83"/>
        <v/>
      </c>
      <c r="M1292" t="str">
        <f>IFERROR(INDEX(Inventory!A:A,MATCH(Scan!A1292,Inventory!E:E,0)),"")</f>
        <v/>
      </c>
    </row>
    <row r="1293" spans="2:13" x14ac:dyDescent="0.3">
      <c r="B1293" t="str">
        <f>IF(IFERROR(VLOOKUP(TRIM(A1293),Inventory!E:E,1,0),0)=0,"X","_")</f>
        <v>_</v>
      </c>
      <c r="C1293" t="str">
        <f>IF(IFERROR(VLOOKUP(TRIM(A1293),'Full Inventory'!F:F,1,0),0)=0,"X","_")</f>
        <v>X</v>
      </c>
      <c r="D1293" t="str">
        <f t="shared" si="8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F1293" t="str">
        <f t="shared" si="81"/>
        <v>_</v>
      </c>
      <c r="K1293" t="str">
        <f t="shared" ca="1" si="82"/>
        <v>_XX_</v>
      </c>
      <c r="L1293" t="str">
        <f t="shared" ca="1" si="83"/>
        <v/>
      </c>
      <c r="M1293" t="str">
        <f>IFERROR(INDEX(Inventory!A:A,MATCH(Scan!A1293,Inventory!E:E,0)),"")</f>
        <v/>
      </c>
    </row>
    <row r="1294" spans="2:13" x14ac:dyDescent="0.3">
      <c r="B1294" t="str">
        <f>IF(IFERROR(VLOOKUP(TRIM(A1294),Inventory!E:E,1,0),0)=0,"X","_")</f>
        <v>_</v>
      </c>
      <c r="C1294" t="str">
        <f>IF(IFERROR(VLOOKUP(TRIM(A1294),'Full Inventory'!F:F,1,0),0)=0,"X","_")</f>
        <v>X</v>
      </c>
      <c r="D1294" t="str">
        <f t="shared" si="8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F1294" t="str">
        <f t="shared" si="81"/>
        <v>_</v>
      </c>
      <c r="K1294" t="str">
        <f t="shared" ca="1" si="82"/>
        <v>_XX_</v>
      </c>
      <c r="L1294" t="str">
        <f t="shared" ca="1" si="83"/>
        <v/>
      </c>
      <c r="M1294" t="str">
        <f>IFERROR(INDEX(Inventory!A:A,MATCH(Scan!A1294,Inventory!E:E,0)),"")</f>
        <v/>
      </c>
    </row>
    <row r="1295" spans="2:13" x14ac:dyDescent="0.3">
      <c r="B1295" t="str">
        <f>IF(IFERROR(VLOOKUP(TRIM(A1295),Inventory!E:E,1,0),0)=0,"X","_")</f>
        <v>_</v>
      </c>
      <c r="C1295" t="str">
        <f>IF(IFERROR(VLOOKUP(TRIM(A1295),'Full Inventory'!F:F,1,0),0)=0,"X","_")</f>
        <v>X</v>
      </c>
      <c r="D1295" t="str">
        <f t="shared" si="8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F1295" t="str">
        <f t="shared" si="81"/>
        <v>_</v>
      </c>
      <c r="K1295" t="str">
        <f t="shared" ca="1" si="82"/>
        <v>_XX_</v>
      </c>
      <c r="L1295" t="str">
        <f t="shared" ca="1" si="83"/>
        <v/>
      </c>
      <c r="M1295" t="str">
        <f>IFERROR(INDEX(Inventory!A:A,MATCH(Scan!A1295,Inventory!E:E,0)),"")</f>
        <v/>
      </c>
    </row>
    <row r="1296" spans="2:13" x14ac:dyDescent="0.3">
      <c r="B1296" t="str">
        <f>IF(IFERROR(VLOOKUP(TRIM(A1296),Inventory!E:E,1,0),0)=0,"X","_")</f>
        <v>_</v>
      </c>
      <c r="C1296" t="str">
        <f>IF(IFERROR(VLOOKUP(TRIM(A1296),'Full Inventory'!F:F,1,0),0)=0,"X","_")</f>
        <v>X</v>
      </c>
      <c r="D1296" t="str">
        <f t="shared" si="8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F1296" t="str">
        <f t="shared" si="81"/>
        <v>_</v>
      </c>
      <c r="K1296" t="str">
        <f t="shared" ca="1" si="82"/>
        <v>_XX_</v>
      </c>
      <c r="L1296" t="str">
        <f t="shared" ca="1" si="83"/>
        <v/>
      </c>
      <c r="M1296" t="str">
        <f>IFERROR(INDEX(Inventory!A:A,MATCH(Scan!A1296,Inventory!E:E,0)),"")</f>
        <v/>
      </c>
    </row>
    <row r="1297" spans="2:13" x14ac:dyDescent="0.3">
      <c r="B1297" t="str">
        <f>IF(IFERROR(VLOOKUP(TRIM(A1297),Inventory!E:E,1,0),0)=0,"X","_")</f>
        <v>_</v>
      </c>
      <c r="C1297" t="str">
        <f>IF(IFERROR(VLOOKUP(TRIM(A1297),'Full Inventory'!F:F,1,0),0)=0,"X","_")</f>
        <v>X</v>
      </c>
      <c r="D1297" t="str">
        <f t="shared" si="8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F1297" t="str">
        <f t="shared" si="81"/>
        <v>_</v>
      </c>
      <c r="K1297" t="str">
        <f t="shared" ca="1" si="82"/>
        <v>_XX_</v>
      </c>
      <c r="L1297" t="str">
        <f t="shared" ca="1" si="83"/>
        <v/>
      </c>
      <c r="M1297" t="str">
        <f>IFERROR(INDEX(Inventory!A:A,MATCH(Scan!A1297,Inventory!E:E,0)),"")</f>
        <v/>
      </c>
    </row>
    <row r="1298" spans="2:13" x14ac:dyDescent="0.3">
      <c r="B1298" t="str">
        <f>IF(IFERROR(VLOOKUP(TRIM(A1298),Inventory!E:E,1,0),0)=0,"X","_")</f>
        <v>_</v>
      </c>
      <c r="C1298" t="str">
        <f>IF(IFERROR(VLOOKUP(TRIM(A1298),'Full Inventory'!F:F,1,0),0)=0,"X","_")</f>
        <v>X</v>
      </c>
      <c r="D1298" t="str">
        <f t="shared" si="8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F1298" t="str">
        <f t="shared" si="81"/>
        <v>_</v>
      </c>
      <c r="K1298" t="str">
        <f t="shared" ca="1" si="82"/>
        <v>_XX_</v>
      </c>
      <c r="L1298" t="str">
        <f t="shared" ca="1" si="83"/>
        <v/>
      </c>
      <c r="M1298" t="str">
        <f>IFERROR(INDEX(Inventory!A:A,MATCH(Scan!A1298,Inventory!E:E,0)),"")</f>
        <v/>
      </c>
    </row>
    <row r="1299" spans="2:13" x14ac:dyDescent="0.3">
      <c r="B1299" t="str">
        <f>IF(IFERROR(VLOOKUP(TRIM(A1299),Inventory!E:E,1,0),0)=0,"X","_")</f>
        <v>_</v>
      </c>
      <c r="C1299" t="str">
        <f>IF(IFERROR(VLOOKUP(TRIM(A1299),'Full Inventory'!F:F,1,0),0)=0,"X","_")</f>
        <v>X</v>
      </c>
      <c r="D1299" t="str">
        <f t="shared" si="8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F1299" t="str">
        <f t="shared" si="81"/>
        <v>_</v>
      </c>
      <c r="K1299" t="str">
        <f t="shared" ca="1" si="82"/>
        <v>_XX_</v>
      </c>
      <c r="L1299" t="str">
        <f t="shared" ca="1" si="83"/>
        <v/>
      </c>
      <c r="M1299" t="str">
        <f>IFERROR(INDEX(Inventory!A:A,MATCH(Scan!A1299,Inventory!E:E,0)),"")</f>
        <v/>
      </c>
    </row>
    <row r="1300" spans="2:13" x14ac:dyDescent="0.3">
      <c r="B1300" t="str">
        <f>IF(IFERROR(VLOOKUP(TRIM(A1300),Inventory!E:E,1,0),0)=0,"X","_")</f>
        <v>_</v>
      </c>
      <c r="C1300" t="str">
        <f>IF(IFERROR(VLOOKUP(TRIM(A1300),'Full Inventory'!F:F,1,0),0)=0,"X","_")</f>
        <v>X</v>
      </c>
      <c r="D1300" t="str">
        <f t="shared" si="8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F1300" t="str">
        <f t="shared" si="81"/>
        <v>_</v>
      </c>
      <c r="K1300" t="str">
        <f t="shared" ca="1" si="82"/>
        <v>_XX_</v>
      </c>
      <c r="L1300" t="str">
        <f t="shared" ca="1" si="83"/>
        <v/>
      </c>
      <c r="M1300" t="str">
        <f>IFERROR(INDEX(Inventory!A:A,MATCH(Scan!A1300,Inventory!E:E,0)),"")</f>
        <v/>
      </c>
    </row>
    <row r="1301" spans="2:13" x14ac:dyDescent="0.3">
      <c r="B1301" t="str">
        <f>IF(IFERROR(VLOOKUP(TRIM(A1301),Inventory!E:E,1,0),0)=0,"X","_")</f>
        <v>_</v>
      </c>
      <c r="C1301" t="str">
        <f>IF(IFERROR(VLOOKUP(TRIM(A1301),'Full Inventory'!F:F,1,0),0)=0,"X","_")</f>
        <v>X</v>
      </c>
      <c r="D1301" t="str">
        <f t="shared" si="8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F1301" t="str">
        <f t="shared" si="81"/>
        <v>_</v>
      </c>
      <c r="K1301" t="str">
        <f t="shared" ca="1" si="82"/>
        <v>_XX_</v>
      </c>
      <c r="L1301" t="str">
        <f t="shared" ca="1" si="83"/>
        <v/>
      </c>
      <c r="M1301" t="str">
        <f>IFERROR(INDEX(Inventory!A:A,MATCH(Scan!A1301,Inventory!E:E,0)),"")</f>
        <v/>
      </c>
    </row>
    <row r="1302" spans="2:13" x14ac:dyDescent="0.3">
      <c r="B1302" t="str">
        <f>IF(IFERROR(VLOOKUP(TRIM(A1302),Inventory!E:E,1,0),0)=0,"X","_")</f>
        <v>_</v>
      </c>
      <c r="C1302" t="str">
        <f>IF(IFERROR(VLOOKUP(TRIM(A1302),'Full Inventory'!F:F,1,0),0)=0,"X","_")</f>
        <v>X</v>
      </c>
      <c r="D1302" t="str">
        <f t="shared" si="8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F1302" t="str">
        <f t="shared" si="81"/>
        <v>_</v>
      </c>
      <c r="K1302" t="str">
        <f t="shared" ca="1" si="82"/>
        <v>_XX_</v>
      </c>
      <c r="L1302" t="str">
        <f t="shared" ca="1" si="83"/>
        <v/>
      </c>
      <c r="M1302" t="str">
        <f>IFERROR(INDEX(Inventory!A:A,MATCH(Scan!A1302,Inventory!E:E,0)),"")</f>
        <v/>
      </c>
    </row>
    <row r="1303" spans="2:13" x14ac:dyDescent="0.3">
      <c r="B1303" t="str">
        <f>IF(IFERROR(VLOOKUP(TRIM(A1303),Inventory!E:E,1,0),0)=0,"X","_")</f>
        <v>_</v>
      </c>
      <c r="C1303" t="str">
        <f>IF(IFERROR(VLOOKUP(TRIM(A1303),'Full Inventory'!F:F,1,0),0)=0,"X","_")</f>
        <v>X</v>
      </c>
      <c r="D1303" t="str">
        <f t="shared" si="8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F1303" t="str">
        <f t="shared" si="81"/>
        <v>_</v>
      </c>
      <c r="K1303" t="str">
        <f t="shared" ca="1" si="82"/>
        <v>_XX_</v>
      </c>
      <c r="L1303" t="str">
        <f t="shared" ca="1" si="83"/>
        <v/>
      </c>
      <c r="M1303" t="str">
        <f>IFERROR(INDEX(Inventory!A:A,MATCH(Scan!A1303,Inventory!E:E,0)),"")</f>
        <v/>
      </c>
    </row>
    <row r="1304" spans="2:13" x14ac:dyDescent="0.3">
      <c r="B1304" t="str">
        <f>IF(IFERROR(VLOOKUP(TRIM(A1304),Inventory!E:E,1,0),0)=0,"X","_")</f>
        <v>_</v>
      </c>
      <c r="C1304" t="str">
        <f>IF(IFERROR(VLOOKUP(TRIM(A1304),'Full Inventory'!F:F,1,0),0)=0,"X","_")</f>
        <v>X</v>
      </c>
      <c r="D1304" t="str">
        <f t="shared" si="8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F1304" t="str">
        <f t="shared" si="81"/>
        <v>_</v>
      </c>
      <c r="K1304" t="str">
        <f t="shared" ca="1" si="82"/>
        <v>_XX_</v>
      </c>
      <c r="L1304" t="str">
        <f t="shared" ca="1" si="83"/>
        <v/>
      </c>
      <c r="M1304" t="str">
        <f>IFERROR(INDEX(Inventory!A:A,MATCH(Scan!A1304,Inventory!E:E,0)),"")</f>
        <v/>
      </c>
    </row>
    <row r="1305" spans="2:13" x14ac:dyDescent="0.3">
      <c r="B1305" t="str">
        <f>IF(IFERROR(VLOOKUP(TRIM(A1305),Inventory!E:E,1,0),0)=0,"X","_")</f>
        <v>_</v>
      </c>
      <c r="C1305" t="str">
        <f>IF(IFERROR(VLOOKUP(TRIM(A1305),'Full Inventory'!F:F,1,0),0)=0,"X","_")</f>
        <v>X</v>
      </c>
      <c r="D1305" t="str">
        <f t="shared" si="8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F1305" t="str">
        <f t="shared" si="81"/>
        <v>_</v>
      </c>
      <c r="K1305" t="str">
        <f t="shared" ca="1" si="82"/>
        <v>_XX_</v>
      </c>
      <c r="L1305" t="str">
        <f t="shared" ca="1" si="83"/>
        <v/>
      </c>
      <c r="M1305" t="str">
        <f>IFERROR(INDEX(Inventory!A:A,MATCH(Scan!A1305,Inventory!E:E,0)),"")</f>
        <v/>
      </c>
    </row>
    <row r="1306" spans="2:13" x14ac:dyDescent="0.3">
      <c r="B1306" t="str">
        <f>IF(IFERROR(VLOOKUP(TRIM(A1306),Inventory!E:E,1,0),0)=0,"X","_")</f>
        <v>_</v>
      </c>
      <c r="C1306" t="str">
        <f>IF(IFERROR(VLOOKUP(TRIM(A1306),'Full Inventory'!F:F,1,0),0)=0,"X","_")</f>
        <v>X</v>
      </c>
      <c r="D1306" t="str">
        <f t="shared" si="8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F1306" t="str">
        <f t="shared" si="81"/>
        <v>_</v>
      </c>
      <c r="K1306" t="str">
        <f t="shared" ca="1" si="82"/>
        <v>_XX_</v>
      </c>
      <c r="L1306" t="str">
        <f t="shared" ca="1" si="83"/>
        <v/>
      </c>
      <c r="M1306" t="str">
        <f>IFERROR(INDEX(Inventory!A:A,MATCH(Scan!A1306,Inventory!E:E,0)),"")</f>
        <v/>
      </c>
    </row>
    <row r="1307" spans="2:13" x14ac:dyDescent="0.3">
      <c r="B1307" t="str">
        <f>IF(IFERROR(VLOOKUP(TRIM(A1307),Inventory!E:E,1,0),0)=0,"X","_")</f>
        <v>_</v>
      </c>
      <c r="C1307" t="str">
        <f>IF(IFERROR(VLOOKUP(TRIM(A1307),'Full Inventory'!F:F,1,0),0)=0,"X","_")</f>
        <v>X</v>
      </c>
      <c r="D1307" t="str">
        <f t="shared" si="8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F1307" t="str">
        <f t="shared" si="81"/>
        <v>_</v>
      </c>
      <c r="K1307" t="str">
        <f t="shared" ca="1" si="82"/>
        <v>_XX_</v>
      </c>
      <c r="L1307" t="str">
        <f t="shared" ca="1" si="83"/>
        <v/>
      </c>
      <c r="M1307" t="str">
        <f>IFERROR(INDEX(Inventory!A:A,MATCH(Scan!A1307,Inventory!E:E,0)),"")</f>
        <v/>
      </c>
    </row>
    <row r="1308" spans="2:13" x14ac:dyDescent="0.3">
      <c r="B1308" t="str">
        <f>IF(IFERROR(VLOOKUP(TRIM(A1308),Inventory!E:E,1,0),0)=0,"X","_")</f>
        <v>_</v>
      </c>
      <c r="C1308" t="str">
        <f>IF(IFERROR(VLOOKUP(TRIM(A1308),'Full Inventory'!F:F,1,0),0)=0,"X","_")</f>
        <v>X</v>
      </c>
      <c r="D1308" t="str">
        <f t="shared" si="8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F1308" t="str">
        <f t="shared" si="81"/>
        <v>_</v>
      </c>
      <c r="K1308" t="str">
        <f t="shared" ca="1" si="82"/>
        <v>_XX_</v>
      </c>
      <c r="L1308" t="str">
        <f t="shared" ca="1" si="83"/>
        <v/>
      </c>
      <c r="M1308" t="str">
        <f>IFERROR(INDEX(Inventory!A:A,MATCH(Scan!A1308,Inventory!E:E,0)),"")</f>
        <v/>
      </c>
    </row>
    <row r="1309" spans="2:13" x14ac:dyDescent="0.3">
      <c r="B1309" t="str">
        <f>IF(IFERROR(VLOOKUP(TRIM(A1309),Inventory!E:E,1,0),0)=0,"X","_")</f>
        <v>_</v>
      </c>
      <c r="C1309" t="str">
        <f>IF(IFERROR(VLOOKUP(TRIM(A1309),'Full Inventory'!F:F,1,0),0)=0,"X","_")</f>
        <v>X</v>
      </c>
      <c r="D1309" t="str">
        <f t="shared" si="8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F1309" t="str">
        <f t="shared" si="81"/>
        <v>_</v>
      </c>
      <c r="K1309" t="str">
        <f t="shared" ca="1" si="82"/>
        <v>_XX_</v>
      </c>
      <c r="L1309" t="str">
        <f t="shared" ca="1" si="83"/>
        <v/>
      </c>
      <c r="M1309" t="str">
        <f>IFERROR(INDEX(Inventory!A:A,MATCH(Scan!A1309,Inventory!E:E,0)),"")</f>
        <v/>
      </c>
    </row>
    <row r="1310" spans="2:13" x14ac:dyDescent="0.3">
      <c r="B1310" t="str">
        <f>IF(IFERROR(VLOOKUP(TRIM(A1310),Inventory!E:E,1,0),0)=0,"X","_")</f>
        <v>_</v>
      </c>
      <c r="C1310" t="str">
        <f>IF(IFERROR(VLOOKUP(TRIM(A1310),'Full Inventory'!F:F,1,0),0)=0,"X","_")</f>
        <v>X</v>
      </c>
      <c r="D1310" t="str">
        <f t="shared" si="8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F1310" t="str">
        <f t="shared" si="81"/>
        <v>_</v>
      </c>
      <c r="K1310" t="str">
        <f t="shared" ca="1" si="82"/>
        <v>_XX_</v>
      </c>
      <c r="L1310" t="str">
        <f t="shared" ca="1" si="83"/>
        <v/>
      </c>
      <c r="M1310" t="str">
        <f>IFERROR(INDEX(Inventory!A:A,MATCH(Scan!A1310,Inventory!E:E,0)),"")</f>
        <v/>
      </c>
    </row>
    <row r="1311" spans="2:13" x14ac:dyDescent="0.3">
      <c r="B1311" t="str">
        <f>IF(IFERROR(VLOOKUP(TRIM(A1311),Inventory!E:E,1,0),0)=0,"X","_")</f>
        <v>_</v>
      </c>
      <c r="C1311" t="str">
        <f>IF(IFERROR(VLOOKUP(TRIM(A1311),'Full Inventory'!F:F,1,0),0)=0,"X","_")</f>
        <v>X</v>
      </c>
      <c r="D1311" t="str">
        <f t="shared" si="8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F1311" t="str">
        <f t="shared" si="81"/>
        <v>_</v>
      </c>
      <c r="K1311" t="str">
        <f t="shared" ca="1" si="82"/>
        <v>_XX_</v>
      </c>
      <c r="L1311" t="str">
        <f t="shared" ca="1" si="83"/>
        <v/>
      </c>
      <c r="M1311" t="str">
        <f>IFERROR(INDEX(Inventory!A:A,MATCH(Scan!A1311,Inventory!E:E,0)),"")</f>
        <v/>
      </c>
    </row>
    <row r="1312" spans="2:13" x14ac:dyDescent="0.3">
      <c r="B1312" t="str">
        <f>IF(IFERROR(VLOOKUP(TRIM(A1312),Inventory!E:E,1,0),0)=0,"X","_")</f>
        <v>_</v>
      </c>
      <c r="C1312" t="str">
        <f>IF(IFERROR(VLOOKUP(TRIM(A1312),'Full Inventory'!F:F,1,0),0)=0,"X","_")</f>
        <v>X</v>
      </c>
      <c r="D1312" t="str">
        <f t="shared" si="8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F1312" t="str">
        <f t="shared" si="81"/>
        <v>_</v>
      </c>
      <c r="K1312" t="str">
        <f t="shared" ca="1" si="82"/>
        <v>_XX_</v>
      </c>
      <c r="L1312" t="str">
        <f t="shared" ca="1" si="83"/>
        <v/>
      </c>
      <c r="M1312" t="str">
        <f>IFERROR(INDEX(Inventory!A:A,MATCH(Scan!A1312,Inventory!E:E,0)),"")</f>
        <v/>
      </c>
    </row>
    <row r="1313" spans="2:13" x14ac:dyDescent="0.3">
      <c r="B1313" t="str">
        <f>IF(IFERROR(VLOOKUP(TRIM(A1313),Inventory!E:E,1,0),0)=0,"X","_")</f>
        <v>_</v>
      </c>
      <c r="C1313" t="str">
        <f>IF(IFERROR(VLOOKUP(TRIM(A1313),'Full Inventory'!F:F,1,0),0)=0,"X","_")</f>
        <v>X</v>
      </c>
      <c r="D1313" t="str">
        <f t="shared" si="8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F1313" t="str">
        <f t="shared" si="81"/>
        <v>_</v>
      </c>
      <c r="K1313" t="str">
        <f t="shared" ca="1" si="82"/>
        <v>_XX_</v>
      </c>
      <c r="L1313" t="str">
        <f t="shared" ca="1" si="83"/>
        <v/>
      </c>
      <c r="M1313" t="str">
        <f>IFERROR(INDEX(Inventory!A:A,MATCH(Scan!A1313,Inventory!E:E,0)),"")</f>
        <v/>
      </c>
    </row>
    <row r="1314" spans="2:13" x14ac:dyDescent="0.3">
      <c r="B1314" t="str">
        <f>IF(IFERROR(VLOOKUP(TRIM(A1314),Inventory!E:E,1,0),0)=0,"X","_")</f>
        <v>_</v>
      </c>
      <c r="C1314" t="str">
        <f>IF(IFERROR(VLOOKUP(TRIM(A1314),'Full Inventory'!F:F,1,0),0)=0,"X","_")</f>
        <v>X</v>
      </c>
      <c r="D1314" t="str">
        <f t="shared" si="8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F1314" t="str">
        <f t="shared" si="81"/>
        <v>_</v>
      </c>
      <c r="K1314" t="str">
        <f t="shared" ca="1" si="82"/>
        <v>_XX_</v>
      </c>
      <c r="L1314" t="str">
        <f t="shared" ca="1" si="83"/>
        <v/>
      </c>
      <c r="M1314" t="str">
        <f>IFERROR(INDEX(Inventory!A:A,MATCH(Scan!A1314,Inventory!E:E,0)),"")</f>
        <v/>
      </c>
    </row>
    <row r="1315" spans="2:13" x14ac:dyDescent="0.3">
      <c r="B1315" t="str">
        <f>IF(IFERROR(VLOOKUP(TRIM(A1315),Inventory!E:E,1,0),0)=0,"X","_")</f>
        <v>_</v>
      </c>
      <c r="C1315" t="str">
        <f>IF(IFERROR(VLOOKUP(TRIM(A1315),'Full Inventory'!F:F,1,0),0)=0,"X","_")</f>
        <v>X</v>
      </c>
      <c r="D1315" t="str">
        <f t="shared" si="8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F1315" t="str">
        <f t="shared" si="81"/>
        <v>_</v>
      </c>
      <c r="K1315" t="str">
        <f t="shared" ca="1" si="82"/>
        <v>_XX_</v>
      </c>
      <c r="L1315" t="str">
        <f t="shared" ca="1" si="83"/>
        <v/>
      </c>
      <c r="M1315" t="str">
        <f>IFERROR(INDEX(Inventory!A:A,MATCH(Scan!A1315,Inventory!E:E,0)),"")</f>
        <v/>
      </c>
    </row>
    <row r="1316" spans="2:13" x14ac:dyDescent="0.3">
      <c r="B1316" t="str">
        <f>IF(IFERROR(VLOOKUP(TRIM(A1316),Inventory!E:E,1,0),0)=0,"X","_")</f>
        <v>_</v>
      </c>
      <c r="C1316" t="str">
        <f>IF(IFERROR(VLOOKUP(TRIM(A1316),'Full Inventory'!F:F,1,0),0)=0,"X","_")</f>
        <v>X</v>
      </c>
      <c r="D1316" t="str">
        <f t="shared" si="8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F1316" t="str">
        <f t="shared" si="81"/>
        <v>_</v>
      </c>
      <c r="K1316" t="str">
        <f t="shared" ca="1" si="82"/>
        <v>_XX_</v>
      </c>
      <c r="L1316" t="str">
        <f t="shared" ca="1" si="83"/>
        <v/>
      </c>
      <c r="M1316" t="str">
        <f>IFERROR(INDEX(Inventory!A:A,MATCH(Scan!A1316,Inventory!E:E,0)),"")</f>
        <v/>
      </c>
    </row>
    <row r="1317" spans="2:13" x14ac:dyDescent="0.3">
      <c r="B1317" t="str">
        <f>IF(IFERROR(VLOOKUP(TRIM(A1317),Inventory!E:E,1,0),0)=0,"X","_")</f>
        <v>_</v>
      </c>
      <c r="C1317" t="str">
        <f>IF(IFERROR(VLOOKUP(TRIM(A1317),'Full Inventory'!F:F,1,0),0)=0,"X","_")</f>
        <v>X</v>
      </c>
      <c r="D1317" t="str">
        <f t="shared" si="8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F1317" t="str">
        <f t="shared" si="81"/>
        <v>_</v>
      </c>
      <c r="K1317" t="str">
        <f t="shared" ca="1" si="82"/>
        <v>_XX_</v>
      </c>
      <c r="L1317" t="str">
        <f t="shared" ca="1" si="83"/>
        <v/>
      </c>
      <c r="M1317" t="str">
        <f>IFERROR(INDEX(Inventory!A:A,MATCH(Scan!A1317,Inventory!E:E,0)),"")</f>
        <v/>
      </c>
    </row>
    <row r="1318" spans="2:13" x14ac:dyDescent="0.3">
      <c r="B1318" t="str">
        <f>IF(IFERROR(VLOOKUP(TRIM(A1318),Inventory!E:E,1,0),0)=0,"X","_")</f>
        <v>_</v>
      </c>
      <c r="C1318" t="str">
        <f>IF(IFERROR(VLOOKUP(TRIM(A1318),'Full Inventory'!F:F,1,0),0)=0,"X","_")</f>
        <v>X</v>
      </c>
      <c r="D1318" t="str">
        <f t="shared" si="8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F1318" t="str">
        <f t="shared" si="81"/>
        <v>_</v>
      </c>
      <c r="K1318" t="str">
        <f t="shared" ca="1" si="82"/>
        <v>_XX_</v>
      </c>
      <c r="L1318" t="str">
        <f t="shared" ca="1" si="83"/>
        <v/>
      </c>
      <c r="M1318" t="str">
        <f>IFERROR(INDEX(Inventory!A:A,MATCH(Scan!A1318,Inventory!E:E,0)),"")</f>
        <v/>
      </c>
    </row>
    <row r="1319" spans="2:13" x14ac:dyDescent="0.3">
      <c r="B1319" t="str">
        <f>IF(IFERROR(VLOOKUP(TRIM(A1319),Inventory!E:E,1,0),0)=0,"X","_")</f>
        <v>_</v>
      </c>
      <c r="C1319" t="str">
        <f>IF(IFERROR(VLOOKUP(TRIM(A1319),'Full Inventory'!F:F,1,0),0)=0,"X","_")</f>
        <v>X</v>
      </c>
      <c r="D1319" t="str">
        <f t="shared" si="8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F1319" t="str">
        <f t="shared" si="81"/>
        <v>_</v>
      </c>
      <c r="K1319" t="str">
        <f t="shared" ca="1" si="82"/>
        <v>_XX_</v>
      </c>
      <c r="L1319" t="str">
        <f t="shared" ca="1" si="83"/>
        <v/>
      </c>
      <c r="M1319" t="str">
        <f>IFERROR(INDEX(Inventory!A:A,MATCH(Scan!A1319,Inventory!E:E,0)),"")</f>
        <v/>
      </c>
    </row>
    <row r="1320" spans="2:13" x14ac:dyDescent="0.3">
      <c r="B1320" t="str">
        <f>IF(IFERROR(VLOOKUP(TRIM(A1320),Inventory!E:E,1,0),0)=0,"X","_")</f>
        <v>_</v>
      </c>
      <c r="C1320" t="str">
        <f>IF(IFERROR(VLOOKUP(TRIM(A1320),'Full Inventory'!F:F,1,0),0)=0,"X","_")</f>
        <v>X</v>
      </c>
      <c r="D1320" t="str">
        <f t="shared" si="8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F1320" t="str">
        <f t="shared" si="81"/>
        <v>_</v>
      </c>
      <c r="K1320" t="str">
        <f t="shared" ca="1" si="82"/>
        <v>_XX_</v>
      </c>
      <c r="L1320" t="str">
        <f t="shared" ca="1" si="83"/>
        <v/>
      </c>
      <c r="M1320" t="str">
        <f>IFERROR(INDEX(Inventory!A:A,MATCH(Scan!A1320,Inventory!E:E,0)),"")</f>
        <v/>
      </c>
    </row>
    <row r="1321" spans="2:13" x14ac:dyDescent="0.3">
      <c r="B1321" t="str">
        <f>IF(IFERROR(VLOOKUP(TRIM(A1321),Inventory!E:E,1,0),0)=0,"X","_")</f>
        <v>_</v>
      </c>
      <c r="C1321" t="str">
        <f>IF(IFERROR(VLOOKUP(TRIM(A1321),'Full Inventory'!F:F,1,0),0)=0,"X","_")</f>
        <v>X</v>
      </c>
      <c r="D1321" t="str">
        <f t="shared" si="8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F1321" t="str">
        <f t="shared" si="81"/>
        <v>_</v>
      </c>
      <c r="K1321" t="str">
        <f t="shared" ca="1" si="82"/>
        <v>_XX_</v>
      </c>
      <c r="L1321" t="str">
        <f t="shared" ca="1" si="83"/>
        <v/>
      </c>
      <c r="M1321" t="str">
        <f>IFERROR(INDEX(Inventory!A:A,MATCH(Scan!A1321,Inventory!E:E,0)),"")</f>
        <v/>
      </c>
    </row>
    <row r="1322" spans="2:13" x14ac:dyDescent="0.3">
      <c r="B1322" t="str">
        <f>IF(IFERROR(VLOOKUP(TRIM(A1322),Inventory!E:E,1,0),0)=0,"X","_")</f>
        <v>_</v>
      </c>
      <c r="C1322" t="str">
        <f>IF(IFERROR(VLOOKUP(TRIM(A1322),'Full Inventory'!F:F,1,0),0)=0,"X","_")</f>
        <v>X</v>
      </c>
      <c r="D1322" t="str">
        <f t="shared" si="8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F1322" t="str">
        <f t="shared" si="81"/>
        <v>_</v>
      </c>
      <c r="K1322" t="str">
        <f t="shared" ca="1" si="82"/>
        <v>_XX_</v>
      </c>
      <c r="L1322" t="str">
        <f t="shared" ca="1" si="83"/>
        <v/>
      </c>
      <c r="M1322" t="str">
        <f>IFERROR(INDEX(Inventory!A:A,MATCH(Scan!A1322,Inventory!E:E,0)),"")</f>
        <v/>
      </c>
    </row>
    <row r="1323" spans="2:13" x14ac:dyDescent="0.3">
      <c r="B1323" t="str">
        <f>IF(IFERROR(VLOOKUP(TRIM(A1323),Inventory!E:E,1,0),0)=0,"X","_")</f>
        <v>_</v>
      </c>
      <c r="C1323" t="str">
        <f>IF(IFERROR(VLOOKUP(TRIM(A1323),'Full Inventory'!F:F,1,0),0)=0,"X","_")</f>
        <v>X</v>
      </c>
      <c r="D1323" t="str">
        <f t="shared" si="8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F1323" t="str">
        <f t="shared" si="81"/>
        <v>_</v>
      </c>
      <c r="K1323" t="str">
        <f t="shared" ca="1" si="82"/>
        <v>_XX_</v>
      </c>
      <c r="L1323" t="str">
        <f t="shared" ca="1" si="83"/>
        <v/>
      </c>
      <c r="M1323" t="str">
        <f>IFERROR(INDEX(Inventory!A:A,MATCH(Scan!A1323,Inventory!E:E,0)),"")</f>
        <v/>
      </c>
    </row>
    <row r="1324" spans="2:13" x14ac:dyDescent="0.3">
      <c r="B1324" t="str">
        <f>IF(IFERROR(VLOOKUP(TRIM(A1324),Inventory!E:E,1,0),0)=0,"X","_")</f>
        <v>_</v>
      </c>
      <c r="C1324" t="str">
        <f>IF(IFERROR(VLOOKUP(TRIM(A1324),'Full Inventory'!F:F,1,0),0)=0,"X","_")</f>
        <v>X</v>
      </c>
      <c r="D1324" t="str">
        <f t="shared" si="8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F1324" t="str">
        <f t="shared" si="81"/>
        <v>_</v>
      </c>
      <c r="K1324" t="str">
        <f t="shared" ca="1" si="82"/>
        <v>_XX_</v>
      </c>
      <c r="L1324" t="str">
        <f t="shared" ca="1" si="83"/>
        <v/>
      </c>
      <c r="M1324" t="str">
        <f>IFERROR(INDEX(Inventory!A:A,MATCH(Scan!A1324,Inventory!E:E,0)),"")</f>
        <v/>
      </c>
    </row>
    <row r="1325" spans="2:13" x14ac:dyDescent="0.3">
      <c r="B1325" t="str">
        <f>IF(IFERROR(VLOOKUP(TRIM(A1325),Inventory!E:E,1,0),0)=0,"X","_")</f>
        <v>_</v>
      </c>
      <c r="C1325" t="str">
        <f>IF(IFERROR(VLOOKUP(TRIM(A1325),'Full Inventory'!F:F,1,0),0)=0,"X","_")</f>
        <v>X</v>
      </c>
      <c r="D1325" t="str">
        <f t="shared" si="8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F1325" t="str">
        <f t="shared" si="81"/>
        <v>_</v>
      </c>
      <c r="K1325" t="str">
        <f t="shared" ca="1" si="82"/>
        <v>_XX_</v>
      </c>
      <c r="L1325" t="str">
        <f t="shared" ca="1" si="83"/>
        <v/>
      </c>
      <c r="M1325" t="str">
        <f>IFERROR(INDEX(Inventory!A:A,MATCH(Scan!A1325,Inventory!E:E,0)),"")</f>
        <v/>
      </c>
    </row>
    <row r="1326" spans="2:13" x14ac:dyDescent="0.3">
      <c r="B1326" t="str">
        <f>IF(IFERROR(VLOOKUP(TRIM(A1326),Inventory!E:E,1,0),0)=0,"X","_")</f>
        <v>_</v>
      </c>
      <c r="C1326" t="str">
        <f>IF(IFERROR(VLOOKUP(TRIM(A1326),'Full Inventory'!F:F,1,0),0)=0,"X","_")</f>
        <v>X</v>
      </c>
      <c r="D1326" t="str">
        <f t="shared" si="8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F1326" t="str">
        <f t="shared" si="81"/>
        <v>_</v>
      </c>
      <c r="K1326" t="str">
        <f t="shared" ca="1" si="82"/>
        <v>_XX_</v>
      </c>
      <c r="L1326" t="str">
        <f t="shared" ca="1" si="83"/>
        <v/>
      </c>
      <c r="M1326" t="str">
        <f>IFERROR(INDEX(Inventory!A:A,MATCH(Scan!A1326,Inventory!E:E,0)),"")</f>
        <v/>
      </c>
    </row>
    <row r="1327" spans="2:13" x14ac:dyDescent="0.3">
      <c r="B1327" t="str">
        <f>IF(IFERROR(VLOOKUP(TRIM(A1327),Inventory!E:E,1,0),0)=0,"X","_")</f>
        <v>_</v>
      </c>
      <c r="C1327" t="str">
        <f>IF(IFERROR(VLOOKUP(TRIM(A1327),'Full Inventory'!F:F,1,0),0)=0,"X","_")</f>
        <v>X</v>
      </c>
      <c r="D1327" t="str">
        <f t="shared" si="8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F1327" t="str">
        <f t="shared" si="81"/>
        <v>_</v>
      </c>
      <c r="K1327" t="str">
        <f t="shared" ca="1" si="82"/>
        <v>_XX_</v>
      </c>
      <c r="L1327" t="str">
        <f t="shared" ca="1" si="83"/>
        <v/>
      </c>
      <c r="M1327" t="str">
        <f>IFERROR(INDEX(Inventory!A:A,MATCH(Scan!A1327,Inventory!E:E,0)),"")</f>
        <v/>
      </c>
    </row>
    <row r="1328" spans="2:13" x14ac:dyDescent="0.3">
      <c r="B1328" t="str">
        <f>IF(IFERROR(VLOOKUP(TRIM(A1328),Inventory!E:E,1,0),0)=0,"X","_")</f>
        <v>_</v>
      </c>
      <c r="C1328" t="str">
        <f>IF(IFERROR(VLOOKUP(TRIM(A1328),'Full Inventory'!F:F,1,0),0)=0,"X","_")</f>
        <v>X</v>
      </c>
      <c r="D1328" t="str">
        <f t="shared" si="8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F1328" t="str">
        <f t="shared" si="81"/>
        <v>_</v>
      </c>
      <c r="K1328" t="str">
        <f t="shared" ca="1" si="82"/>
        <v>_XX_</v>
      </c>
      <c r="L1328" t="str">
        <f t="shared" ca="1" si="83"/>
        <v/>
      </c>
      <c r="M1328" t="str">
        <f>IFERROR(INDEX(Inventory!A:A,MATCH(Scan!A1328,Inventory!E:E,0)),"")</f>
        <v/>
      </c>
    </row>
    <row r="1329" spans="2:13" x14ac:dyDescent="0.3">
      <c r="B1329" t="str">
        <f>IF(IFERROR(VLOOKUP(TRIM(A1329),Inventory!E:E,1,0),0)=0,"X","_")</f>
        <v>_</v>
      </c>
      <c r="C1329" t="str">
        <f>IF(IFERROR(VLOOKUP(TRIM(A1329),'Full Inventory'!F:F,1,0),0)=0,"X","_")</f>
        <v>X</v>
      </c>
      <c r="D1329" t="str">
        <f t="shared" si="8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F1329" t="str">
        <f t="shared" si="81"/>
        <v>_</v>
      </c>
      <c r="K1329" t="str">
        <f t="shared" ca="1" si="82"/>
        <v>_XX_</v>
      </c>
      <c r="L1329" t="str">
        <f t="shared" ca="1" si="83"/>
        <v/>
      </c>
      <c r="M1329" t="str">
        <f>IFERROR(INDEX(Inventory!A:A,MATCH(Scan!A1329,Inventory!E:E,0)),"")</f>
        <v/>
      </c>
    </row>
    <row r="1330" spans="2:13" x14ac:dyDescent="0.3">
      <c r="B1330" t="str">
        <f>IF(IFERROR(VLOOKUP(TRIM(A1330),Inventory!E:E,1,0),0)=0,"X","_")</f>
        <v>_</v>
      </c>
      <c r="C1330" t="str">
        <f>IF(IFERROR(VLOOKUP(TRIM(A1330),'Full Inventory'!F:F,1,0),0)=0,"X","_")</f>
        <v>X</v>
      </c>
      <c r="D1330" t="str">
        <f t="shared" si="8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F1330" t="str">
        <f t="shared" si="81"/>
        <v>_</v>
      </c>
      <c r="K1330" t="str">
        <f t="shared" ca="1" si="82"/>
        <v>_XX_</v>
      </c>
      <c r="L1330" t="str">
        <f t="shared" ca="1" si="83"/>
        <v/>
      </c>
      <c r="M1330" t="str">
        <f>IFERROR(INDEX(Inventory!A:A,MATCH(Scan!A1330,Inventory!E:E,0)),"")</f>
        <v/>
      </c>
    </row>
    <row r="1331" spans="2:13" x14ac:dyDescent="0.3">
      <c r="B1331" t="str">
        <f>IF(IFERROR(VLOOKUP(TRIM(A1331),Inventory!E:E,1,0),0)=0,"X","_")</f>
        <v>_</v>
      </c>
      <c r="C1331" t="str">
        <f>IF(IFERROR(VLOOKUP(TRIM(A1331),'Full Inventory'!F:F,1,0),0)=0,"X","_")</f>
        <v>X</v>
      </c>
      <c r="D1331" t="str">
        <f t="shared" si="8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F1331" t="str">
        <f t="shared" si="81"/>
        <v>_</v>
      </c>
      <c r="K1331" t="str">
        <f t="shared" ca="1" si="82"/>
        <v>_XX_</v>
      </c>
      <c r="L1331" t="str">
        <f t="shared" ca="1" si="83"/>
        <v/>
      </c>
      <c r="M1331" t="str">
        <f>IFERROR(INDEX(Inventory!A:A,MATCH(Scan!A1331,Inventory!E:E,0)),"")</f>
        <v/>
      </c>
    </row>
    <row r="1332" spans="2:13" x14ac:dyDescent="0.3">
      <c r="B1332" t="str">
        <f>IF(IFERROR(VLOOKUP(TRIM(A1332),Inventory!E:E,1,0),0)=0,"X","_")</f>
        <v>_</v>
      </c>
      <c r="C1332" t="str">
        <f>IF(IFERROR(VLOOKUP(TRIM(A1332),'Full Inventory'!F:F,1,0),0)=0,"X","_")</f>
        <v>X</v>
      </c>
      <c r="D1332" t="str">
        <f t="shared" si="8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F1332" t="str">
        <f t="shared" si="81"/>
        <v>_</v>
      </c>
      <c r="K1332" t="str">
        <f t="shared" ca="1" si="82"/>
        <v>_XX_</v>
      </c>
      <c r="L1332" t="str">
        <f t="shared" ca="1" si="83"/>
        <v/>
      </c>
      <c r="M1332" t="str">
        <f>IFERROR(INDEX(Inventory!A:A,MATCH(Scan!A1332,Inventory!E:E,0)),"")</f>
        <v/>
      </c>
    </row>
    <row r="1333" spans="2:13" x14ac:dyDescent="0.3">
      <c r="B1333" t="str">
        <f>IF(IFERROR(VLOOKUP(TRIM(A1333),Inventory!E:E,1,0),0)=0,"X","_")</f>
        <v>_</v>
      </c>
      <c r="C1333" t="str">
        <f>IF(IFERROR(VLOOKUP(TRIM(A1333),'Full Inventory'!F:F,1,0),0)=0,"X","_")</f>
        <v>X</v>
      </c>
      <c r="D1333" t="str">
        <f t="shared" si="8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F1333" t="str">
        <f t="shared" si="81"/>
        <v>_</v>
      </c>
      <c r="K1333" t="str">
        <f t="shared" ca="1" si="82"/>
        <v>_XX_</v>
      </c>
      <c r="L1333" t="str">
        <f t="shared" ca="1" si="83"/>
        <v/>
      </c>
      <c r="M1333" t="str">
        <f>IFERROR(INDEX(Inventory!A:A,MATCH(Scan!A1333,Inventory!E:E,0)),"")</f>
        <v/>
      </c>
    </row>
    <row r="1334" spans="2:13" x14ac:dyDescent="0.3">
      <c r="B1334" t="str">
        <f>IF(IFERROR(VLOOKUP(TRIM(A1334),Inventory!E:E,1,0),0)=0,"X","_")</f>
        <v>_</v>
      </c>
      <c r="C1334" t="str">
        <f>IF(IFERROR(VLOOKUP(TRIM(A1334),'Full Inventory'!F:F,1,0),0)=0,"X","_")</f>
        <v>X</v>
      </c>
      <c r="D1334" t="str">
        <f t="shared" si="8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F1334" t="str">
        <f t="shared" si="81"/>
        <v>_</v>
      </c>
      <c r="K1334" t="str">
        <f t="shared" ca="1" si="82"/>
        <v>_XX_</v>
      </c>
      <c r="L1334" t="str">
        <f t="shared" ca="1" si="83"/>
        <v/>
      </c>
      <c r="M1334" t="str">
        <f>IFERROR(INDEX(Inventory!A:A,MATCH(Scan!A1334,Inventory!E:E,0)),"")</f>
        <v/>
      </c>
    </row>
    <row r="1335" spans="2:13" x14ac:dyDescent="0.3">
      <c r="B1335" t="str">
        <f>IF(IFERROR(VLOOKUP(TRIM(A1335),Inventory!E:E,1,0),0)=0,"X","_")</f>
        <v>_</v>
      </c>
      <c r="C1335" t="str">
        <f>IF(IFERROR(VLOOKUP(TRIM(A1335),'Full Inventory'!F:F,1,0),0)=0,"X","_")</f>
        <v>X</v>
      </c>
      <c r="D1335" t="str">
        <f t="shared" si="8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F1335" t="str">
        <f t="shared" si="81"/>
        <v>_</v>
      </c>
      <c r="K1335" t="str">
        <f t="shared" ca="1" si="82"/>
        <v>_XX_</v>
      </c>
      <c r="L1335" t="str">
        <f t="shared" ca="1" si="83"/>
        <v/>
      </c>
      <c r="M1335" t="str">
        <f>IFERROR(INDEX(Inventory!A:A,MATCH(Scan!A1335,Inventory!E:E,0)),"")</f>
        <v/>
      </c>
    </row>
    <row r="1336" spans="2:13" x14ac:dyDescent="0.3">
      <c r="B1336" t="str">
        <f>IF(IFERROR(VLOOKUP(TRIM(A1336),Inventory!E:E,1,0),0)=0,"X","_")</f>
        <v>_</v>
      </c>
      <c r="C1336" t="str">
        <f>IF(IFERROR(VLOOKUP(TRIM(A1336),'Full Inventory'!F:F,1,0),0)=0,"X","_")</f>
        <v>X</v>
      </c>
      <c r="D1336" t="str">
        <f t="shared" si="8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F1336" t="str">
        <f t="shared" si="81"/>
        <v>_</v>
      </c>
      <c r="K1336" t="str">
        <f t="shared" ca="1" si="82"/>
        <v>_XX_</v>
      </c>
      <c r="L1336" t="str">
        <f t="shared" ca="1" si="83"/>
        <v/>
      </c>
      <c r="M1336" t="str">
        <f>IFERROR(INDEX(Inventory!A:A,MATCH(Scan!A1336,Inventory!E:E,0)),"")</f>
        <v/>
      </c>
    </row>
    <row r="1337" spans="2:13" x14ac:dyDescent="0.3">
      <c r="B1337" t="str">
        <f>IF(IFERROR(VLOOKUP(TRIM(A1337),Inventory!E:E,1,0),0)=0,"X","_")</f>
        <v>_</v>
      </c>
      <c r="C1337" t="str">
        <f>IF(IFERROR(VLOOKUP(TRIM(A1337),'Full Inventory'!F:F,1,0),0)=0,"X","_")</f>
        <v>X</v>
      </c>
      <c r="D1337" t="str">
        <f t="shared" si="8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F1337" t="str">
        <f t="shared" si="81"/>
        <v>_</v>
      </c>
      <c r="K1337" t="str">
        <f t="shared" ca="1" si="82"/>
        <v>_XX_</v>
      </c>
      <c r="L1337" t="str">
        <f t="shared" ca="1" si="83"/>
        <v/>
      </c>
      <c r="M1337" t="str">
        <f>IFERROR(INDEX(Inventory!A:A,MATCH(Scan!A1337,Inventory!E:E,0)),"")</f>
        <v/>
      </c>
    </row>
    <row r="1338" spans="2:13" x14ac:dyDescent="0.3">
      <c r="B1338" t="str">
        <f>IF(IFERROR(VLOOKUP(TRIM(A1338),Inventory!E:E,1,0),0)=0,"X","_")</f>
        <v>_</v>
      </c>
      <c r="C1338" t="str">
        <f>IF(IFERROR(VLOOKUP(TRIM(A1338),'Full Inventory'!F:F,1,0),0)=0,"X","_")</f>
        <v>X</v>
      </c>
      <c r="D1338" t="str">
        <f t="shared" si="8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F1338" t="str">
        <f t="shared" si="81"/>
        <v>_</v>
      </c>
      <c r="K1338" t="str">
        <f t="shared" ca="1" si="82"/>
        <v>_XX_</v>
      </c>
      <c r="L1338" t="str">
        <f t="shared" ca="1" si="83"/>
        <v/>
      </c>
      <c r="M1338" t="str">
        <f>IFERROR(INDEX(Inventory!A:A,MATCH(Scan!A1338,Inventory!E:E,0)),"")</f>
        <v/>
      </c>
    </row>
    <row r="1339" spans="2:13" x14ac:dyDescent="0.3">
      <c r="B1339" t="str">
        <f>IF(IFERROR(VLOOKUP(TRIM(A1339),Inventory!E:E,1,0),0)=0,"X","_")</f>
        <v>_</v>
      </c>
      <c r="C1339" t="str">
        <f>IF(IFERROR(VLOOKUP(TRIM(A1339),'Full Inventory'!F:F,1,0),0)=0,"X","_")</f>
        <v>X</v>
      </c>
      <c r="D1339" t="str">
        <f t="shared" si="8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F1339" t="str">
        <f t="shared" si="81"/>
        <v>_</v>
      </c>
      <c r="K1339" t="str">
        <f t="shared" ca="1" si="82"/>
        <v>_XX_</v>
      </c>
      <c r="L1339" t="str">
        <f t="shared" ca="1" si="83"/>
        <v/>
      </c>
      <c r="M1339" t="str">
        <f>IFERROR(INDEX(Inventory!A:A,MATCH(Scan!A1339,Inventory!E:E,0)),"")</f>
        <v/>
      </c>
    </row>
    <row r="1340" spans="2:13" x14ac:dyDescent="0.3">
      <c r="B1340" t="str">
        <f>IF(IFERROR(VLOOKUP(TRIM(A1340),Inventory!E:E,1,0),0)=0,"X","_")</f>
        <v>_</v>
      </c>
      <c r="C1340" t="str">
        <f>IF(IFERROR(VLOOKUP(TRIM(A1340),'Full Inventory'!F:F,1,0),0)=0,"X","_")</f>
        <v>X</v>
      </c>
      <c r="D1340" t="str">
        <f t="shared" si="8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F1340" t="str">
        <f t="shared" si="81"/>
        <v>_</v>
      </c>
      <c r="K1340" t="str">
        <f t="shared" ca="1" si="82"/>
        <v>_XX_</v>
      </c>
      <c r="L1340" t="str">
        <f t="shared" ca="1" si="83"/>
        <v/>
      </c>
      <c r="M1340" t="str">
        <f>IFERROR(INDEX(Inventory!A:A,MATCH(Scan!A1340,Inventory!E:E,0)),"")</f>
        <v/>
      </c>
    </row>
    <row r="1341" spans="2:13" x14ac:dyDescent="0.3">
      <c r="B1341" t="str">
        <f>IF(IFERROR(VLOOKUP(TRIM(A1341),Inventory!E:E,1,0),0)=0,"X","_")</f>
        <v>_</v>
      </c>
      <c r="C1341" t="str">
        <f>IF(IFERROR(VLOOKUP(TRIM(A1341),'Full Inventory'!F:F,1,0),0)=0,"X","_")</f>
        <v>X</v>
      </c>
      <c r="D1341" t="str">
        <f t="shared" si="8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F1341" t="str">
        <f t="shared" si="81"/>
        <v>_</v>
      </c>
      <c r="K1341" t="str">
        <f t="shared" ca="1" si="82"/>
        <v>_XX_</v>
      </c>
      <c r="L1341" t="str">
        <f t="shared" ca="1" si="83"/>
        <v/>
      </c>
      <c r="M1341" t="str">
        <f>IFERROR(INDEX(Inventory!A:A,MATCH(Scan!A1341,Inventory!E:E,0)),"")</f>
        <v/>
      </c>
    </row>
    <row r="1342" spans="2:13" x14ac:dyDescent="0.3">
      <c r="B1342" t="str">
        <f>IF(IFERROR(VLOOKUP(TRIM(A1342),Inventory!E:E,1,0),0)=0,"X","_")</f>
        <v>_</v>
      </c>
      <c r="C1342" t="str">
        <f>IF(IFERROR(VLOOKUP(TRIM(A1342),'Full Inventory'!F:F,1,0),0)=0,"X","_")</f>
        <v>X</v>
      </c>
      <c r="D1342" t="str">
        <f t="shared" si="8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F1342" t="str">
        <f t="shared" si="81"/>
        <v>_</v>
      </c>
      <c r="K1342" t="str">
        <f t="shared" ca="1" si="82"/>
        <v>_XX_</v>
      </c>
      <c r="L1342" t="str">
        <f t="shared" ca="1" si="83"/>
        <v/>
      </c>
      <c r="M1342" t="str">
        <f>IFERROR(INDEX(Inventory!A:A,MATCH(Scan!A1342,Inventory!E:E,0)),"")</f>
        <v/>
      </c>
    </row>
    <row r="1343" spans="2:13" x14ac:dyDescent="0.3">
      <c r="B1343" t="str">
        <f>IF(IFERROR(VLOOKUP(TRIM(A1343),Inventory!E:E,1,0),0)=0,"X","_")</f>
        <v>_</v>
      </c>
      <c r="C1343" t="str">
        <f>IF(IFERROR(VLOOKUP(TRIM(A1343),'Full Inventory'!F:F,1,0),0)=0,"X","_")</f>
        <v>X</v>
      </c>
      <c r="D1343" t="str">
        <f t="shared" si="8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F1343" t="str">
        <f t="shared" si="81"/>
        <v>_</v>
      </c>
      <c r="K1343" t="str">
        <f t="shared" ca="1" si="82"/>
        <v>_XX_</v>
      </c>
      <c r="L1343" t="str">
        <f t="shared" ca="1" si="83"/>
        <v/>
      </c>
      <c r="M1343" t="str">
        <f>IFERROR(INDEX(Inventory!A:A,MATCH(Scan!A1343,Inventory!E:E,0)),"")</f>
        <v/>
      </c>
    </row>
    <row r="1344" spans="2:13" x14ac:dyDescent="0.3">
      <c r="B1344" t="str">
        <f>IF(IFERROR(VLOOKUP(TRIM(A1344),Inventory!E:E,1,0),0)=0,"X","_")</f>
        <v>_</v>
      </c>
      <c r="C1344" t="str">
        <f>IF(IFERROR(VLOOKUP(TRIM(A1344),'Full Inventory'!F:F,1,0),0)=0,"X","_")</f>
        <v>X</v>
      </c>
      <c r="D1344" t="str">
        <f t="shared" si="8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F1344" t="str">
        <f t="shared" si="81"/>
        <v>_</v>
      </c>
      <c r="K1344" t="str">
        <f t="shared" ca="1" si="82"/>
        <v>_XX_</v>
      </c>
      <c r="L1344" t="str">
        <f t="shared" ca="1" si="83"/>
        <v/>
      </c>
      <c r="M1344" t="str">
        <f>IFERROR(INDEX(Inventory!A:A,MATCH(Scan!A1344,Inventory!E:E,0)),"")</f>
        <v/>
      </c>
    </row>
    <row r="1345" spans="2:13" x14ac:dyDescent="0.3">
      <c r="B1345" t="str">
        <f>IF(IFERROR(VLOOKUP(TRIM(A1345),Inventory!E:E,1,0),0)=0,"X","_")</f>
        <v>_</v>
      </c>
      <c r="C1345" t="str">
        <f>IF(IFERROR(VLOOKUP(TRIM(A1345),'Full Inventory'!F:F,1,0),0)=0,"X","_")</f>
        <v>X</v>
      </c>
      <c r="D1345" t="str">
        <f t="shared" si="8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F1345" t="str">
        <f t="shared" si="81"/>
        <v>_</v>
      </c>
      <c r="K1345" t="str">
        <f t="shared" ca="1" si="82"/>
        <v>_XX_</v>
      </c>
      <c r="L1345" t="str">
        <f t="shared" ca="1" si="83"/>
        <v/>
      </c>
      <c r="M1345" t="str">
        <f>IFERROR(INDEX(Inventory!A:A,MATCH(Scan!A1345,Inventory!E:E,0)),"")</f>
        <v/>
      </c>
    </row>
    <row r="1346" spans="2:13" x14ac:dyDescent="0.3">
      <c r="B1346" t="str">
        <f>IF(IFERROR(VLOOKUP(TRIM(A1346),Inventory!E:E,1,0),0)=0,"X","_")</f>
        <v>_</v>
      </c>
      <c r="C1346" t="str">
        <f>IF(IFERROR(VLOOKUP(TRIM(A1346),'Full Inventory'!F:F,1,0),0)=0,"X","_")</f>
        <v>X</v>
      </c>
      <c r="D1346" t="str">
        <f t="shared" ref="D1346:D1409" si="84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F1346" t="str">
        <f t="shared" si="81"/>
        <v>_</v>
      </c>
      <c r="K1346" t="str">
        <f t="shared" ca="1" si="82"/>
        <v>_XX_</v>
      </c>
      <c r="L1346" t="str">
        <f t="shared" ca="1" si="83"/>
        <v/>
      </c>
      <c r="M1346" t="str">
        <f>IFERROR(INDEX(Inventory!A:A,MATCH(Scan!A1346,Inventory!E:E,0)),"")</f>
        <v/>
      </c>
    </row>
    <row r="1347" spans="2:13" x14ac:dyDescent="0.3">
      <c r="B1347" t="str">
        <f>IF(IFERROR(VLOOKUP(TRIM(A1347),Inventory!E:E,1,0),0)=0,"X","_")</f>
        <v>_</v>
      </c>
      <c r="C1347" t="str">
        <f>IF(IFERROR(VLOOKUP(TRIM(A1347),'Full Inventory'!F:F,1,0),0)=0,"X","_")</f>
        <v>X</v>
      </c>
      <c r="D1347" t="str">
        <f t="shared" si="84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F1347" t="str">
        <f t="shared" ref="F1347:F1410" si="85">IF(IFERROR(SEARCH("ö",A1347),0)&gt;0,"X","_")</f>
        <v>_</v>
      </c>
      <c r="K1347" t="str">
        <f t="shared" ref="K1347:K1410" ca="1" si="86">B1347&amp;C1347&amp;D1347&amp;E1347</f>
        <v>_XX_</v>
      </c>
      <c r="L1347" t="str">
        <f t="shared" ref="L1347:L1410" ca="1" si="87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3">
      <c r="B1348" t="str">
        <f>IF(IFERROR(VLOOKUP(TRIM(A1348),Inventory!E:E,1,0),0)=0,"X","_")</f>
        <v>_</v>
      </c>
      <c r="C1348" t="str">
        <f>IF(IFERROR(VLOOKUP(TRIM(A1348),'Full Inventory'!F:F,1,0),0)=0,"X","_")</f>
        <v>X</v>
      </c>
      <c r="D1348" t="str">
        <f t="shared" si="84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F1348" t="str">
        <f t="shared" si="85"/>
        <v>_</v>
      </c>
      <c r="K1348" t="str">
        <f t="shared" ca="1" si="86"/>
        <v>_XX_</v>
      </c>
      <c r="L1348" t="str">
        <f t="shared" ca="1" si="87"/>
        <v/>
      </c>
      <c r="M1348" t="str">
        <f>IFERROR(INDEX(Inventory!A:A,MATCH(Scan!A1348,Inventory!E:E,0)),"")</f>
        <v/>
      </c>
    </row>
    <row r="1349" spans="2:13" x14ac:dyDescent="0.3">
      <c r="B1349" t="str">
        <f>IF(IFERROR(VLOOKUP(TRIM(A1349),Inventory!E:E,1,0),0)=0,"X","_")</f>
        <v>_</v>
      </c>
      <c r="C1349" t="str">
        <f>IF(IFERROR(VLOOKUP(TRIM(A1349),'Full Inventory'!F:F,1,0),0)=0,"X","_")</f>
        <v>X</v>
      </c>
      <c r="D1349" t="str">
        <f t="shared" si="84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F1349" t="str">
        <f t="shared" si="85"/>
        <v>_</v>
      </c>
      <c r="K1349" t="str">
        <f t="shared" ca="1" si="86"/>
        <v>_XX_</v>
      </c>
      <c r="L1349" t="str">
        <f t="shared" ca="1" si="87"/>
        <v/>
      </c>
      <c r="M1349" t="str">
        <f>IFERROR(INDEX(Inventory!A:A,MATCH(Scan!A1349,Inventory!E:E,0)),"")</f>
        <v/>
      </c>
    </row>
    <row r="1350" spans="2:13" x14ac:dyDescent="0.3">
      <c r="B1350" t="str">
        <f>IF(IFERROR(VLOOKUP(TRIM(A1350),Inventory!E:E,1,0),0)=0,"X","_")</f>
        <v>_</v>
      </c>
      <c r="C1350" t="str">
        <f>IF(IFERROR(VLOOKUP(TRIM(A1350),'Full Inventory'!F:F,1,0),0)=0,"X","_")</f>
        <v>X</v>
      </c>
      <c r="D1350" t="str">
        <f t="shared" si="84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F1350" t="str">
        <f t="shared" si="85"/>
        <v>_</v>
      </c>
      <c r="K1350" t="str">
        <f t="shared" ca="1" si="86"/>
        <v>_XX_</v>
      </c>
      <c r="L1350" t="str">
        <f t="shared" ca="1" si="87"/>
        <v/>
      </c>
      <c r="M1350" t="str">
        <f>IFERROR(INDEX(Inventory!A:A,MATCH(Scan!A1350,Inventory!E:E,0)),"")</f>
        <v/>
      </c>
    </row>
    <row r="1351" spans="2:13" x14ac:dyDescent="0.3">
      <c r="B1351" t="str">
        <f>IF(IFERROR(VLOOKUP(TRIM(A1351),Inventory!E:E,1,0),0)=0,"X","_")</f>
        <v>_</v>
      </c>
      <c r="C1351" t="str">
        <f>IF(IFERROR(VLOOKUP(TRIM(A1351),'Full Inventory'!F:F,1,0),0)=0,"X","_")</f>
        <v>X</v>
      </c>
      <c r="D1351" t="str">
        <f t="shared" si="84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F1351" t="str">
        <f t="shared" si="85"/>
        <v>_</v>
      </c>
      <c r="K1351" t="str">
        <f t="shared" ca="1" si="86"/>
        <v>_XX_</v>
      </c>
      <c r="L1351" t="str">
        <f t="shared" ca="1" si="87"/>
        <v/>
      </c>
      <c r="M1351" t="str">
        <f>IFERROR(INDEX(Inventory!A:A,MATCH(Scan!A1351,Inventory!E:E,0)),"")</f>
        <v/>
      </c>
    </row>
    <row r="1352" spans="2:13" x14ac:dyDescent="0.3">
      <c r="B1352" t="str">
        <f>IF(IFERROR(VLOOKUP(TRIM(A1352),Inventory!E:E,1,0),0)=0,"X","_")</f>
        <v>_</v>
      </c>
      <c r="C1352" t="str">
        <f>IF(IFERROR(VLOOKUP(TRIM(A1352),'Full Inventory'!F:F,1,0),0)=0,"X","_")</f>
        <v>X</v>
      </c>
      <c r="D1352" t="str">
        <f t="shared" si="84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F1352" t="str">
        <f t="shared" si="85"/>
        <v>_</v>
      </c>
      <c r="K1352" t="str">
        <f t="shared" ca="1" si="86"/>
        <v>_XX_</v>
      </c>
      <c r="L1352" t="str">
        <f t="shared" ca="1" si="87"/>
        <v/>
      </c>
      <c r="M1352" t="str">
        <f>IFERROR(INDEX(Inventory!A:A,MATCH(Scan!A1352,Inventory!E:E,0)),"")</f>
        <v/>
      </c>
    </row>
    <row r="1353" spans="2:13" x14ac:dyDescent="0.3">
      <c r="B1353" t="str">
        <f>IF(IFERROR(VLOOKUP(TRIM(A1353),Inventory!E:E,1,0),0)=0,"X","_")</f>
        <v>_</v>
      </c>
      <c r="C1353" t="str">
        <f>IF(IFERROR(VLOOKUP(TRIM(A1353),'Full Inventory'!F:F,1,0),0)=0,"X","_")</f>
        <v>X</v>
      </c>
      <c r="D1353" t="str">
        <f t="shared" si="84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F1353" t="str">
        <f t="shared" si="85"/>
        <v>_</v>
      </c>
      <c r="K1353" t="str">
        <f t="shared" ca="1" si="86"/>
        <v>_XX_</v>
      </c>
      <c r="L1353" t="str">
        <f t="shared" ca="1" si="87"/>
        <v/>
      </c>
      <c r="M1353" t="str">
        <f>IFERROR(INDEX(Inventory!A:A,MATCH(Scan!A1353,Inventory!E:E,0)),"")</f>
        <v/>
      </c>
    </row>
    <row r="1354" spans="2:13" x14ac:dyDescent="0.3">
      <c r="B1354" t="str">
        <f>IF(IFERROR(VLOOKUP(TRIM(A1354),Inventory!E:E,1,0),0)=0,"X","_")</f>
        <v>_</v>
      </c>
      <c r="C1354" t="str">
        <f>IF(IFERROR(VLOOKUP(TRIM(A1354),'Full Inventory'!F:F,1,0),0)=0,"X","_")</f>
        <v>X</v>
      </c>
      <c r="D1354" t="str">
        <f t="shared" si="84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F1354" t="str">
        <f t="shared" si="85"/>
        <v>_</v>
      </c>
      <c r="K1354" t="str">
        <f t="shared" ca="1" si="86"/>
        <v>_XX_</v>
      </c>
      <c r="L1354" t="str">
        <f t="shared" ca="1" si="87"/>
        <v/>
      </c>
      <c r="M1354" t="str">
        <f>IFERROR(INDEX(Inventory!A:A,MATCH(Scan!A1354,Inventory!E:E,0)),"")</f>
        <v/>
      </c>
    </row>
    <row r="1355" spans="2:13" x14ac:dyDescent="0.3">
      <c r="B1355" t="str">
        <f>IF(IFERROR(VLOOKUP(TRIM(A1355),Inventory!E:E,1,0),0)=0,"X","_")</f>
        <v>_</v>
      </c>
      <c r="C1355" t="str">
        <f>IF(IFERROR(VLOOKUP(TRIM(A1355),'Full Inventory'!F:F,1,0),0)=0,"X","_")</f>
        <v>X</v>
      </c>
      <c r="D1355" t="str">
        <f t="shared" si="84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F1355" t="str">
        <f t="shared" si="85"/>
        <v>_</v>
      </c>
      <c r="K1355" t="str">
        <f t="shared" ca="1" si="86"/>
        <v>_XX_</v>
      </c>
      <c r="L1355" t="str">
        <f t="shared" ca="1" si="87"/>
        <v/>
      </c>
      <c r="M1355" t="str">
        <f>IFERROR(INDEX(Inventory!A:A,MATCH(Scan!A1355,Inventory!E:E,0)),"")</f>
        <v/>
      </c>
    </row>
    <row r="1356" spans="2:13" x14ac:dyDescent="0.3">
      <c r="B1356" t="str">
        <f>IF(IFERROR(VLOOKUP(TRIM(A1356),Inventory!E:E,1,0),0)=0,"X","_")</f>
        <v>_</v>
      </c>
      <c r="C1356" t="str">
        <f>IF(IFERROR(VLOOKUP(TRIM(A1356),'Full Inventory'!F:F,1,0),0)=0,"X","_")</f>
        <v>X</v>
      </c>
      <c r="D1356" t="str">
        <f t="shared" si="84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F1356" t="str">
        <f t="shared" si="85"/>
        <v>_</v>
      </c>
      <c r="K1356" t="str">
        <f t="shared" ca="1" si="86"/>
        <v>_XX_</v>
      </c>
      <c r="L1356" t="str">
        <f t="shared" ca="1" si="87"/>
        <v/>
      </c>
      <c r="M1356" t="str">
        <f>IFERROR(INDEX(Inventory!A:A,MATCH(Scan!A1356,Inventory!E:E,0)),"")</f>
        <v/>
      </c>
    </row>
    <row r="1357" spans="2:13" x14ac:dyDescent="0.3">
      <c r="B1357" t="str">
        <f>IF(IFERROR(VLOOKUP(TRIM(A1357),Inventory!E:E,1,0),0)=0,"X","_")</f>
        <v>_</v>
      </c>
      <c r="C1357" t="str">
        <f>IF(IFERROR(VLOOKUP(TRIM(A1357),'Full Inventory'!F:F,1,0),0)=0,"X","_")</f>
        <v>X</v>
      </c>
      <c r="D1357" t="str">
        <f t="shared" si="84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F1357" t="str">
        <f t="shared" si="85"/>
        <v>_</v>
      </c>
      <c r="K1357" t="str">
        <f t="shared" ca="1" si="86"/>
        <v>_XX_</v>
      </c>
      <c r="L1357" t="str">
        <f t="shared" ca="1" si="87"/>
        <v/>
      </c>
      <c r="M1357" t="str">
        <f>IFERROR(INDEX(Inventory!A:A,MATCH(Scan!A1357,Inventory!E:E,0)),"")</f>
        <v/>
      </c>
    </row>
    <row r="1358" spans="2:13" x14ac:dyDescent="0.3">
      <c r="B1358" t="str">
        <f>IF(IFERROR(VLOOKUP(TRIM(A1358),Inventory!E:E,1,0),0)=0,"X","_")</f>
        <v>_</v>
      </c>
      <c r="C1358" t="str">
        <f>IF(IFERROR(VLOOKUP(TRIM(A1358),'Full Inventory'!F:F,1,0),0)=0,"X","_")</f>
        <v>X</v>
      </c>
      <c r="D1358" t="str">
        <f t="shared" si="84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F1358" t="str">
        <f t="shared" si="85"/>
        <v>_</v>
      </c>
      <c r="K1358" t="str">
        <f t="shared" ca="1" si="86"/>
        <v>_XX_</v>
      </c>
      <c r="L1358" t="str">
        <f t="shared" ca="1" si="87"/>
        <v/>
      </c>
      <c r="M1358" t="str">
        <f>IFERROR(INDEX(Inventory!A:A,MATCH(Scan!A1358,Inventory!E:E,0)),"")</f>
        <v/>
      </c>
    </row>
    <row r="1359" spans="2:13" x14ac:dyDescent="0.3">
      <c r="B1359" t="str">
        <f>IF(IFERROR(VLOOKUP(TRIM(A1359),Inventory!E:E,1,0),0)=0,"X","_")</f>
        <v>_</v>
      </c>
      <c r="C1359" t="str">
        <f>IF(IFERROR(VLOOKUP(TRIM(A1359),'Full Inventory'!F:F,1,0),0)=0,"X","_")</f>
        <v>X</v>
      </c>
      <c r="D1359" t="str">
        <f t="shared" si="84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F1359" t="str">
        <f t="shared" si="85"/>
        <v>_</v>
      </c>
      <c r="K1359" t="str">
        <f t="shared" ca="1" si="86"/>
        <v>_XX_</v>
      </c>
      <c r="L1359" t="str">
        <f t="shared" ca="1" si="87"/>
        <v/>
      </c>
      <c r="M1359" t="str">
        <f>IFERROR(INDEX(Inventory!A:A,MATCH(Scan!A1359,Inventory!E:E,0)),"")</f>
        <v/>
      </c>
    </row>
    <row r="1360" spans="2:13" x14ac:dyDescent="0.3">
      <c r="B1360" t="str">
        <f>IF(IFERROR(VLOOKUP(TRIM(A1360),Inventory!E:E,1,0),0)=0,"X","_")</f>
        <v>_</v>
      </c>
      <c r="C1360" t="str">
        <f>IF(IFERROR(VLOOKUP(TRIM(A1360),'Full Inventory'!F:F,1,0),0)=0,"X","_")</f>
        <v>X</v>
      </c>
      <c r="D1360" t="str">
        <f t="shared" si="84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F1360" t="str">
        <f t="shared" si="85"/>
        <v>_</v>
      </c>
      <c r="K1360" t="str">
        <f t="shared" ca="1" si="86"/>
        <v>_XX_</v>
      </c>
      <c r="L1360" t="str">
        <f t="shared" ca="1" si="87"/>
        <v/>
      </c>
      <c r="M1360" t="str">
        <f>IFERROR(INDEX(Inventory!A:A,MATCH(Scan!A1360,Inventory!E:E,0)),"")</f>
        <v/>
      </c>
    </row>
    <row r="1361" spans="2:13" x14ac:dyDescent="0.3">
      <c r="B1361" t="str">
        <f>IF(IFERROR(VLOOKUP(TRIM(A1361),Inventory!E:E,1,0),0)=0,"X","_")</f>
        <v>_</v>
      </c>
      <c r="C1361" t="str">
        <f>IF(IFERROR(VLOOKUP(TRIM(A1361),'Full Inventory'!F:F,1,0),0)=0,"X","_")</f>
        <v>X</v>
      </c>
      <c r="D1361" t="str">
        <f t="shared" si="84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F1361" t="str">
        <f t="shared" si="85"/>
        <v>_</v>
      </c>
      <c r="K1361" t="str">
        <f t="shared" ca="1" si="86"/>
        <v>_XX_</v>
      </c>
      <c r="L1361" t="str">
        <f t="shared" ca="1" si="87"/>
        <v/>
      </c>
      <c r="M1361" t="str">
        <f>IFERROR(INDEX(Inventory!A:A,MATCH(Scan!A1361,Inventory!E:E,0)),"")</f>
        <v/>
      </c>
    </row>
    <row r="1362" spans="2:13" x14ac:dyDescent="0.3">
      <c r="B1362" t="str">
        <f>IF(IFERROR(VLOOKUP(TRIM(A1362),Inventory!E:E,1,0),0)=0,"X","_")</f>
        <v>_</v>
      </c>
      <c r="C1362" t="str">
        <f>IF(IFERROR(VLOOKUP(TRIM(A1362),'Full Inventory'!F:F,1,0),0)=0,"X","_")</f>
        <v>X</v>
      </c>
      <c r="D1362" t="str">
        <f t="shared" si="84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F1362" t="str">
        <f t="shared" si="85"/>
        <v>_</v>
      </c>
      <c r="K1362" t="str">
        <f t="shared" ca="1" si="86"/>
        <v>_XX_</v>
      </c>
      <c r="L1362" t="str">
        <f t="shared" ca="1" si="87"/>
        <v/>
      </c>
      <c r="M1362" t="str">
        <f>IFERROR(INDEX(Inventory!A:A,MATCH(Scan!A1362,Inventory!E:E,0)),"")</f>
        <v/>
      </c>
    </row>
    <row r="1363" spans="2:13" x14ac:dyDescent="0.3">
      <c r="B1363" t="str">
        <f>IF(IFERROR(VLOOKUP(TRIM(A1363),Inventory!E:E,1,0),0)=0,"X","_")</f>
        <v>_</v>
      </c>
      <c r="C1363" t="str">
        <f>IF(IFERROR(VLOOKUP(TRIM(A1363),'Full Inventory'!F:F,1,0),0)=0,"X","_")</f>
        <v>X</v>
      </c>
      <c r="D1363" t="str">
        <f t="shared" si="84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F1363" t="str">
        <f t="shared" si="85"/>
        <v>_</v>
      </c>
      <c r="K1363" t="str">
        <f t="shared" ca="1" si="86"/>
        <v>_XX_</v>
      </c>
      <c r="L1363" t="str">
        <f t="shared" ca="1" si="87"/>
        <v/>
      </c>
      <c r="M1363" t="str">
        <f>IFERROR(INDEX(Inventory!A:A,MATCH(Scan!A1363,Inventory!E:E,0)),"")</f>
        <v/>
      </c>
    </row>
    <row r="1364" spans="2:13" x14ac:dyDescent="0.3">
      <c r="B1364" t="str">
        <f>IF(IFERROR(VLOOKUP(TRIM(A1364),Inventory!E:E,1,0),0)=0,"X","_")</f>
        <v>_</v>
      </c>
      <c r="C1364" t="str">
        <f>IF(IFERROR(VLOOKUP(TRIM(A1364),'Full Inventory'!F:F,1,0),0)=0,"X","_")</f>
        <v>X</v>
      </c>
      <c r="D1364" t="str">
        <f t="shared" si="84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F1364" t="str">
        <f t="shared" si="85"/>
        <v>_</v>
      </c>
      <c r="K1364" t="str">
        <f t="shared" ca="1" si="86"/>
        <v>_XX_</v>
      </c>
      <c r="L1364" t="str">
        <f t="shared" ca="1" si="87"/>
        <v/>
      </c>
      <c r="M1364" t="str">
        <f>IFERROR(INDEX(Inventory!A:A,MATCH(Scan!A1364,Inventory!E:E,0)),"")</f>
        <v/>
      </c>
    </row>
    <row r="1365" spans="2:13" x14ac:dyDescent="0.3">
      <c r="B1365" t="str">
        <f>IF(IFERROR(VLOOKUP(TRIM(A1365),Inventory!E:E,1,0),0)=0,"X","_")</f>
        <v>_</v>
      </c>
      <c r="C1365" t="str">
        <f>IF(IFERROR(VLOOKUP(TRIM(A1365),'Full Inventory'!F:F,1,0),0)=0,"X","_")</f>
        <v>X</v>
      </c>
      <c r="D1365" t="str">
        <f t="shared" si="84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F1365" t="str">
        <f t="shared" si="85"/>
        <v>_</v>
      </c>
      <c r="K1365" t="str">
        <f t="shared" ca="1" si="86"/>
        <v>_XX_</v>
      </c>
      <c r="L1365" t="str">
        <f t="shared" ca="1" si="87"/>
        <v/>
      </c>
      <c r="M1365" t="str">
        <f>IFERROR(INDEX(Inventory!A:A,MATCH(Scan!A1365,Inventory!E:E,0)),"")</f>
        <v/>
      </c>
    </row>
    <row r="1366" spans="2:13" x14ac:dyDescent="0.3">
      <c r="B1366" t="str">
        <f>IF(IFERROR(VLOOKUP(TRIM(A1366),Inventory!E:E,1,0),0)=0,"X","_")</f>
        <v>_</v>
      </c>
      <c r="C1366" t="str">
        <f>IF(IFERROR(VLOOKUP(TRIM(A1366),'Full Inventory'!F:F,1,0),0)=0,"X","_")</f>
        <v>X</v>
      </c>
      <c r="D1366" t="str">
        <f t="shared" si="84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F1366" t="str">
        <f t="shared" si="85"/>
        <v>_</v>
      </c>
      <c r="K1366" t="str">
        <f t="shared" ca="1" si="86"/>
        <v>_XX_</v>
      </c>
      <c r="L1366" t="str">
        <f t="shared" ca="1" si="87"/>
        <v/>
      </c>
      <c r="M1366" t="str">
        <f>IFERROR(INDEX(Inventory!A:A,MATCH(Scan!A1366,Inventory!E:E,0)),"")</f>
        <v/>
      </c>
    </row>
    <row r="1367" spans="2:13" x14ac:dyDescent="0.3">
      <c r="B1367" t="str">
        <f>IF(IFERROR(VLOOKUP(TRIM(A1367),Inventory!E:E,1,0),0)=0,"X","_")</f>
        <v>_</v>
      </c>
      <c r="C1367" t="str">
        <f>IF(IFERROR(VLOOKUP(TRIM(A1367),'Full Inventory'!F:F,1,0),0)=0,"X","_")</f>
        <v>X</v>
      </c>
      <c r="D1367" t="str">
        <f t="shared" si="84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F1367" t="str">
        <f t="shared" si="85"/>
        <v>_</v>
      </c>
      <c r="K1367" t="str">
        <f t="shared" ca="1" si="86"/>
        <v>_XX_</v>
      </c>
      <c r="L1367" t="str">
        <f t="shared" ca="1" si="87"/>
        <v/>
      </c>
      <c r="M1367" t="str">
        <f>IFERROR(INDEX(Inventory!A:A,MATCH(Scan!A1367,Inventory!E:E,0)),"")</f>
        <v/>
      </c>
    </row>
    <row r="1368" spans="2:13" x14ac:dyDescent="0.3">
      <c r="B1368" t="str">
        <f>IF(IFERROR(VLOOKUP(TRIM(A1368),Inventory!E:E,1,0),0)=0,"X","_")</f>
        <v>_</v>
      </c>
      <c r="C1368" t="str">
        <f>IF(IFERROR(VLOOKUP(TRIM(A1368),'Full Inventory'!F:F,1,0),0)=0,"X","_")</f>
        <v>X</v>
      </c>
      <c r="D1368" t="str">
        <f t="shared" si="84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F1368" t="str">
        <f t="shared" si="85"/>
        <v>_</v>
      </c>
      <c r="K1368" t="str">
        <f t="shared" ca="1" si="86"/>
        <v>_XX_</v>
      </c>
      <c r="L1368" t="str">
        <f t="shared" ca="1" si="87"/>
        <v/>
      </c>
      <c r="M1368" t="str">
        <f>IFERROR(INDEX(Inventory!A:A,MATCH(Scan!A1368,Inventory!E:E,0)),"")</f>
        <v/>
      </c>
    </row>
    <row r="1369" spans="2:13" x14ac:dyDescent="0.3">
      <c r="B1369" t="str">
        <f>IF(IFERROR(VLOOKUP(TRIM(A1369),Inventory!E:E,1,0),0)=0,"X","_")</f>
        <v>_</v>
      </c>
      <c r="C1369" t="str">
        <f>IF(IFERROR(VLOOKUP(TRIM(A1369),'Full Inventory'!F:F,1,0),0)=0,"X","_")</f>
        <v>X</v>
      </c>
      <c r="D1369" t="str">
        <f t="shared" si="84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F1369" t="str">
        <f t="shared" si="85"/>
        <v>_</v>
      </c>
      <c r="K1369" t="str">
        <f t="shared" ca="1" si="86"/>
        <v>_XX_</v>
      </c>
      <c r="L1369" t="str">
        <f t="shared" ca="1" si="87"/>
        <v/>
      </c>
      <c r="M1369" t="str">
        <f>IFERROR(INDEX(Inventory!A:A,MATCH(Scan!A1369,Inventory!E:E,0)),"")</f>
        <v/>
      </c>
    </row>
    <row r="1370" spans="2:13" x14ac:dyDescent="0.3">
      <c r="B1370" t="str">
        <f>IF(IFERROR(VLOOKUP(TRIM(A1370),Inventory!E:E,1,0),0)=0,"X","_")</f>
        <v>_</v>
      </c>
      <c r="C1370" t="str">
        <f>IF(IFERROR(VLOOKUP(TRIM(A1370),'Full Inventory'!F:F,1,0),0)=0,"X","_")</f>
        <v>X</v>
      </c>
      <c r="D1370" t="str">
        <f t="shared" si="84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F1370" t="str">
        <f t="shared" si="85"/>
        <v>_</v>
      </c>
      <c r="K1370" t="str">
        <f t="shared" ca="1" si="86"/>
        <v>_XX_</v>
      </c>
      <c r="L1370" t="str">
        <f t="shared" ca="1" si="87"/>
        <v/>
      </c>
      <c r="M1370" t="str">
        <f>IFERROR(INDEX(Inventory!A:A,MATCH(Scan!A1370,Inventory!E:E,0)),"")</f>
        <v/>
      </c>
    </row>
    <row r="1371" spans="2:13" x14ac:dyDescent="0.3">
      <c r="B1371" t="str">
        <f>IF(IFERROR(VLOOKUP(TRIM(A1371),Inventory!E:E,1,0),0)=0,"X","_")</f>
        <v>_</v>
      </c>
      <c r="C1371" t="str">
        <f>IF(IFERROR(VLOOKUP(TRIM(A1371),'Full Inventory'!F:F,1,0),0)=0,"X","_")</f>
        <v>X</v>
      </c>
      <c r="D1371" t="str">
        <f t="shared" si="84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F1371" t="str">
        <f t="shared" si="85"/>
        <v>_</v>
      </c>
      <c r="K1371" t="str">
        <f t="shared" ca="1" si="86"/>
        <v>_XX_</v>
      </c>
      <c r="L1371" t="str">
        <f t="shared" ca="1" si="87"/>
        <v/>
      </c>
      <c r="M1371" t="str">
        <f>IFERROR(INDEX(Inventory!A:A,MATCH(Scan!A1371,Inventory!E:E,0)),"")</f>
        <v/>
      </c>
    </row>
    <row r="1372" spans="2:13" x14ac:dyDescent="0.3">
      <c r="B1372" t="str">
        <f>IF(IFERROR(VLOOKUP(TRIM(A1372),Inventory!E:E,1,0),0)=0,"X","_")</f>
        <v>_</v>
      </c>
      <c r="C1372" t="str">
        <f>IF(IFERROR(VLOOKUP(TRIM(A1372),'Full Inventory'!F:F,1,0),0)=0,"X","_")</f>
        <v>X</v>
      </c>
      <c r="D1372" t="str">
        <f t="shared" si="84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F1372" t="str">
        <f t="shared" si="85"/>
        <v>_</v>
      </c>
      <c r="K1372" t="str">
        <f t="shared" ca="1" si="86"/>
        <v>_XX_</v>
      </c>
      <c r="L1372" t="str">
        <f t="shared" ca="1" si="87"/>
        <v/>
      </c>
      <c r="M1372" t="str">
        <f>IFERROR(INDEX(Inventory!A:A,MATCH(Scan!A1372,Inventory!E:E,0)),"")</f>
        <v/>
      </c>
    </row>
    <row r="1373" spans="2:13" x14ac:dyDescent="0.3">
      <c r="B1373" t="str">
        <f>IF(IFERROR(VLOOKUP(TRIM(A1373),Inventory!E:E,1,0),0)=0,"X","_")</f>
        <v>_</v>
      </c>
      <c r="C1373" t="str">
        <f>IF(IFERROR(VLOOKUP(TRIM(A1373),'Full Inventory'!F:F,1,0),0)=0,"X","_")</f>
        <v>X</v>
      </c>
      <c r="D1373" t="str">
        <f t="shared" si="84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F1373" t="str">
        <f t="shared" si="85"/>
        <v>_</v>
      </c>
      <c r="K1373" t="str">
        <f t="shared" ca="1" si="86"/>
        <v>_XX_</v>
      </c>
      <c r="L1373" t="str">
        <f t="shared" ca="1" si="87"/>
        <v/>
      </c>
      <c r="M1373" t="str">
        <f>IFERROR(INDEX(Inventory!A:A,MATCH(Scan!A1373,Inventory!E:E,0)),"")</f>
        <v/>
      </c>
    </row>
    <row r="1374" spans="2:13" x14ac:dyDescent="0.3">
      <c r="B1374" t="str">
        <f>IF(IFERROR(VLOOKUP(TRIM(A1374),Inventory!E:E,1,0),0)=0,"X","_")</f>
        <v>_</v>
      </c>
      <c r="C1374" t="str">
        <f>IF(IFERROR(VLOOKUP(TRIM(A1374),'Full Inventory'!F:F,1,0),0)=0,"X","_")</f>
        <v>X</v>
      </c>
      <c r="D1374" t="str">
        <f t="shared" si="84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F1374" t="str">
        <f t="shared" si="85"/>
        <v>_</v>
      </c>
      <c r="K1374" t="str">
        <f t="shared" ca="1" si="86"/>
        <v>_XX_</v>
      </c>
      <c r="L1374" t="str">
        <f t="shared" ca="1" si="87"/>
        <v/>
      </c>
      <c r="M1374" t="str">
        <f>IFERROR(INDEX(Inventory!A:A,MATCH(Scan!A1374,Inventory!E:E,0)),"")</f>
        <v/>
      </c>
    </row>
    <row r="1375" spans="2:13" x14ac:dyDescent="0.3">
      <c r="B1375" t="str">
        <f>IF(IFERROR(VLOOKUP(TRIM(A1375),Inventory!E:E,1,0),0)=0,"X","_")</f>
        <v>_</v>
      </c>
      <c r="C1375" t="str">
        <f>IF(IFERROR(VLOOKUP(TRIM(A1375),'Full Inventory'!F:F,1,0),0)=0,"X","_")</f>
        <v>X</v>
      </c>
      <c r="D1375" t="str">
        <f t="shared" si="84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F1375" t="str">
        <f t="shared" si="85"/>
        <v>_</v>
      </c>
      <c r="K1375" t="str">
        <f t="shared" ca="1" si="86"/>
        <v>_XX_</v>
      </c>
      <c r="L1375" t="str">
        <f t="shared" ca="1" si="87"/>
        <v/>
      </c>
      <c r="M1375" t="str">
        <f>IFERROR(INDEX(Inventory!A:A,MATCH(Scan!A1375,Inventory!E:E,0)),"")</f>
        <v/>
      </c>
    </row>
    <row r="1376" spans="2:13" x14ac:dyDescent="0.3">
      <c r="B1376" t="str">
        <f>IF(IFERROR(VLOOKUP(TRIM(A1376),Inventory!E:E,1,0),0)=0,"X","_")</f>
        <v>_</v>
      </c>
      <c r="C1376" t="str">
        <f>IF(IFERROR(VLOOKUP(TRIM(A1376),'Full Inventory'!F:F,1,0),0)=0,"X","_")</f>
        <v>X</v>
      </c>
      <c r="D1376" t="str">
        <f t="shared" si="84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F1376" t="str">
        <f t="shared" si="85"/>
        <v>_</v>
      </c>
      <c r="K1376" t="str">
        <f t="shared" ca="1" si="86"/>
        <v>_XX_</v>
      </c>
      <c r="L1376" t="str">
        <f t="shared" ca="1" si="87"/>
        <v/>
      </c>
      <c r="M1376" t="str">
        <f>IFERROR(INDEX(Inventory!A:A,MATCH(Scan!A1376,Inventory!E:E,0)),"")</f>
        <v/>
      </c>
    </row>
    <row r="1377" spans="2:13" x14ac:dyDescent="0.3">
      <c r="B1377" t="str">
        <f>IF(IFERROR(VLOOKUP(TRIM(A1377),Inventory!E:E,1,0),0)=0,"X","_")</f>
        <v>_</v>
      </c>
      <c r="C1377" t="str">
        <f>IF(IFERROR(VLOOKUP(TRIM(A1377),'Full Inventory'!F:F,1,0),0)=0,"X","_")</f>
        <v>X</v>
      </c>
      <c r="D1377" t="str">
        <f t="shared" si="84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F1377" t="str">
        <f t="shared" si="85"/>
        <v>_</v>
      </c>
      <c r="K1377" t="str">
        <f t="shared" ca="1" si="86"/>
        <v>_XX_</v>
      </c>
      <c r="L1377" t="str">
        <f t="shared" ca="1" si="87"/>
        <v/>
      </c>
      <c r="M1377" t="str">
        <f>IFERROR(INDEX(Inventory!A:A,MATCH(Scan!A1377,Inventory!E:E,0)),"")</f>
        <v/>
      </c>
    </row>
    <row r="1378" spans="2:13" x14ac:dyDescent="0.3">
      <c r="B1378" t="str">
        <f>IF(IFERROR(VLOOKUP(TRIM(A1378),Inventory!E:E,1,0),0)=0,"X","_")</f>
        <v>_</v>
      </c>
      <c r="C1378" t="str">
        <f>IF(IFERROR(VLOOKUP(TRIM(A1378),'Full Inventory'!F:F,1,0),0)=0,"X","_")</f>
        <v>X</v>
      </c>
      <c r="D1378" t="str">
        <f t="shared" si="84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F1378" t="str">
        <f t="shared" si="85"/>
        <v>_</v>
      </c>
      <c r="K1378" t="str">
        <f t="shared" ca="1" si="86"/>
        <v>_XX_</v>
      </c>
      <c r="L1378" t="str">
        <f t="shared" ca="1" si="87"/>
        <v/>
      </c>
      <c r="M1378" t="str">
        <f>IFERROR(INDEX(Inventory!A:A,MATCH(Scan!A1378,Inventory!E:E,0)),"")</f>
        <v/>
      </c>
    </row>
    <row r="1379" spans="2:13" x14ac:dyDescent="0.3">
      <c r="B1379" t="str">
        <f>IF(IFERROR(VLOOKUP(TRIM(A1379),Inventory!E:E,1,0),0)=0,"X","_")</f>
        <v>_</v>
      </c>
      <c r="C1379" t="str">
        <f>IF(IFERROR(VLOOKUP(TRIM(A1379),'Full Inventory'!F:F,1,0),0)=0,"X","_")</f>
        <v>X</v>
      </c>
      <c r="D1379" t="str">
        <f t="shared" si="84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F1379" t="str">
        <f t="shared" si="85"/>
        <v>_</v>
      </c>
      <c r="K1379" t="str">
        <f t="shared" ca="1" si="86"/>
        <v>_XX_</v>
      </c>
      <c r="L1379" t="str">
        <f t="shared" ca="1" si="87"/>
        <v/>
      </c>
      <c r="M1379" t="str">
        <f>IFERROR(INDEX(Inventory!A:A,MATCH(Scan!A1379,Inventory!E:E,0)),"")</f>
        <v/>
      </c>
    </row>
    <row r="1380" spans="2:13" x14ac:dyDescent="0.3">
      <c r="B1380" t="str">
        <f>IF(IFERROR(VLOOKUP(TRIM(A1380),Inventory!E:E,1,0),0)=0,"X","_")</f>
        <v>_</v>
      </c>
      <c r="C1380" t="str">
        <f>IF(IFERROR(VLOOKUP(TRIM(A1380),'Full Inventory'!F:F,1,0),0)=0,"X","_")</f>
        <v>X</v>
      </c>
      <c r="D1380" t="str">
        <f t="shared" si="84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F1380" t="str">
        <f t="shared" si="85"/>
        <v>_</v>
      </c>
      <c r="K1380" t="str">
        <f t="shared" ca="1" si="86"/>
        <v>_XX_</v>
      </c>
      <c r="L1380" t="str">
        <f t="shared" ca="1" si="87"/>
        <v/>
      </c>
      <c r="M1380" t="str">
        <f>IFERROR(INDEX(Inventory!A:A,MATCH(Scan!A1380,Inventory!E:E,0)),"")</f>
        <v/>
      </c>
    </row>
    <row r="1381" spans="2:13" x14ac:dyDescent="0.3">
      <c r="B1381" t="str">
        <f>IF(IFERROR(VLOOKUP(TRIM(A1381),Inventory!E:E,1,0),0)=0,"X","_")</f>
        <v>_</v>
      </c>
      <c r="C1381" t="str">
        <f>IF(IFERROR(VLOOKUP(TRIM(A1381),'Full Inventory'!F:F,1,0),0)=0,"X","_")</f>
        <v>X</v>
      </c>
      <c r="D1381" t="str">
        <f t="shared" si="84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F1381" t="str">
        <f t="shared" si="85"/>
        <v>_</v>
      </c>
      <c r="K1381" t="str">
        <f t="shared" ca="1" si="86"/>
        <v>_XX_</v>
      </c>
      <c r="L1381" t="str">
        <f t="shared" ca="1" si="87"/>
        <v/>
      </c>
      <c r="M1381" t="str">
        <f>IFERROR(INDEX(Inventory!A:A,MATCH(Scan!A1381,Inventory!E:E,0)),"")</f>
        <v/>
      </c>
    </row>
    <row r="1382" spans="2:13" x14ac:dyDescent="0.3">
      <c r="B1382" t="str">
        <f>IF(IFERROR(VLOOKUP(TRIM(A1382),Inventory!E:E,1,0),0)=0,"X","_")</f>
        <v>_</v>
      </c>
      <c r="C1382" t="str">
        <f>IF(IFERROR(VLOOKUP(TRIM(A1382),'Full Inventory'!F:F,1,0),0)=0,"X","_")</f>
        <v>X</v>
      </c>
      <c r="D1382" t="str">
        <f t="shared" si="84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F1382" t="str">
        <f t="shared" si="85"/>
        <v>_</v>
      </c>
      <c r="K1382" t="str">
        <f t="shared" ca="1" si="86"/>
        <v>_XX_</v>
      </c>
      <c r="L1382" t="str">
        <f t="shared" ca="1" si="87"/>
        <v/>
      </c>
      <c r="M1382" t="str">
        <f>IFERROR(INDEX(Inventory!A:A,MATCH(Scan!A1382,Inventory!E:E,0)),"")</f>
        <v/>
      </c>
    </row>
    <row r="1383" spans="2:13" x14ac:dyDescent="0.3">
      <c r="B1383" t="str">
        <f>IF(IFERROR(VLOOKUP(TRIM(A1383),Inventory!E:E,1,0),0)=0,"X","_")</f>
        <v>_</v>
      </c>
      <c r="C1383" t="str">
        <f>IF(IFERROR(VLOOKUP(TRIM(A1383),'Full Inventory'!F:F,1,0),0)=0,"X","_")</f>
        <v>X</v>
      </c>
      <c r="D1383" t="str">
        <f t="shared" si="84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F1383" t="str">
        <f t="shared" si="85"/>
        <v>_</v>
      </c>
      <c r="K1383" t="str">
        <f t="shared" ca="1" si="86"/>
        <v>_XX_</v>
      </c>
      <c r="L1383" t="str">
        <f t="shared" ca="1" si="87"/>
        <v/>
      </c>
      <c r="M1383" t="str">
        <f>IFERROR(INDEX(Inventory!A:A,MATCH(Scan!A1383,Inventory!E:E,0)),"")</f>
        <v/>
      </c>
    </row>
    <row r="1384" spans="2:13" x14ac:dyDescent="0.3">
      <c r="B1384" t="str">
        <f>IF(IFERROR(VLOOKUP(TRIM(A1384),Inventory!E:E,1,0),0)=0,"X","_")</f>
        <v>_</v>
      </c>
      <c r="C1384" t="str">
        <f>IF(IFERROR(VLOOKUP(TRIM(A1384),'Full Inventory'!F:F,1,0),0)=0,"X","_")</f>
        <v>X</v>
      </c>
      <c r="D1384" t="str">
        <f t="shared" si="84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F1384" t="str">
        <f t="shared" si="85"/>
        <v>_</v>
      </c>
      <c r="K1384" t="str">
        <f t="shared" ca="1" si="86"/>
        <v>_XX_</v>
      </c>
      <c r="L1384" t="str">
        <f t="shared" ca="1" si="87"/>
        <v/>
      </c>
      <c r="M1384" t="str">
        <f>IFERROR(INDEX(Inventory!A:A,MATCH(Scan!A1384,Inventory!E:E,0)),"")</f>
        <v/>
      </c>
    </row>
    <row r="1385" spans="2:13" x14ac:dyDescent="0.3">
      <c r="B1385" t="str">
        <f>IF(IFERROR(VLOOKUP(TRIM(A1385),Inventory!E:E,1,0),0)=0,"X","_")</f>
        <v>_</v>
      </c>
      <c r="C1385" t="str">
        <f>IF(IFERROR(VLOOKUP(TRIM(A1385),'Full Inventory'!F:F,1,0),0)=0,"X","_")</f>
        <v>X</v>
      </c>
      <c r="D1385" t="str">
        <f t="shared" si="84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F1385" t="str">
        <f t="shared" si="85"/>
        <v>_</v>
      </c>
      <c r="K1385" t="str">
        <f t="shared" ca="1" si="86"/>
        <v>_XX_</v>
      </c>
      <c r="L1385" t="str">
        <f t="shared" ca="1" si="87"/>
        <v/>
      </c>
      <c r="M1385" t="str">
        <f>IFERROR(INDEX(Inventory!A:A,MATCH(Scan!A1385,Inventory!E:E,0)),"")</f>
        <v/>
      </c>
    </row>
    <row r="1386" spans="2:13" x14ac:dyDescent="0.3">
      <c r="B1386" t="str">
        <f>IF(IFERROR(VLOOKUP(TRIM(A1386),Inventory!E:E,1,0),0)=0,"X","_")</f>
        <v>_</v>
      </c>
      <c r="C1386" t="str">
        <f>IF(IFERROR(VLOOKUP(TRIM(A1386),'Full Inventory'!F:F,1,0),0)=0,"X","_")</f>
        <v>X</v>
      </c>
      <c r="D1386" t="str">
        <f t="shared" si="84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F1386" t="str">
        <f t="shared" si="85"/>
        <v>_</v>
      </c>
      <c r="K1386" t="str">
        <f t="shared" ca="1" si="86"/>
        <v>_XX_</v>
      </c>
      <c r="L1386" t="str">
        <f t="shared" ca="1" si="87"/>
        <v/>
      </c>
      <c r="M1386" t="str">
        <f>IFERROR(INDEX(Inventory!A:A,MATCH(Scan!A1386,Inventory!E:E,0)),"")</f>
        <v/>
      </c>
    </row>
    <row r="1387" spans="2:13" x14ac:dyDescent="0.3">
      <c r="B1387" t="str">
        <f>IF(IFERROR(VLOOKUP(TRIM(A1387),Inventory!E:E,1,0),0)=0,"X","_")</f>
        <v>_</v>
      </c>
      <c r="C1387" t="str">
        <f>IF(IFERROR(VLOOKUP(TRIM(A1387),'Full Inventory'!F:F,1,0),0)=0,"X","_")</f>
        <v>X</v>
      </c>
      <c r="D1387" t="str">
        <f t="shared" si="84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F1387" t="str">
        <f t="shared" si="85"/>
        <v>_</v>
      </c>
      <c r="K1387" t="str">
        <f t="shared" ca="1" si="86"/>
        <v>_XX_</v>
      </c>
      <c r="L1387" t="str">
        <f t="shared" ca="1" si="87"/>
        <v/>
      </c>
      <c r="M1387" t="str">
        <f>IFERROR(INDEX(Inventory!A:A,MATCH(Scan!A1387,Inventory!E:E,0)),"")</f>
        <v/>
      </c>
    </row>
    <row r="1388" spans="2:13" x14ac:dyDescent="0.3">
      <c r="B1388" t="str">
        <f>IF(IFERROR(VLOOKUP(TRIM(A1388),Inventory!E:E,1,0),0)=0,"X","_")</f>
        <v>_</v>
      </c>
      <c r="C1388" t="str">
        <f>IF(IFERROR(VLOOKUP(TRIM(A1388),'Full Inventory'!F:F,1,0),0)=0,"X","_")</f>
        <v>X</v>
      </c>
      <c r="D1388" t="str">
        <f t="shared" si="84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F1388" t="str">
        <f t="shared" si="85"/>
        <v>_</v>
      </c>
      <c r="K1388" t="str">
        <f t="shared" ca="1" si="86"/>
        <v>_XX_</v>
      </c>
      <c r="L1388" t="str">
        <f t="shared" ca="1" si="87"/>
        <v/>
      </c>
      <c r="M1388" t="str">
        <f>IFERROR(INDEX(Inventory!A:A,MATCH(Scan!A1388,Inventory!E:E,0)),"")</f>
        <v/>
      </c>
    </row>
    <row r="1389" spans="2:13" x14ac:dyDescent="0.3">
      <c r="B1389" t="str">
        <f>IF(IFERROR(VLOOKUP(TRIM(A1389),Inventory!E:E,1,0),0)=0,"X","_")</f>
        <v>_</v>
      </c>
      <c r="C1389" t="str">
        <f>IF(IFERROR(VLOOKUP(TRIM(A1389),'Full Inventory'!F:F,1,0),0)=0,"X","_")</f>
        <v>X</v>
      </c>
      <c r="D1389" t="str">
        <f t="shared" si="84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F1389" t="str">
        <f t="shared" si="85"/>
        <v>_</v>
      </c>
      <c r="K1389" t="str">
        <f t="shared" ca="1" si="86"/>
        <v>_XX_</v>
      </c>
      <c r="L1389" t="str">
        <f t="shared" ca="1" si="87"/>
        <v/>
      </c>
      <c r="M1389" t="str">
        <f>IFERROR(INDEX(Inventory!A:A,MATCH(Scan!A1389,Inventory!E:E,0)),"")</f>
        <v/>
      </c>
    </row>
    <row r="1390" spans="2:13" x14ac:dyDescent="0.3">
      <c r="B1390" t="str">
        <f>IF(IFERROR(VLOOKUP(TRIM(A1390),Inventory!E:E,1,0),0)=0,"X","_")</f>
        <v>_</v>
      </c>
      <c r="C1390" t="str">
        <f>IF(IFERROR(VLOOKUP(TRIM(A1390),'Full Inventory'!F:F,1,0),0)=0,"X","_")</f>
        <v>X</v>
      </c>
      <c r="D1390" t="str">
        <f t="shared" si="84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F1390" t="str">
        <f t="shared" si="85"/>
        <v>_</v>
      </c>
      <c r="K1390" t="str">
        <f t="shared" ca="1" si="86"/>
        <v>_XX_</v>
      </c>
      <c r="L1390" t="str">
        <f t="shared" ca="1" si="87"/>
        <v/>
      </c>
      <c r="M1390" t="str">
        <f>IFERROR(INDEX(Inventory!A:A,MATCH(Scan!A1390,Inventory!E:E,0)),"")</f>
        <v/>
      </c>
    </row>
    <row r="1391" spans="2:13" x14ac:dyDescent="0.3">
      <c r="B1391" t="str">
        <f>IF(IFERROR(VLOOKUP(TRIM(A1391),Inventory!E:E,1,0),0)=0,"X","_")</f>
        <v>_</v>
      </c>
      <c r="C1391" t="str">
        <f>IF(IFERROR(VLOOKUP(TRIM(A1391),'Full Inventory'!F:F,1,0),0)=0,"X","_")</f>
        <v>X</v>
      </c>
      <c r="D1391" t="str">
        <f t="shared" si="84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F1391" t="str">
        <f t="shared" si="85"/>
        <v>_</v>
      </c>
      <c r="K1391" t="str">
        <f t="shared" ca="1" si="86"/>
        <v>_XX_</v>
      </c>
      <c r="L1391" t="str">
        <f t="shared" ca="1" si="87"/>
        <v/>
      </c>
      <c r="M1391" t="str">
        <f>IFERROR(INDEX(Inventory!A:A,MATCH(Scan!A1391,Inventory!E:E,0)),"")</f>
        <v/>
      </c>
    </row>
    <row r="1392" spans="2:13" x14ac:dyDescent="0.3">
      <c r="B1392" t="str">
        <f>IF(IFERROR(VLOOKUP(TRIM(A1392),Inventory!E:E,1,0),0)=0,"X","_")</f>
        <v>_</v>
      </c>
      <c r="C1392" t="str">
        <f>IF(IFERROR(VLOOKUP(TRIM(A1392),'Full Inventory'!F:F,1,0),0)=0,"X","_")</f>
        <v>X</v>
      </c>
      <c r="D1392" t="str">
        <f t="shared" si="84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F1392" t="str">
        <f t="shared" si="85"/>
        <v>_</v>
      </c>
      <c r="K1392" t="str">
        <f t="shared" ca="1" si="86"/>
        <v>_XX_</v>
      </c>
      <c r="L1392" t="str">
        <f t="shared" ca="1" si="87"/>
        <v/>
      </c>
      <c r="M1392" t="str">
        <f>IFERROR(INDEX(Inventory!A:A,MATCH(Scan!A1392,Inventory!E:E,0)),"")</f>
        <v/>
      </c>
    </row>
    <row r="1393" spans="2:13" x14ac:dyDescent="0.3">
      <c r="B1393" t="str">
        <f>IF(IFERROR(VLOOKUP(TRIM(A1393),Inventory!E:E,1,0),0)=0,"X","_")</f>
        <v>_</v>
      </c>
      <c r="C1393" t="str">
        <f>IF(IFERROR(VLOOKUP(TRIM(A1393),'Full Inventory'!F:F,1,0),0)=0,"X","_")</f>
        <v>X</v>
      </c>
      <c r="D1393" t="str">
        <f t="shared" si="84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F1393" t="str">
        <f t="shared" si="85"/>
        <v>_</v>
      </c>
      <c r="K1393" t="str">
        <f t="shared" ca="1" si="86"/>
        <v>_XX_</v>
      </c>
      <c r="L1393" t="str">
        <f t="shared" ca="1" si="87"/>
        <v/>
      </c>
      <c r="M1393" t="str">
        <f>IFERROR(INDEX(Inventory!A:A,MATCH(Scan!A1393,Inventory!E:E,0)),"")</f>
        <v/>
      </c>
    </row>
    <row r="1394" spans="2:13" x14ac:dyDescent="0.3">
      <c r="B1394" t="str">
        <f>IF(IFERROR(VLOOKUP(TRIM(A1394),Inventory!E:E,1,0),0)=0,"X","_")</f>
        <v>_</v>
      </c>
      <c r="C1394" t="str">
        <f>IF(IFERROR(VLOOKUP(TRIM(A1394),'Full Inventory'!F:F,1,0),0)=0,"X","_")</f>
        <v>X</v>
      </c>
      <c r="D1394" t="str">
        <f t="shared" si="84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F1394" t="str">
        <f t="shared" si="85"/>
        <v>_</v>
      </c>
      <c r="K1394" t="str">
        <f t="shared" ca="1" si="86"/>
        <v>_XX_</v>
      </c>
      <c r="L1394" t="str">
        <f t="shared" ca="1" si="87"/>
        <v/>
      </c>
      <c r="M1394" t="str">
        <f>IFERROR(INDEX(Inventory!A:A,MATCH(Scan!A1394,Inventory!E:E,0)),"")</f>
        <v/>
      </c>
    </row>
    <row r="1395" spans="2:13" x14ac:dyDescent="0.3">
      <c r="B1395" t="str">
        <f>IF(IFERROR(VLOOKUP(TRIM(A1395),Inventory!E:E,1,0),0)=0,"X","_")</f>
        <v>_</v>
      </c>
      <c r="C1395" t="str">
        <f>IF(IFERROR(VLOOKUP(TRIM(A1395),'Full Inventory'!F:F,1,0),0)=0,"X","_")</f>
        <v>X</v>
      </c>
      <c r="D1395" t="str">
        <f t="shared" si="84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F1395" t="str">
        <f t="shared" si="85"/>
        <v>_</v>
      </c>
      <c r="K1395" t="str">
        <f t="shared" ca="1" si="86"/>
        <v>_XX_</v>
      </c>
      <c r="L1395" t="str">
        <f t="shared" ca="1" si="87"/>
        <v/>
      </c>
      <c r="M1395" t="str">
        <f>IFERROR(INDEX(Inventory!A:A,MATCH(Scan!A1395,Inventory!E:E,0)),"")</f>
        <v/>
      </c>
    </row>
    <row r="1396" spans="2:13" x14ac:dyDescent="0.3">
      <c r="B1396" t="str">
        <f>IF(IFERROR(VLOOKUP(TRIM(A1396),Inventory!E:E,1,0),0)=0,"X","_")</f>
        <v>_</v>
      </c>
      <c r="C1396" t="str">
        <f>IF(IFERROR(VLOOKUP(TRIM(A1396),'Full Inventory'!F:F,1,0),0)=0,"X","_")</f>
        <v>X</v>
      </c>
      <c r="D1396" t="str">
        <f t="shared" si="84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F1396" t="str">
        <f t="shared" si="85"/>
        <v>_</v>
      </c>
      <c r="K1396" t="str">
        <f t="shared" ca="1" si="86"/>
        <v>_XX_</v>
      </c>
      <c r="L1396" t="str">
        <f t="shared" ca="1" si="87"/>
        <v/>
      </c>
      <c r="M1396" t="str">
        <f>IFERROR(INDEX(Inventory!A:A,MATCH(Scan!A1396,Inventory!E:E,0)),"")</f>
        <v/>
      </c>
    </row>
    <row r="1397" spans="2:13" x14ac:dyDescent="0.3">
      <c r="B1397" t="str">
        <f>IF(IFERROR(VLOOKUP(TRIM(A1397),Inventory!E:E,1,0),0)=0,"X","_")</f>
        <v>_</v>
      </c>
      <c r="C1397" t="str">
        <f>IF(IFERROR(VLOOKUP(TRIM(A1397),'Full Inventory'!F:F,1,0),0)=0,"X","_")</f>
        <v>X</v>
      </c>
      <c r="D1397" t="str">
        <f t="shared" si="84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F1397" t="str">
        <f t="shared" si="85"/>
        <v>_</v>
      </c>
      <c r="K1397" t="str">
        <f t="shared" ca="1" si="86"/>
        <v>_XX_</v>
      </c>
      <c r="L1397" t="str">
        <f t="shared" ca="1" si="87"/>
        <v/>
      </c>
      <c r="M1397" t="str">
        <f>IFERROR(INDEX(Inventory!A:A,MATCH(Scan!A1397,Inventory!E:E,0)),"")</f>
        <v/>
      </c>
    </row>
    <row r="1398" spans="2:13" x14ac:dyDescent="0.3">
      <c r="B1398" t="str">
        <f>IF(IFERROR(VLOOKUP(TRIM(A1398),Inventory!E:E,1,0),0)=0,"X","_")</f>
        <v>_</v>
      </c>
      <c r="C1398" t="str">
        <f>IF(IFERROR(VLOOKUP(TRIM(A1398),'Full Inventory'!F:F,1,0),0)=0,"X","_")</f>
        <v>X</v>
      </c>
      <c r="D1398" t="str">
        <f t="shared" si="84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F1398" t="str">
        <f t="shared" si="85"/>
        <v>_</v>
      </c>
      <c r="K1398" t="str">
        <f t="shared" ca="1" si="86"/>
        <v>_XX_</v>
      </c>
      <c r="L1398" t="str">
        <f t="shared" ca="1" si="87"/>
        <v/>
      </c>
      <c r="M1398" t="str">
        <f>IFERROR(INDEX(Inventory!A:A,MATCH(Scan!A1398,Inventory!E:E,0)),"")</f>
        <v/>
      </c>
    </row>
    <row r="1399" spans="2:13" x14ac:dyDescent="0.3">
      <c r="B1399" t="str">
        <f>IF(IFERROR(VLOOKUP(TRIM(A1399),Inventory!E:E,1,0),0)=0,"X","_")</f>
        <v>_</v>
      </c>
      <c r="C1399" t="str">
        <f>IF(IFERROR(VLOOKUP(TRIM(A1399),'Full Inventory'!F:F,1,0),0)=0,"X","_")</f>
        <v>X</v>
      </c>
      <c r="D1399" t="str">
        <f t="shared" si="84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F1399" t="str">
        <f t="shared" si="85"/>
        <v>_</v>
      </c>
      <c r="K1399" t="str">
        <f t="shared" ca="1" si="86"/>
        <v>_XX_</v>
      </c>
      <c r="L1399" t="str">
        <f t="shared" ca="1" si="87"/>
        <v/>
      </c>
      <c r="M1399" t="str">
        <f>IFERROR(INDEX(Inventory!A:A,MATCH(Scan!A1399,Inventory!E:E,0)),"")</f>
        <v/>
      </c>
    </row>
    <row r="1400" spans="2:13" x14ac:dyDescent="0.3">
      <c r="B1400" t="str">
        <f>IF(IFERROR(VLOOKUP(TRIM(A1400),Inventory!E:E,1,0),0)=0,"X","_")</f>
        <v>_</v>
      </c>
      <c r="C1400" t="str">
        <f>IF(IFERROR(VLOOKUP(TRIM(A1400),'Full Inventory'!F:F,1,0),0)=0,"X","_")</f>
        <v>X</v>
      </c>
      <c r="D1400" t="str">
        <f t="shared" si="84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F1400" t="str">
        <f t="shared" si="85"/>
        <v>_</v>
      </c>
      <c r="K1400" t="str">
        <f t="shared" ca="1" si="86"/>
        <v>_XX_</v>
      </c>
      <c r="L1400" t="str">
        <f t="shared" ca="1" si="87"/>
        <v/>
      </c>
      <c r="M1400" t="str">
        <f>IFERROR(INDEX(Inventory!A:A,MATCH(Scan!A1400,Inventory!E:E,0)),"")</f>
        <v/>
      </c>
    </row>
    <row r="1401" spans="2:13" x14ac:dyDescent="0.3">
      <c r="B1401" t="str">
        <f>IF(IFERROR(VLOOKUP(TRIM(A1401),Inventory!E:E,1,0),0)=0,"X","_")</f>
        <v>_</v>
      </c>
      <c r="C1401" t="str">
        <f>IF(IFERROR(VLOOKUP(TRIM(A1401),'Full Inventory'!F:F,1,0),0)=0,"X","_")</f>
        <v>X</v>
      </c>
      <c r="D1401" t="str">
        <f t="shared" si="84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F1401" t="str">
        <f t="shared" si="85"/>
        <v>_</v>
      </c>
      <c r="K1401" t="str">
        <f t="shared" ca="1" si="86"/>
        <v>_XX_</v>
      </c>
      <c r="L1401" t="str">
        <f t="shared" ca="1" si="87"/>
        <v/>
      </c>
      <c r="M1401" t="str">
        <f>IFERROR(INDEX(Inventory!A:A,MATCH(Scan!A1401,Inventory!E:E,0)),"")</f>
        <v/>
      </c>
    </row>
    <row r="1402" spans="2:13" x14ac:dyDescent="0.3">
      <c r="B1402" t="str">
        <f>IF(IFERROR(VLOOKUP(TRIM(A1402),Inventory!E:E,1,0),0)=0,"X","_")</f>
        <v>_</v>
      </c>
      <c r="C1402" t="str">
        <f>IF(IFERROR(VLOOKUP(TRIM(A1402),'Full Inventory'!F:F,1,0),0)=0,"X","_")</f>
        <v>X</v>
      </c>
      <c r="D1402" t="str">
        <f t="shared" si="84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F1402" t="str">
        <f t="shared" si="85"/>
        <v>_</v>
      </c>
      <c r="K1402" t="str">
        <f t="shared" ca="1" si="86"/>
        <v>_XX_</v>
      </c>
      <c r="L1402" t="str">
        <f t="shared" ca="1" si="87"/>
        <v/>
      </c>
      <c r="M1402" t="str">
        <f>IFERROR(INDEX(Inventory!A:A,MATCH(Scan!A1402,Inventory!E:E,0)),"")</f>
        <v/>
      </c>
    </row>
    <row r="1403" spans="2:13" x14ac:dyDescent="0.3">
      <c r="B1403" t="str">
        <f>IF(IFERROR(VLOOKUP(TRIM(A1403),Inventory!E:E,1,0),0)=0,"X","_")</f>
        <v>_</v>
      </c>
      <c r="C1403" t="str">
        <f>IF(IFERROR(VLOOKUP(TRIM(A1403),'Full Inventory'!F:F,1,0),0)=0,"X","_")</f>
        <v>X</v>
      </c>
      <c r="D1403" t="str">
        <f t="shared" si="84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F1403" t="str">
        <f t="shared" si="85"/>
        <v>_</v>
      </c>
      <c r="K1403" t="str">
        <f t="shared" ca="1" si="86"/>
        <v>_XX_</v>
      </c>
      <c r="L1403" t="str">
        <f t="shared" ca="1" si="87"/>
        <v/>
      </c>
      <c r="M1403" t="str">
        <f>IFERROR(INDEX(Inventory!A:A,MATCH(Scan!A1403,Inventory!E:E,0)),"")</f>
        <v/>
      </c>
    </row>
    <row r="1404" spans="2:13" x14ac:dyDescent="0.3">
      <c r="B1404" t="str">
        <f>IF(IFERROR(VLOOKUP(TRIM(A1404),Inventory!E:E,1,0),0)=0,"X","_")</f>
        <v>_</v>
      </c>
      <c r="C1404" t="str">
        <f>IF(IFERROR(VLOOKUP(TRIM(A1404),'Full Inventory'!F:F,1,0),0)=0,"X","_")</f>
        <v>X</v>
      </c>
      <c r="D1404" t="str">
        <f t="shared" si="84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F1404" t="str">
        <f t="shared" si="85"/>
        <v>_</v>
      </c>
      <c r="K1404" t="str">
        <f t="shared" ca="1" si="86"/>
        <v>_XX_</v>
      </c>
      <c r="L1404" t="str">
        <f t="shared" ca="1" si="87"/>
        <v/>
      </c>
      <c r="M1404" t="str">
        <f>IFERROR(INDEX(Inventory!A:A,MATCH(Scan!A1404,Inventory!E:E,0)),"")</f>
        <v/>
      </c>
    </row>
    <row r="1405" spans="2:13" x14ac:dyDescent="0.3">
      <c r="B1405" t="str">
        <f>IF(IFERROR(VLOOKUP(TRIM(A1405),Inventory!E:E,1,0),0)=0,"X","_")</f>
        <v>_</v>
      </c>
      <c r="C1405" t="str">
        <f>IF(IFERROR(VLOOKUP(TRIM(A1405),'Full Inventory'!F:F,1,0),0)=0,"X","_")</f>
        <v>X</v>
      </c>
      <c r="D1405" t="str">
        <f t="shared" si="84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F1405" t="str">
        <f t="shared" si="85"/>
        <v>_</v>
      </c>
      <c r="K1405" t="str">
        <f t="shared" ca="1" si="86"/>
        <v>_XX_</v>
      </c>
      <c r="L1405" t="str">
        <f t="shared" ca="1" si="87"/>
        <v/>
      </c>
      <c r="M1405" t="str">
        <f>IFERROR(INDEX(Inventory!A:A,MATCH(Scan!A1405,Inventory!E:E,0)),"")</f>
        <v/>
      </c>
    </row>
    <row r="1406" spans="2:13" x14ac:dyDescent="0.3">
      <c r="B1406" t="str">
        <f>IF(IFERROR(VLOOKUP(TRIM(A1406),Inventory!E:E,1,0),0)=0,"X","_")</f>
        <v>_</v>
      </c>
      <c r="C1406" t="str">
        <f>IF(IFERROR(VLOOKUP(TRIM(A1406),'Full Inventory'!F:F,1,0),0)=0,"X","_")</f>
        <v>X</v>
      </c>
      <c r="D1406" t="str">
        <f t="shared" si="84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F1406" t="str">
        <f t="shared" si="85"/>
        <v>_</v>
      </c>
      <c r="K1406" t="str">
        <f t="shared" ca="1" si="86"/>
        <v>_XX_</v>
      </c>
      <c r="L1406" t="str">
        <f t="shared" ca="1" si="87"/>
        <v/>
      </c>
      <c r="M1406" t="str">
        <f>IFERROR(INDEX(Inventory!A:A,MATCH(Scan!A1406,Inventory!E:E,0)),"")</f>
        <v/>
      </c>
    </row>
    <row r="1407" spans="2:13" x14ac:dyDescent="0.3">
      <c r="B1407" t="str">
        <f>IF(IFERROR(VLOOKUP(TRIM(A1407),Inventory!E:E,1,0),0)=0,"X","_")</f>
        <v>_</v>
      </c>
      <c r="C1407" t="str">
        <f>IF(IFERROR(VLOOKUP(TRIM(A1407),'Full Inventory'!F:F,1,0),0)=0,"X","_")</f>
        <v>X</v>
      </c>
      <c r="D1407" t="str">
        <f t="shared" si="84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F1407" t="str">
        <f t="shared" si="85"/>
        <v>_</v>
      </c>
      <c r="K1407" t="str">
        <f t="shared" ca="1" si="86"/>
        <v>_XX_</v>
      </c>
      <c r="L1407" t="str">
        <f t="shared" ca="1" si="87"/>
        <v/>
      </c>
      <c r="M1407" t="str">
        <f>IFERROR(INDEX(Inventory!A:A,MATCH(Scan!A1407,Inventory!E:E,0)),"")</f>
        <v/>
      </c>
    </row>
    <row r="1408" spans="2:13" x14ac:dyDescent="0.3">
      <c r="B1408" t="str">
        <f>IF(IFERROR(VLOOKUP(TRIM(A1408),Inventory!E:E,1,0),0)=0,"X","_")</f>
        <v>_</v>
      </c>
      <c r="C1408" t="str">
        <f>IF(IFERROR(VLOOKUP(TRIM(A1408),'Full Inventory'!F:F,1,0),0)=0,"X","_")</f>
        <v>X</v>
      </c>
      <c r="D1408" t="str">
        <f t="shared" si="84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F1408" t="str">
        <f t="shared" si="85"/>
        <v>_</v>
      </c>
      <c r="K1408" t="str">
        <f t="shared" ca="1" si="86"/>
        <v>_XX_</v>
      </c>
      <c r="L1408" t="str">
        <f t="shared" ca="1" si="87"/>
        <v/>
      </c>
      <c r="M1408" t="str">
        <f>IFERROR(INDEX(Inventory!A:A,MATCH(Scan!A1408,Inventory!E:E,0)),"")</f>
        <v/>
      </c>
    </row>
    <row r="1409" spans="2:13" x14ac:dyDescent="0.3">
      <c r="B1409" t="str">
        <f>IF(IFERROR(VLOOKUP(TRIM(A1409),Inventory!E:E,1,0),0)=0,"X","_")</f>
        <v>_</v>
      </c>
      <c r="C1409" t="str">
        <f>IF(IFERROR(VLOOKUP(TRIM(A1409),'Full Inventory'!F:F,1,0),0)=0,"X","_")</f>
        <v>X</v>
      </c>
      <c r="D1409" t="str">
        <f t="shared" si="84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F1409" t="str">
        <f t="shared" si="85"/>
        <v>_</v>
      </c>
      <c r="K1409" t="str">
        <f t="shared" ca="1" si="86"/>
        <v>_XX_</v>
      </c>
      <c r="L1409" t="str">
        <f t="shared" ca="1" si="87"/>
        <v/>
      </c>
      <c r="M1409" t="str">
        <f>IFERROR(INDEX(Inventory!A:A,MATCH(Scan!A1409,Inventory!E:E,0)),"")</f>
        <v/>
      </c>
    </row>
    <row r="1410" spans="2:13" x14ac:dyDescent="0.3">
      <c r="B1410" t="str">
        <f>IF(IFERROR(VLOOKUP(TRIM(A1410),Inventory!E:E,1,0),0)=0,"X","_")</f>
        <v>_</v>
      </c>
      <c r="C1410" t="str">
        <f>IF(IFERROR(VLOOKUP(TRIM(A1410),'Full Inventory'!F:F,1,0),0)=0,"X","_")</f>
        <v>X</v>
      </c>
      <c r="D1410" t="str">
        <f t="shared" ref="D1410:D1473" si="88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F1410" t="str">
        <f t="shared" si="85"/>
        <v>_</v>
      </c>
      <c r="K1410" t="str">
        <f t="shared" ca="1" si="86"/>
        <v>_XX_</v>
      </c>
      <c r="L1410" t="str">
        <f t="shared" ca="1" si="87"/>
        <v/>
      </c>
      <c r="M1410" t="str">
        <f>IFERROR(INDEX(Inventory!A:A,MATCH(Scan!A1410,Inventory!E:E,0)),"")</f>
        <v/>
      </c>
    </row>
    <row r="1411" spans="2:13" x14ac:dyDescent="0.3">
      <c r="B1411" t="str">
        <f>IF(IFERROR(VLOOKUP(TRIM(A1411),Inventory!E:E,1,0),0)=0,"X","_")</f>
        <v>_</v>
      </c>
      <c r="C1411" t="str">
        <f>IF(IFERROR(VLOOKUP(TRIM(A1411),'Full Inventory'!F:F,1,0),0)=0,"X","_")</f>
        <v>X</v>
      </c>
      <c r="D1411" t="str">
        <f t="shared" si="88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F1411" t="str">
        <f t="shared" ref="F1411:F1474" si="89">IF(IFERROR(SEARCH("ö",A1411),0)&gt;0,"X","_")</f>
        <v>_</v>
      </c>
      <c r="K1411" t="str">
        <f t="shared" ref="K1411:K1474" ca="1" si="90">B1411&amp;C1411&amp;D1411&amp;E1411</f>
        <v>_XX_</v>
      </c>
      <c r="L1411" t="str">
        <f t="shared" ref="L1411:L1474" ca="1" si="91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3">
      <c r="B1412" t="str">
        <f>IF(IFERROR(VLOOKUP(TRIM(A1412),Inventory!E:E,1,0),0)=0,"X","_")</f>
        <v>_</v>
      </c>
      <c r="C1412" t="str">
        <f>IF(IFERROR(VLOOKUP(TRIM(A1412),'Full Inventory'!F:F,1,0),0)=0,"X","_")</f>
        <v>X</v>
      </c>
      <c r="D1412" t="str">
        <f t="shared" si="88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F1412" t="str">
        <f t="shared" si="89"/>
        <v>_</v>
      </c>
      <c r="K1412" t="str">
        <f t="shared" ca="1" si="90"/>
        <v>_XX_</v>
      </c>
      <c r="L1412" t="str">
        <f t="shared" ca="1" si="91"/>
        <v/>
      </c>
      <c r="M1412" t="str">
        <f>IFERROR(INDEX(Inventory!A:A,MATCH(Scan!A1412,Inventory!E:E,0)),"")</f>
        <v/>
      </c>
    </row>
    <row r="1413" spans="2:13" x14ac:dyDescent="0.3">
      <c r="B1413" t="str">
        <f>IF(IFERROR(VLOOKUP(TRIM(A1413),Inventory!E:E,1,0),0)=0,"X","_")</f>
        <v>_</v>
      </c>
      <c r="C1413" t="str">
        <f>IF(IFERROR(VLOOKUP(TRIM(A1413),'Full Inventory'!F:F,1,0),0)=0,"X","_")</f>
        <v>X</v>
      </c>
      <c r="D1413" t="str">
        <f t="shared" si="88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F1413" t="str">
        <f t="shared" si="89"/>
        <v>_</v>
      </c>
      <c r="K1413" t="str">
        <f t="shared" ca="1" si="90"/>
        <v>_XX_</v>
      </c>
      <c r="L1413" t="str">
        <f t="shared" ca="1" si="91"/>
        <v/>
      </c>
      <c r="M1413" t="str">
        <f>IFERROR(INDEX(Inventory!A:A,MATCH(Scan!A1413,Inventory!E:E,0)),"")</f>
        <v/>
      </c>
    </row>
    <row r="1414" spans="2:13" x14ac:dyDescent="0.3">
      <c r="B1414" t="str">
        <f>IF(IFERROR(VLOOKUP(TRIM(A1414),Inventory!E:E,1,0),0)=0,"X","_")</f>
        <v>_</v>
      </c>
      <c r="C1414" t="str">
        <f>IF(IFERROR(VLOOKUP(TRIM(A1414),'Full Inventory'!F:F,1,0),0)=0,"X","_")</f>
        <v>X</v>
      </c>
      <c r="D1414" t="str">
        <f t="shared" si="88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F1414" t="str">
        <f t="shared" si="89"/>
        <v>_</v>
      </c>
      <c r="K1414" t="str">
        <f t="shared" ca="1" si="90"/>
        <v>_XX_</v>
      </c>
      <c r="L1414" t="str">
        <f t="shared" ca="1" si="91"/>
        <v/>
      </c>
      <c r="M1414" t="str">
        <f>IFERROR(INDEX(Inventory!A:A,MATCH(Scan!A1414,Inventory!E:E,0)),"")</f>
        <v/>
      </c>
    </row>
    <row r="1415" spans="2:13" x14ac:dyDescent="0.3">
      <c r="B1415" t="str">
        <f>IF(IFERROR(VLOOKUP(TRIM(A1415),Inventory!E:E,1,0),0)=0,"X","_")</f>
        <v>_</v>
      </c>
      <c r="C1415" t="str">
        <f>IF(IFERROR(VLOOKUP(TRIM(A1415),'Full Inventory'!F:F,1,0),0)=0,"X","_")</f>
        <v>X</v>
      </c>
      <c r="D1415" t="str">
        <f t="shared" si="88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F1415" t="str">
        <f t="shared" si="89"/>
        <v>_</v>
      </c>
      <c r="K1415" t="str">
        <f t="shared" ca="1" si="90"/>
        <v>_XX_</v>
      </c>
      <c r="L1415" t="str">
        <f t="shared" ca="1" si="91"/>
        <v/>
      </c>
      <c r="M1415" t="str">
        <f>IFERROR(INDEX(Inventory!A:A,MATCH(Scan!A1415,Inventory!E:E,0)),"")</f>
        <v/>
      </c>
    </row>
    <row r="1416" spans="2:13" x14ac:dyDescent="0.3">
      <c r="B1416" t="str">
        <f>IF(IFERROR(VLOOKUP(TRIM(A1416),Inventory!E:E,1,0),0)=0,"X","_")</f>
        <v>_</v>
      </c>
      <c r="C1416" t="str">
        <f>IF(IFERROR(VLOOKUP(TRIM(A1416),'Full Inventory'!F:F,1,0),0)=0,"X","_")</f>
        <v>X</v>
      </c>
      <c r="D1416" t="str">
        <f t="shared" si="88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F1416" t="str">
        <f t="shared" si="89"/>
        <v>_</v>
      </c>
      <c r="K1416" t="str">
        <f t="shared" ca="1" si="90"/>
        <v>_XX_</v>
      </c>
      <c r="L1416" t="str">
        <f t="shared" ca="1" si="91"/>
        <v/>
      </c>
      <c r="M1416" t="str">
        <f>IFERROR(INDEX(Inventory!A:A,MATCH(Scan!A1416,Inventory!E:E,0)),"")</f>
        <v/>
      </c>
    </row>
    <row r="1417" spans="2:13" x14ac:dyDescent="0.3">
      <c r="B1417" t="str">
        <f>IF(IFERROR(VLOOKUP(TRIM(A1417),Inventory!E:E,1,0),0)=0,"X","_")</f>
        <v>_</v>
      </c>
      <c r="C1417" t="str">
        <f>IF(IFERROR(VLOOKUP(TRIM(A1417),'Full Inventory'!F:F,1,0),0)=0,"X","_")</f>
        <v>X</v>
      </c>
      <c r="D1417" t="str">
        <f t="shared" si="88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F1417" t="str">
        <f t="shared" si="89"/>
        <v>_</v>
      </c>
      <c r="K1417" t="str">
        <f t="shared" ca="1" si="90"/>
        <v>_XX_</v>
      </c>
      <c r="L1417" t="str">
        <f t="shared" ca="1" si="91"/>
        <v/>
      </c>
      <c r="M1417" t="str">
        <f>IFERROR(INDEX(Inventory!A:A,MATCH(Scan!A1417,Inventory!E:E,0)),"")</f>
        <v/>
      </c>
    </row>
    <row r="1418" spans="2:13" x14ac:dyDescent="0.3">
      <c r="B1418" t="str">
        <f>IF(IFERROR(VLOOKUP(TRIM(A1418),Inventory!E:E,1,0),0)=0,"X","_")</f>
        <v>_</v>
      </c>
      <c r="C1418" t="str">
        <f>IF(IFERROR(VLOOKUP(TRIM(A1418),'Full Inventory'!F:F,1,0),0)=0,"X","_")</f>
        <v>X</v>
      </c>
      <c r="D1418" t="str">
        <f t="shared" si="88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F1418" t="str">
        <f t="shared" si="89"/>
        <v>_</v>
      </c>
      <c r="K1418" t="str">
        <f t="shared" ca="1" si="90"/>
        <v>_XX_</v>
      </c>
      <c r="L1418" t="str">
        <f t="shared" ca="1" si="91"/>
        <v/>
      </c>
      <c r="M1418" t="str">
        <f>IFERROR(INDEX(Inventory!A:A,MATCH(Scan!A1418,Inventory!E:E,0)),"")</f>
        <v/>
      </c>
    </row>
    <row r="1419" spans="2:13" x14ac:dyDescent="0.3">
      <c r="B1419" t="str">
        <f>IF(IFERROR(VLOOKUP(TRIM(A1419),Inventory!E:E,1,0),0)=0,"X","_")</f>
        <v>_</v>
      </c>
      <c r="C1419" t="str">
        <f>IF(IFERROR(VLOOKUP(TRIM(A1419),'Full Inventory'!F:F,1,0),0)=0,"X","_")</f>
        <v>X</v>
      </c>
      <c r="D1419" t="str">
        <f t="shared" si="88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F1419" t="str">
        <f t="shared" si="89"/>
        <v>_</v>
      </c>
      <c r="K1419" t="str">
        <f t="shared" ca="1" si="90"/>
        <v>_XX_</v>
      </c>
      <c r="L1419" t="str">
        <f t="shared" ca="1" si="91"/>
        <v/>
      </c>
      <c r="M1419" t="str">
        <f>IFERROR(INDEX(Inventory!A:A,MATCH(Scan!A1419,Inventory!E:E,0)),"")</f>
        <v/>
      </c>
    </row>
    <row r="1420" spans="2:13" x14ac:dyDescent="0.3">
      <c r="B1420" t="str">
        <f>IF(IFERROR(VLOOKUP(TRIM(A1420),Inventory!E:E,1,0),0)=0,"X","_")</f>
        <v>_</v>
      </c>
      <c r="C1420" t="str">
        <f>IF(IFERROR(VLOOKUP(TRIM(A1420),'Full Inventory'!F:F,1,0),0)=0,"X","_")</f>
        <v>X</v>
      </c>
      <c r="D1420" t="str">
        <f t="shared" si="88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F1420" t="str">
        <f t="shared" si="89"/>
        <v>_</v>
      </c>
      <c r="K1420" t="str">
        <f t="shared" ca="1" si="90"/>
        <v>_XX_</v>
      </c>
      <c r="L1420" t="str">
        <f t="shared" ca="1" si="91"/>
        <v/>
      </c>
      <c r="M1420" t="str">
        <f>IFERROR(INDEX(Inventory!A:A,MATCH(Scan!A1420,Inventory!E:E,0)),"")</f>
        <v/>
      </c>
    </row>
    <row r="1421" spans="2:13" x14ac:dyDescent="0.3">
      <c r="B1421" t="str">
        <f>IF(IFERROR(VLOOKUP(TRIM(A1421),Inventory!E:E,1,0),0)=0,"X","_")</f>
        <v>_</v>
      </c>
      <c r="C1421" t="str">
        <f>IF(IFERROR(VLOOKUP(TRIM(A1421),'Full Inventory'!F:F,1,0),0)=0,"X","_")</f>
        <v>X</v>
      </c>
      <c r="D1421" t="str">
        <f t="shared" si="88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F1421" t="str">
        <f t="shared" si="89"/>
        <v>_</v>
      </c>
      <c r="K1421" t="str">
        <f t="shared" ca="1" si="90"/>
        <v>_XX_</v>
      </c>
      <c r="L1421" t="str">
        <f t="shared" ca="1" si="91"/>
        <v/>
      </c>
      <c r="M1421" t="str">
        <f>IFERROR(INDEX(Inventory!A:A,MATCH(Scan!A1421,Inventory!E:E,0)),"")</f>
        <v/>
      </c>
    </row>
    <row r="1422" spans="2:13" x14ac:dyDescent="0.3">
      <c r="B1422" t="str">
        <f>IF(IFERROR(VLOOKUP(TRIM(A1422),Inventory!E:E,1,0),0)=0,"X","_")</f>
        <v>_</v>
      </c>
      <c r="C1422" t="str">
        <f>IF(IFERROR(VLOOKUP(TRIM(A1422),'Full Inventory'!F:F,1,0),0)=0,"X","_")</f>
        <v>X</v>
      </c>
      <c r="D1422" t="str">
        <f t="shared" si="88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F1422" t="str">
        <f t="shared" si="89"/>
        <v>_</v>
      </c>
      <c r="K1422" t="str">
        <f t="shared" ca="1" si="90"/>
        <v>_XX_</v>
      </c>
      <c r="L1422" t="str">
        <f t="shared" ca="1" si="91"/>
        <v/>
      </c>
      <c r="M1422" t="str">
        <f>IFERROR(INDEX(Inventory!A:A,MATCH(Scan!A1422,Inventory!E:E,0)),"")</f>
        <v/>
      </c>
    </row>
    <row r="1423" spans="2:13" x14ac:dyDescent="0.3">
      <c r="B1423" t="str">
        <f>IF(IFERROR(VLOOKUP(TRIM(A1423),Inventory!E:E,1,0),0)=0,"X","_")</f>
        <v>_</v>
      </c>
      <c r="C1423" t="str">
        <f>IF(IFERROR(VLOOKUP(TRIM(A1423),'Full Inventory'!F:F,1,0),0)=0,"X","_")</f>
        <v>X</v>
      </c>
      <c r="D1423" t="str">
        <f t="shared" si="88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F1423" t="str">
        <f t="shared" si="89"/>
        <v>_</v>
      </c>
      <c r="K1423" t="str">
        <f t="shared" ca="1" si="90"/>
        <v>_XX_</v>
      </c>
      <c r="L1423" t="str">
        <f t="shared" ca="1" si="91"/>
        <v/>
      </c>
      <c r="M1423" t="str">
        <f>IFERROR(INDEX(Inventory!A:A,MATCH(Scan!A1423,Inventory!E:E,0)),"")</f>
        <v/>
      </c>
    </row>
    <row r="1424" spans="2:13" x14ac:dyDescent="0.3">
      <c r="B1424" t="str">
        <f>IF(IFERROR(VLOOKUP(TRIM(A1424),Inventory!E:E,1,0),0)=0,"X","_")</f>
        <v>_</v>
      </c>
      <c r="C1424" t="str">
        <f>IF(IFERROR(VLOOKUP(TRIM(A1424),'Full Inventory'!F:F,1,0),0)=0,"X","_")</f>
        <v>X</v>
      </c>
      <c r="D1424" t="str">
        <f t="shared" si="88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F1424" t="str">
        <f t="shared" si="89"/>
        <v>_</v>
      </c>
      <c r="K1424" t="str">
        <f t="shared" ca="1" si="90"/>
        <v>_XX_</v>
      </c>
      <c r="L1424" t="str">
        <f t="shared" ca="1" si="91"/>
        <v/>
      </c>
      <c r="M1424" t="str">
        <f>IFERROR(INDEX(Inventory!A:A,MATCH(Scan!A1424,Inventory!E:E,0)),"")</f>
        <v/>
      </c>
    </row>
    <row r="1425" spans="2:13" x14ac:dyDescent="0.3">
      <c r="B1425" t="str">
        <f>IF(IFERROR(VLOOKUP(TRIM(A1425),Inventory!E:E,1,0),0)=0,"X","_")</f>
        <v>_</v>
      </c>
      <c r="C1425" t="str">
        <f>IF(IFERROR(VLOOKUP(TRIM(A1425),'Full Inventory'!F:F,1,0),0)=0,"X","_")</f>
        <v>X</v>
      </c>
      <c r="D1425" t="str">
        <f t="shared" si="88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F1425" t="str">
        <f t="shared" si="89"/>
        <v>_</v>
      </c>
      <c r="K1425" t="str">
        <f t="shared" ca="1" si="90"/>
        <v>_XX_</v>
      </c>
      <c r="L1425" t="str">
        <f t="shared" ca="1" si="91"/>
        <v/>
      </c>
      <c r="M1425" t="str">
        <f>IFERROR(INDEX(Inventory!A:A,MATCH(Scan!A1425,Inventory!E:E,0)),"")</f>
        <v/>
      </c>
    </row>
    <row r="1426" spans="2:13" x14ac:dyDescent="0.3">
      <c r="B1426" t="str">
        <f>IF(IFERROR(VLOOKUP(TRIM(A1426),Inventory!E:E,1,0),0)=0,"X","_")</f>
        <v>_</v>
      </c>
      <c r="C1426" t="str">
        <f>IF(IFERROR(VLOOKUP(TRIM(A1426),'Full Inventory'!F:F,1,0),0)=0,"X","_")</f>
        <v>X</v>
      </c>
      <c r="D1426" t="str">
        <f t="shared" si="88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F1426" t="str">
        <f t="shared" si="89"/>
        <v>_</v>
      </c>
      <c r="K1426" t="str">
        <f t="shared" ca="1" si="90"/>
        <v>_XX_</v>
      </c>
      <c r="L1426" t="str">
        <f t="shared" ca="1" si="91"/>
        <v/>
      </c>
      <c r="M1426" t="str">
        <f>IFERROR(INDEX(Inventory!A:A,MATCH(Scan!A1426,Inventory!E:E,0)),"")</f>
        <v/>
      </c>
    </row>
    <row r="1427" spans="2:13" x14ac:dyDescent="0.3">
      <c r="B1427" t="str">
        <f>IF(IFERROR(VLOOKUP(TRIM(A1427),Inventory!E:E,1,0),0)=0,"X","_")</f>
        <v>_</v>
      </c>
      <c r="C1427" t="str">
        <f>IF(IFERROR(VLOOKUP(TRIM(A1427),'Full Inventory'!F:F,1,0),0)=0,"X","_")</f>
        <v>X</v>
      </c>
      <c r="D1427" t="str">
        <f t="shared" si="88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F1427" t="str">
        <f t="shared" si="89"/>
        <v>_</v>
      </c>
      <c r="K1427" t="str">
        <f t="shared" ca="1" si="90"/>
        <v>_XX_</v>
      </c>
      <c r="L1427" t="str">
        <f t="shared" ca="1" si="91"/>
        <v/>
      </c>
      <c r="M1427" t="str">
        <f>IFERROR(INDEX(Inventory!A:A,MATCH(Scan!A1427,Inventory!E:E,0)),"")</f>
        <v/>
      </c>
    </row>
    <row r="1428" spans="2:13" x14ac:dyDescent="0.3">
      <c r="B1428" t="str">
        <f>IF(IFERROR(VLOOKUP(TRIM(A1428),Inventory!E:E,1,0),0)=0,"X","_")</f>
        <v>_</v>
      </c>
      <c r="C1428" t="str">
        <f>IF(IFERROR(VLOOKUP(TRIM(A1428),'Full Inventory'!F:F,1,0),0)=0,"X","_")</f>
        <v>X</v>
      </c>
      <c r="D1428" t="str">
        <f t="shared" si="88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F1428" t="str">
        <f t="shared" si="89"/>
        <v>_</v>
      </c>
      <c r="K1428" t="str">
        <f t="shared" ca="1" si="90"/>
        <v>_XX_</v>
      </c>
      <c r="L1428" t="str">
        <f t="shared" ca="1" si="91"/>
        <v/>
      </c>
      <c r="M1428" t="str">
        <f>IFERROR(INDEX(Inventory!A:A,MATCH(Scan!A1428,Inventory!E:E,0)),"")</f>
        <v/>
      </c>
    </row>
    <row r="1429" spans="2:13" x14ac:dyDescent="0.3">
      <c r="B1429" t="str">
        <f>IF(IFERROR(VLOOKUP(TRIM(A1429),Inventory!E:E,1,0),0)=0,"X","_")</f>
        <v>_</v>
      </c>
      <c r="C1429" t="str">
        <f>IF(IFERROR(VLOOKUP(TRIM(A1429),'Full Inventory'!F:F,1,0),0)=0,"X","_")</f>
        <v>X</v>
      </c>
      <c r="D1429" t="str">
        <f t="shared" si="88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F1429" t="str">
        <f t="shared" si="89"/>
        <v>_</v>
      </c>
      <c r="K1429" t="str">
        <f t="shared" ca="1" si="90"/>
        <v>_XX_</v>
      </c>
      <c r="L1429" t="str">
        <f t="shared" ca="1" si="91"/>
        <v/>
      </c>
      <c r="M1429" t="str">
        <f>IFERROR(INDEX(Inventory!A:A,MATCH(Scan!A1429,Inventory!E:E,0)),"")</f>
        <v/>
      </c>
    </row>
    <row r="1430" spans="2:13" x14ac:dyDescent="0.3">
      <c r="B1430" t="str">
        <f>IF(IFERROR(VLOOKUP(TRIM(A1430),Inventory!E:E,1,0),0)=0,"X","_")</f>
        <v>_</v>
      </c>
      <c r="C1430" t="str">
        <f>IF(IFERROR(VLOOKUP(TRIM(A1430),'Full Inventory'!F:F,1,0),0)=0,"X","_")</f>
        <v>X</v>
      </c>
      <c r="D1430" t="str">
        <f t="shared" si="88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F1430" t="str">
        <f t="shared" si="89"/>
        <v>_</v>
      </c>
      <c r="K1430" t="str">
        <f t="shared" ca="1" si="90"/>
        <v>_XX_</v>
      </c>
      <c r="L1430" t="str">
        <f t="shared" ca="1" si="91"/>
        <v/>
      </c>
      <c r="M1430" t="str">
        <f>IFERROR(INDEX(Inventory!A:A,MATCH(Scan!A1430,Inventory!E:E,0)),"")</f>
        <v/>
      </c>
    </row>
    <row r="1431" spans="2:13" x14ac:dyDescent="0.3">
      <c r="B1431" t="str">
        <f>IF(IFERROR(VLOOKUP(TRIM(A1431),Inventory!E:E,1,0),0)=0,"X","_")</f>
        <v>_</v>
      </c>
      <c r="C1431" t="str">
        <f>IF(IFERROR(VLOOKUP(TRIM(A1431),'Full Inventory'!F:F,1,0),0)=0,"X","_")</f>
        <v>X</v>
      </c>
      <c r="D1431" t="str">
        <f t="shared" si="88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F1431" t="str">
        <f t="shared" si="89"/>
        <v>_</v>
      </c>
      <c r="K1431" t="str">
        <f t="shared" ca="1" si="90"/>
        <v>_XX_</v>
      </c>
      <c r="L1431" t="str">
        <f t="shared" ca="1" si="91"/>
        <v/>
      </c>
      <c r="M1431" t="str">
        <f>IFERROR(INDEX(Inventory!A:A,MATCH(Scan!A1431,Inventory!E:E,0)),"")</f>
        <v/>
      </c>
    </row>
    <row r="1432" spans="2:13" x14ac:dyDescent="0.3">
      <c r="B1432" t="str">
        <f>IF(IFERROR(VLOOKUP(TRIM(A1432),Inventory!E:E,1,0),0)=0,"X","_")</f>
        <v>_</v>
      </c>
      <c r="C1432" t="str">
        <f>IF(IFERROR(VLOOKUP(TRIM(A1432),'Full Inventory'!F:F,1,0),0)=0,"X","_")</f>
        <v>X</v>
      </c>
      <c r="D1432" t="str">
        <f t="shared" si="88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F1432" t="str">
        <f t="shared" si="89"/>
        <v>_</v>
      </c>
      <c r="K1432" t="str">
        <f t="shared" ca="1" si="90"/>
        <v>_XX_</v>
      </c>
      <c r="L1432" t="str">
        <f t="shared" ca="1" si="91"/>
        <v/>
      </c>
      <c r="M1432" t="str">
        <f>IFERROR(INDEX(Inventory!A:A,MATCH(Scan!A1432,Inventory!E:E,0)),"")</f>
        <v/>
      </c>
    </row>
    <row r="1433" spans="2:13" x14ac:dyDescent="0.3">
      <c r="B1433" t="str">
        <f>IF(IFERROR(VLOOKUP(TRIM(A1433),Inventory!E:E,1,0),0)=0,"X","_")</f>
        <v>_</v>
      </c>
      <c r="C1433" t="str">
        <f>IF(IFERROR(VLOOKUP(TRIM(A1433),'Full Inventory'!F:F,1,0),0)=0,"X","_")</f>
        <v>X</v>
      </c>
      <c r="D1433" t="str">
        <f t="shared" si="88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F1433" t="str">
        <f t="shared" si="89"/>
        <v>_</v>
      </c>
      <c r="K1433" t="str">
        <f t="shared" ca="1" si="90"/>
        <v>_XX_</v>
      </c>
      <c r="L1433" t="str">
        <f t="shared" ca="1" si="91"/>
        <v/>
      </c>
      <c r="M1433" t="str">
        <f>IFERROR(INDEX(Inventory!A:A,MATCH(Scan!A1433,Inventory!E:E,0)),"")</f>
        <v/>
      </c>
    </row>
    <row r="1434" spans="2:13" x14ac:dyDescent="0.3">
      <c r="B1434" t="str">
        <f>IF(IFERROR(VLOOKUP(TRIM(A1434),Inventory!E:E,1,0),0)=0,"X","_")</f>
        <v>_</v>
      </c>
      <c r="C1434" t="str">
        <f>IF(IFERROR(VLOOKUP(TRIM(A1434),'Full Inventory'!F:F,1,0),0)=0,"X","_")</f>
        <v>X</v>
      </c>
      <c r="D1434" t="str">
        <f t="shared" si="88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F1434" t="str">
        <f t="shared" si="89"/>
        <v>_</v>
      </c>
      <c r="K1434" t="str">
        <f t="shared" ca="1" si="90"/>
        <v>_XX_</v>
      </c>
      <c r="L1434" t="str">
        <f t="shared" ca="1" si="91"/>
        <v/>
      </c>
      <c r="M1434" t="str">
        <f>IFERROR(INDEX(Inventory!A:A,MATCH(Scan!A1434,Inventory!E:E,0)),"")</f>
        <v/>
      </c>
    </row>
    <row r="1435" spans="2:13" x14ac:dyDescent="0.3">
      <c r="B1435" t="str">
        <f>IF(IFERROR(VLOOKUP(TRIM(A1435),Inventory!E:E,1,0),0)=0,"X","_")</f>
        <v>_</v>
      </c>
      <c r="C1435" t="str">
        <f>IF(IFERROR(VLOOKUP(TRIM(A1435),'Full Inventory'!F:F,1,0),0)=0,"X","_")</f>
        <v>X</v>
      </c>
      <c r="D1435" t="str">
        <f t="shared" si="88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F1435" t="str">
        <f t="shared" si="89"/>
        <v>_</v>
      </c>
      <c r="K1435" t="str">
        <f t="shared" ca="1" si="90"/>
        <v>_XX_</v>
      </c>
      <c r="L1435" t="str">
        <f t="shared" ca="1" si="91"/>
        <v/>
      </c>
      <c r="M1435" t="str">
        <f>IFERROR(INDEX(Inventory!A:A,MATCH(Scan!A1435,Inventory!E:E,0)),"")</f>
        <v/>
      </c>
    </row>
    <row r="1436" spans="2:13" x14ac:dyDescent="0.3">
      <c r="B1436" t="str">
        <f>IF(IFERROR(VLOOKUP(TRIM(A1436),Inventory!E:E,1,0),0)=0,"X","_")</f>
        <v>_</v>
      </c>
      <c r="C1436" t="str">
        <f>IF(IFERROR(VLOOKUP(TRIM(A1436),'Full Inventory'!F:F,1,0),0)=0,"X","_")</f>
        <v>X</v>
      </c>
      <c r="D1436" t="str">
        <f t="shared" si="88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F1436" t="str">
        <f t="shared" si="89"/>
        <v>_</v>
      </c>
      <c r="K1436" t="str">
        <f t="shared" ca="1" si="90"/>
        <v>_XX_</v>
      </c>
      <c r="L1436" t="str">
        <f t="shared" ca="1" si="91"/>
        <v/>
      </c>
      <c r="M1436" t="str">
        <f>IFERROR(INDEX(Inventory!A:A,MATCH(Scan!A1436,Inventory!E:E,0)),"")</f>
        <v/>
      </c>
    </row>
    <row r="1437" spans="2:13" x14ac:dyDescent="0.3">
      <c r="B1437" t="str">
        <f>IF(IFERROR(VLOOKUP(TRIM(A1437),Inventory!E:E,1,0),0)=0,"X","_")</f>
        <v>_</v>
      </c>
      <c r="C1437" t="str">
        <f>IF(IFERROR(VLOOKUP(TRIM(A1437),'Full Inventory'!F:F,1,0),0)=0,"X","_")</f>
        <v>X</v>
      </c>
      <c r="D1437" t="str">
        <f t="shared" si="88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F1437" t="str">
        <f t="shared" si="89"/>
        <v>_</v>
      </c>
      <c r="K1437" t="str">
        <f t="shared" ca="1" si="90"/>
        <v>_XX_</v>
      </c>
      <c r="L1437" t="str">
        <f t="shared" ca="1" si="91"/>
        <v/>
      </c>
      <c r="M1437" t="str">
        <f>IFERROR(INDEX(Inventory!A:A,MATCH(Scan!A1437,Inventory!E:E,0)),"")</f>
        <v/>
      </c>
    </row>
    <row r="1438" spans="2:13" x14ac:dyDescent="0.3">
      <c r="B1438" t="str">
        <f>IF(IFERROR(VLOOKUP(TRIM(A1438),Inventory!E:E,1,0),0)=0,"X","_")</f>
        <v>_</v>
      </c>
      <c r="C1438" t="str">
        <f>IF(IFERROR(VLOOKUP(TRIM(A1438),'Full Inventory'!F:F,1,0),0)=0,"X","_")</f>
        <v>X</v>
      </c>
      <c r="D1438" t="str">
        <f t="shared" si="88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F1438" t="str">
        <f t="shared" si="89"/>
        <v>_</v>
      </c>
      <c r="K1438" t="str">
        <f t="shared" ca="1" si="90"/>
        <v>_XX_</v>
      </c>
      <c r="L1438" t="str">
        <f t="shared" ca="1" si="91"/>
        <v/>
      </c>
      <c r="M1438" t="str">
        <f>IFERROR(INDEX(Inventory!A:A,MATCH(Scan!A1438,Inventory!E:E,0)),"")</f>
        <v/>
      </c>
    </row>
    <row r="1439" spans="2:13" x14ac:dyDescent="0.3">
      <c r="B1439" t="str">
        <f>IF(IFERROR(VLOOKUP(TRIM(A1439),Inventory!E:E,1,0),0)=0,"X","_")</f>
        <v>_</v>
      </c>
      <c r="C1439" t="str">
        <f>IF(IFERROR(VLOOKUP(TRIM(A1439),'Full Inventory'!F:F,1,0),0)=0,"X","_")</f>
        <v>X</v>
      </c>
      <c r="D1439" t="str">
        <f t="shared" si="88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F1439" t="str">
        <f t="shared" si="89"/>
        <v>_</v>
      </c>
      <c r="K1439" t="str">
        <f t="shared" ca="1" si="90"/>
        <v>_XX_</v>
      </c>
      <c r="L1439" t="str">
        <f t="shared" ca="1" si="91"/>
        <v/>
      </c>
      <c r="M1439" t="str">
        <f>IFERROR(INDEX(Inventory!A:A,MATCH(Scan!A1439,Inventory!E:E,0)),"")</f>
        <v/>
      </c>
    </row>
    <row r="1440" spans="2:13" x14ac:dyDescent="0.3">
      <c r="B1440" t="str">
        <f>IF(IFERROR(VLOOKUP(TRIM(A1440),Inventory!E:E,1,0),0)=0,"X","_")</f>
        <v>_</v>
      </c>
      <c r="C1440" t="str">
        <f>IF(IFERROR(VLOOKUP(TRIM(A1440),'Full Inventory'!F:F,1,0),0)=0,"X","_")</f>
        <v>X</v>
      </c>
      <c r="D1440" t="str">
        <f t="shared" si="88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F1440" t="str">
        <f t="shared" si="89"/>
        <v>_</v>
      </c>
      <c r="K1440" t="str">
        <f t="shared" ca="1" si="90"/>
        <v>_XX_</v>
      </c>
      <c r="L1440" t="str">
        <f t="shared" ca="1" si="91"/>
        <v/>
      </c>
      <c r="M1440" t="str">
        <f>IFERROR(INDEX(Inventory!A:A,MATCH(Scan!A1440,Inventory!E:E,0)),"")</f>
        <v/>
      </c>
    </row>
    <row r="1441" spans="2:13" x14ac:dyDescent="0.3">
      <c r="B1441" t="str">
        <f>IF(IFERROR(VLOOKUP(TRIM(A1441),Inventory!E:E,1,0),0)=0,"X","_")</f>
        <v>_</v>
      </c>
      <c r="C1441" t="str">
        <f>IF(IFERROR(VLOOKUP(TRIM(A1441),'Full Inventory'!F:F,1,0),0)=0,"X","_")</f>
        <v>X</v>
      </c>
      <c r="D1441" t="str">
        <f t="shared" si="88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F1441" t="str">
        <f t="shared" si="89"/>
        <v>_</v>
      </c>
      <c r="K1441" t="str">
        <f t="shared" ca="1" si="90"/>
        <v>_XX_</v>
      </c>
      <c r="L1441" t="str">
        <f t="shared" ca="1" si="91"/>
        <v/>
      </c>
      <c r="M1441" t="str">
        <f>IFERROR(INDEX(Inventory!A:A,MATCH(Scan!A1441,Inventory!E:E,0)),"")</f>
        <v/>
      </c>
    </row>
    <row r="1442" spans="2:13" x14ac:dyDescent="0.3">
      <c r="B1442" t="str">
        <f>IF(IFERROR(VLOOKUP(TRIM(A1442),Inventory!E:E,1,0),0)=0,"X","_")</f>
        <v>_</v>
      </c>
      <c r="C1442" t="str">
        <f>IF(IFERROR(VLOOKUP(TRIM(A1442),'Full Inventory'!F:F,1,0),0)=0,"X","_")</f>
        <v>X</v>
      </c>
      <c r="D1442" t="str">
        <f t="shared" si="88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F1442" t="str">
        <f t="shared" si="89"/>
        <v>_</v>
      </c>
      <c r="K1442" t="str">
        <f t="shared" ca="1" si="90"/>
        <v>_XX_</v>
      </c>
      <c r="L1442" t="str">
        <f t="shared" ca="1" si="91"/>
        <v/>
      </c>
      <c r="M1442" t="str">
        <f>IFERROR(INDEX(Inventory!A:A,MATCH(Scan!A1442,Inventory!E:E,0)),"")</f>
        <v/>
      </c>
    </row>
    <row r="1443" spans="2:13" x14ac:dyDescent="0.3">
      <c r="B1443" t="str">
        <f>IF(IFERROR(VLOOKUP(TRIM(A1443),Inventory!E:E,1,0),0)=0,"X","_")</f>
        <v>_</v>
      </c>
      <c r="C1443" t="str">
        <f>IF(IFERROR(VLOOKUP(TRIM(A1443),'Full Inventory'!F:F,1,0),0)=0,"X","_")</f>
        <v>X</v>
      </c>
      <c r="D1443" t="str">
        <f t="shared" si="88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F1443" t="str">
        <f t="shared" si="89"/>
        <v>_</v>
      </c>
      <c r="K1443" t="str">
        <f t="shared" ca="1" si="90"/>
        <v>_XX_</v>
      </c>
      <c r="L1443" t="str">
        <f t="shared" ca="1" si="91"/>
        <v/>
      </c>
      <c r="M1443" t="str">
        <f>IFERROR(INDEX(Inventory!A:A,MATCH(Scan!A1443,Inventory!E:E,0)),"")</f>
        <v/>
      </c>
    </row>
    <row r="1444" spans="2:13" x14ac:dyDescent="0.3">
      <c r="B1444" t="str">
        <f>IF(IFERROR(VLOOKUP(TRIM(A1444),Inventory!E:E,1,0),0)=0,"X","_")</f>
        <v>_</v>
      </c>
      <c r="C1444" t="str">
        <f>IF(IFERROR(VLOOKUP(TRIM(A1444),'Full Inventory'!F:F,1,0),0)=0,"X","_")</f>
        <v>X</v>
      </c>
      <c r="D1444" t="str">
        <f t="shared" si="88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F1444" t="str">
        <f t="shared" si="89"/>
        <v>_</v>
      </c>
      <c r="K1444" t="str">
        <f t="shared" ca="1" si="90"/>
        <v>_XX_</v>
      </c>
      <c r="L1444" t="str">
        <f t="shared" ca="1" si="91"/>
        <v/>
      </c>
      <c r="M1444" t="str">
        <f>IFERROR(INDEX(Inventory!A:A,MATCH(Scan!A1444,Inventory!E:E,0)),"")</f>
        <v/>
      </c>
    </row>
    <row r="1445" spans="2:13" x14ac:dyDescent="0.3">
      <c r="B1445" t="str">
        <f>IF(IFERROR(VLOOKUP(TRIM(A1445),Inventory!E:E,1,0),0)=0,"X","_")</f>
        <v>_</v>
      </c>
      <c r="C1445" t="str">
        <f>IF(IFERROR(VLOOKUP(TRIM(A1445),'Full Inventory'!F:F,1,0),0)=0,"X","_")</f>
        <v>X</v>
      </c>
      <c r="D1445" t="str">
        <f t="shared" si="88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F1445" t="str">
        <f t="shared" si="89"/>
        <v>_</v>
      </c>
      <c r="K1445" t="str">
        <f t="shared" ca="1" si="90"/>
        <v>_XX_</v>
      </c>
      <c r="L1445" t="str">
        <f t="shared" ca="1" si="91"/>
        <v/>
      </c>
      <c r="M1445" t="str">
        <f>IFERROR(INDEX(Inventory!A:A,MATCH(Scan!A1445,Inventory!E:E,0)),"")</f>
        <v/>
      </c>
    </row>
    <row r="1446" spans="2:13" x14ac:dyDescent="0.3">
      <c r="B1446" t="str">
        <f>IF(IFERROR(VLOOKUP(TRIM(A1446),Inventory!E:E,1,0),0)=0,"X","_")</f>
        <v>_</v>
      </c>
      <c r="C1446" t="str">
        <f>IF(IFERROR(VLOOKUP(TRIM(A1446),'Full Inventory'!F:F,1,0),0)=0,"X","_")</f>
        <v>X</v>
      </c>
      <c r="D1446" t="str">
        <f t="shared" si="88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F1446" t="str">
        <f t="shared" si="89"/>
        <v>_</v>
      </c>
      <c r="K1446" t="str">
        <f t="shared" ca="1" si="90"/>
        <v>_XX_</v>
      </c>
      <c r="L1446" t="str">
        <f t="shared" ca="1" si="91"/>
        <v/>
      </c>
      <c r="M1446" t="str">
        <f>IFERROR(INDEX(Inventory!A:A,MATCH(Scan!A1446,Inventory!E:E,0)),"")</f>
        <v/>
      </c>
    </row>
    <row r="1447" spans="2:13" x14ac:dyDescent="0.3">
      <c r="B1447" t="str">
        <f>IF(IFERROR(VLOOKUP(TRIM(A1447),Inventory!E:E,1,0),0)=0,"X","_")</f>
        <v>_</v>
      </c>
      <c r="C1447" t="str">
        <f>IF(IFERROR(VLOOKUP(TRIM(A1447),'Full Inventory'!F:F,1,0),0)=0,"X","_")</f>
        <v>X</v>
      </c>
      <c r="D1447" t="str">
        <f t="shared" si="88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F1447" t="str">
        <f t="shared" si="89"/>
        <v>_</v>
      </c>
      <c r="K1447" t="str">
        <f t="shared" ca="1" si="90"/>
        <v>_XX_</v>
      </c>
      <c r="L1447" t="str">
        <f t="shared" ca="1" si="91"/>
        <v/>
      </c>
      <c r="M1447" t="str">
        <f>IFERROR(INDEX(Inventory!A:A,MATCH(Scan!A1447,Inventory!E:E,0)),"")</f>
        <v/>
      </c>
    </row>
    <row r="1448" spans="2:13" x14ac:dyDescent="0.3">
      <c r="B1448" t="str">
        <f>IF(IFERROR(VLOOKUP(TRIM(A1448),Inventory!E:E,1,0),0)=0,"X","_")</f>
        <v>_</v>
      </c>
      <c r="C1448" t="str">
        <f>IF(IFERROR(VLOOKUP(TRIM(A1448),'Full Inventory'!F:F,1,0),0)=0,"X","_")</f>
        <v>X</v>
      </c>
      <c r="D1448" t="str">
        <f t="shared" si="88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F1448" t="str">
        <f t="shared" si="89"/>
        <v>_</v>
      </c>
      <c r="K1448" t="str">
        <f t="shared" ca="1" si="90"/>
        <v>_XX_</v>
      </c>
      <c r="L1448" t="str">
        <f t="shared" ca="1" si="91"/>
        <v/>
      </c>
      <c r="M1448" t="str">
        <f>IFERROR(INDEX(Inventory!A:A,MATCH(Scan!A1448,Inventory!E:E,0)),"")</f>
        <v/>
      </c>
    </row>
    <row r="1449" spans="2:13" x14ac:dyDescent="0.3">
      <c r="B1449" t="str">
        <f>IF(IFERROR(VLOOKUP(TRIM(A1449),Inventory!E:E,1,0),0)=0,"X","_")</f>
        <v>_</v>
      </c>
      <c r="C1449" t="str">
        <f>IF(IFERROR(VLOOKUP(TRIM(A1449),'Full Inventory'!F:F,1,0),0)=0,"X","_")</f>
        <v>X</v>
      </c>
      <c r="D1449" t="str">
        <f t="shared" si="88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F1449" t="str">
        <f t="shared" si="89"/>
        <v>_</v>
      </c>
      <c r="K1449" t="str">
        <f t="shared" ca="1" si="90"/>
        <v>_XX_</v>
      </c>
      <c r="L1449" t="str">
        <f t="shared" ca="1" si="91"/>
        <v/>
      </c>
      <c r="M1449" t="str">
        <f>IFERROR(INDEX(Inventory!A:A,MATCH(Scan!A1449,Inventory!E:E,0)),"")</f>
        <v/>
      </c>
    </row>
    <row r="1450" spans="2:13" x14ac:dyDescent="0.3">
      <c r="B1450" t="str">
        <f>IF(IFERROR(VLOOKUP(TRIM(A1450),Inventory!E:E,1,0),0)=0,"X","_")</f>
        <v>_</v>
      </c>
      <c r="C1450" t="str">
        <f>IF(IFERROR(VLOOKUP(TRIM(A1450),'Full Inventory'!F:F,1,0),0)=0,"X","_")</f>
        <v>X</v>
      </c>
      <c r="D1450" t="str">
        <f t="shared" si="88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F1450" t="str">
        <f t="shared" si="89"/>
        <v>_</v>
      </c>
      <c r="K1450" t="str">
        <f t="shared" ca="1" si="90"/>
        <v>_XX_</v>
      </c>
      <c r="L1450" t="str">
        <f t="shared" ca="1" si="91"/>
        <v/>
      </c>
      <c r="M1450" t="str">
        <f>IFERROR(INDEX(Inventory!A:A,MATCH(Scan!A1450,Inventory!E:E,0)),"")</f>
        <v/>
      </c>
    </row>
    <row r="1451" spans="2:13" x14ac:dyDescent="0.3">
      <c r="B1451" t="str">
        <f>IF(IFERROR(VLOOKUP(TRIM(A1451),Inventory!E:E,1,0),0)=0,"X","_")</f>
        <v>_</v>
      </c>
      <c r="C1451" t="str">
        <f>IF(IFERROR(VLOOKUP(TRIM(A1451),'Full Inventory'!F:F,1,0),0)=0,"X","_")</f>
        <v>X</v>
      </c>
      <c r="D1451" t="str">
        <f t="shared" si="88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F1451" t="str">
        <f t="shared" si="89"/>
        <v>_</v>
      </c>
      <c r="K1451" t="str">
        <f t="shared" ca="1" si="90"/>
        <v>_XX_</v>
      </c>
      <c r="L1451" t="str">
        <f t="shared" ca="1" si="91"/>
        <v/>
      </c>
      <c r="M1451" t="str">
        <f>IFERROR(INDEX(Inventory!A:A,MATCH(Scan!A1451,Inventory!E:E,0)),"")</f>
        <v/>
      </c>
    </row>
    <row r="1452" spans="2:13" x14ac:dyDescent="0.3">
      <c r="B1452" t="str">
        <f>IF(IFERROR(VLOOKUP(TRIM(A1452),Inventory!E:E,1,0),0)=0,"X","_")</f>
        <v>_</v>
      </c>
      <c r="C1452" t="str">
        <f>IF(IFERROR(VLOOKUP(TRIM(A1452),'Full Inventory'!F:F,1,0),0)=0,"X","_")</f>
        <v>X</v>
      </c>
      <c r="D1452" t="str">
        <f t="shared" si="88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F1452" t="str">
        <f t="shared" si="89"/>
        <v>_</v>
      </c>
      <c r="K1452" t="str">
        <f t="shared" ca="1" si="90"/>
        <v>_XX_</v>
      </c>
      <c r="L1452" t="str">
        <f t="shared" ca="1" si="91"/>
        <v/>
      </c>
      <c r="M1452" t="str">
        <f>IFERROR(INDEX(Inventory!A:A,MATCH(Scan!A1452,Inventory!E:E,0)),"")</f>
        <v/>
      </c>
    </row>
    <row r="1453" spans="2:13" x14ac:dyDescent="0.3">
      <c r="B1453" t="str">
        <f>IF(IFERROR(VLOOKUP(TRIM(A1453),Inventory!E:E,1,0),0)=0,"X","_")</f>
        <v>_</v>
      </c>
      <c r="C1453" t="str">
        <f>IF(IFERROR(VLOOKUP(TRIM(A1453),'Full Inventory'!F:F,1,0),0)=0,"X","_")</f>
        <v>X</v>
      </c>
      <c r="D1453" t="str">
        <f t="shared" si="88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F1453" t="str">
        <f t="shared" si="89"/>
        <v>_</v>
      </c>
      <c r="K1453" t="str">
        <f t="shared" ca="1" si="90"/>
        <v>_XX_</v>
      </c>
      <c r="L1453" t="str">
        <f t="shared" ca="1" si="91"/>
        <v/>
      </c>
      <c r="M1453" t="str">
        <f>IFERROR(INDEX(Inventory!A:A,MATCH(Scan!A1453,Inventory!E:E,0)),"")</f>
        <v/>
      </c>
    </row>
    <row r="1454" spans="2:13" x14ac:dyDescent="0.3">
      <c r="B1454" t="str">
        <f>IF(IFERROR(VLOOKUP(TRIM(A1454),Inventory!E:E,1,0),0)=0,"X","_")</f>
        <v>_</v>
      </c>
      <c r="C1454" t="str">
        <f>IF(IFERROR(VLOOKUP(TRIM(A1454),'Full Inventory'!F:F,1,0),0)=0,"X","_")</f>
        <v>X</v>
      </c>
      <c r="D1454" t="str">
        <f t="shared" si="88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F1454" t="str">
        <f t="shared" si="89"/>
        <v>_</v>
      </c>
      <c r="K1454" t="str">
        <f t="shared" ca="1" si="90"/>
        <v>_XX_</v>
      </c>
      <c r="L1454" t="str">
        <f t="shared" ca="1" si="91"/>
        <v/>
      </c>
      <c r="M1454" t="str">
        <f>IFERROR(INDEX(Inventory!A:A,MATCH(Scan!A1454,Inventory!E:E,0)),"")</f>
        <v/>
      </c>
    </row>
    <row r="1455" spans="2:13" x14ac:dyDescent="0.3">
      <c r="B1455" t="str">
        <f>IF(IFERROR(VLOOKUP(TRIM(A1455),Inventory!E:E,1,0),0)=0,"X","_")</f>
        <v>_</v>
      </c>
      <c r="C1455" t="str">
        <f>IF(IFERROR(VLOOKUP(TRIM(A1455),'Full Inventory'!F:F,1,0),0)=0,"X","_")</f>
        <v>X</v>
      </c>
      <c r="D1455" t="str">
        <f t="shared" si="88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F1455" t="str">
        <f t="shared" si="89"/>
        <v>_</v>
      </c>
      <c r="K1455" t="str">
        <f t="shared" ca="1" si="90"/>
        <v>_XX_</v>
      </c>
      <c r="L1455" t="str">
        <f t="shared" ca="1" si="91"/>
        <v/>
      </c>
      <c r="M1455" t="str">
        <f>IFERROR(INDEX(Inventory!A:A,MATCH(Scan!A1455,Inventory!E:E,0)),"")</f>
        <v/>
      </c>
    </row>
    <row r="1456" spans="2:13" x14ac:dyDescent="0.3">
      <c r="B1456" t="str">
        <f>IF(IFERROR(VLOOKUP(TRIM(A1456),Inventory!E:E,1,0),0)=0,"X","_")</f>
        <v>_</v>
      </c>
      <c r="C1456" t="str">
        <f>IF(IFERROR(VLOOKUP(TRIM(A1456),'Full Inventory'!F:F,1,0),0)=0,"X","_")</f>
        <v>X</v>
      </c>
      <c r="D1456" t="str">
        <f t="shared" si="88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F1456" t="str">
        <f t="shared" si="89"/>
        <v>_</v>
      </c>
      <c r="K1456" t="str">
        <f t="shared" ca="1" si="90"/>
        <v>_XX_</v>
      </c>
      <c r="L1456" t="str">
        <f t="shared" ca="1" si="91"/>
        <v/>
      </c>
      <c r="M1456" t="str">
        <f>IFERROR(INDEX(Inventory!A:A,MATCH(Scan!A1456,Inventory!E:E,0)),"")</f>
        <v/>
      </c>
    </row>
    <row r="1457" spans="2:13" x14ac:dyDescent="0.3">
      <c r="B1457" t="str">
        <f>IF(IFERROR(VLOOKUP(TRIM(A1457),Inventory!E:E,1,0),0)=0,"X","_")</f>
        <v>_</v>
      </c>
      <c r="C1457" t="str">
        <f>IF(IFERROR(VLOOKUP(TRIM(A1457),'Full Inventory'!F:F,1,0),0)=0,"X","_")</f>
        <v>X</v>
      </c>
      <c r="D1457" t="str">
        <f t="shared" si="88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F1457" t="str">
        <f t="shared" si="89"/>
        <v>_</v>
      </c>
      <c r="K1457" t="str">
        <f t="shared" ca="1" si="90"/>
        <v>_XX_</v>
      </c>
      <c r="L1457" t="str">
        <f t="shared" ca="1" si="91"/>
        <v/>
      </c>
      <c r="M1457" t="str">
        <f>IFERROR(INDEX(Inventory!A:A,MATCH(Scan!A1457,Inventory!E:E,0)),"")</f>
        <v/>
      </c>
    </row>
    <row r="1458" spans="2:13" x14ac:dyDescent="0.3">
      <c r="B1458" t="str">
        <f>IF(IFERROR(VLOOKUP(TRIM(A1458),Inventory!E:E,1,0),0)=0,"X","_")</f>
        <v>_</v>
      </c>
      <c r="C1458" t="str">
        <f>IF(IFERROR(VLOOKUP(TRIM(A1458),'Full Inventory'!F:F,1,0),0)=0,"X","_")</f>
        <v>X</v>
      </c>
      <c r="D1458" t="str">
        <f t="shared" si="88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F1458" t="str">
        <f t="shared" si="89"/>
        <v>_</v>
      </c>
      <c r="K1458" t="str">
        <f t="shared" ca="1" si="90"/>
        <v>_XX_</v>
      </c>
      <c r="L1458" t="str">
        <f t="shared" ca="1" si="91"/>
        <v/>
      </c>
      <c r="M1458" t="str">
        <f>IFERROR(INDEX(Inventory!A:A,MATCH(Scan!A1458,Inventory!E:E,0)),"")</f>
        <v/>
      </c>
    </row>
    <row r="1459" spans="2:13" x14ac:dyDescent="0.3">
      <c r="B1459" t="str">
        <f>IF(IFERROR(VLOOKUP(TRIM(A1459),Inventory!E:E,1,0),0)=0,"X","_")</f>
        <v>_</v>
      </c>
      <c r="C1459" t="str">
        <f>IF(IFERROR(VLOOKUP(TRIM(A1459),'Full Inventory'!F:F,1,0),0)=0,"X","_")</f>
        <v>X</v>
      </c>
      <c r="D1459" t="str">
        <f t="shared" si="88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F1459" t="str">
        <f t="shared" si="89"/>
        <v>_</v>
      </c>
      <c r="K1459" t="str">
        <f t="shared" ca="1" si="90"/>
        <v>_XX_</v>
      </c>
      <c r="L1459" t="str">
        <f t="shared" ca="1" si="91"/>
        <v/>
      </c>
      <c r="M1459" t="str">
        <f>IFERROR(INDEX(Inventory!A:A,MATCH(Scan!A1459,Inventory!E:E,0)),"")</f>
        <v/>
      </c>
    </row>
    <row r="1460" spans="2:13" x14ac:dyDescent="0.3">
      <c r="B1460" t="str">
        <f>IF(IFERROR(VLOOKUP(TRIM(A1460),Inventory!E:E,1,0),0)=0,"X","_")</f>
        <v>_</v>
      </c>
      <c r="C1460" t="str">
        <f>IF(IFERROR(VLOOKUP(TRIM(A1460),'Full Inventory'!F:F,1,0),0)=0,"X","_")</f>
        <v>X</v>
      </c>
      <c r="D1460" t="str">
        <f t="shared" si="88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F1460" t="str">
        <f t="shared" si="89"/>
        <v>_</v>
      </c>
      <c r="K1460" t="str">
        <f t="shared" ca="1" si="90"/>
        <v>_XX_</v>
      </c>
      <c r="L1460" t="str">
        <f t="shared" ca="1" si="91"/>
        <v/>
      </c>
      <c r="M1460" t="str">
        <f>IFERROR(INDEX(Inventory!A:A,MATCH(Scan!A1460,Inventory!E:E,0)),"")</f>
        <v/>
      </c>
    </row>
    <row r="1461" spans="2:13" x14ac:dyDescent="0.3">
      <c r="B1461" t="str">
        <f>IF(IFERROR(VLOOKUP(TRIM(A1461),Inventory!E:E,1,0),0)=0,"X","_")</f>
        <v>_</v>
      </c>
      <c r="C1461" t="str">
        <f>IF(IFERROR(VLOOKUP(TRIM(A1461),'Full Inventory'!F:F,1,0),0)=0,"X","_")</f>
        <v>X</v>
      </c>
      <c r="D1461" t="str">
        <f t="shared" si="88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F1461" t="str">
        <f t="shared" si="89"/>
        <v>_</v>
      </c>
      <c r="K1461" t="str">
        <f t="shared" ca="1" si="90"/>
        <v>_XX_</v>
      </c>
      <c r="L1461" t="str">
        <f t="shared" ca="1" si="91"/>
        <v/>
      </c>
      <c r="M1461" t="str">
        <f>IFERROR(INDEX(Inventory!A:A,MATCH(Scan!A1461,Inventory!E:E,0)),"")</f>
        <v/>
      </c>
    </row>
    <row r="1462" spans="2:13" x14ac:dyDescent="0.3">
      <c r="B1462" t="str">
        <f>IF(IFERROR(VLOOKUP(TRIM(A1462),Inventory!E:E,1,0),0)=0,"X","_")</f>
        <v>_</v>
      </c>
      <c r="C1462" t="str">
        <f>IF(IFERROR(VLOOKUP(TRIM(A1462),'Full Inventory'!F:F,1,0),0)=0,"X","_")</f>
        <v>X</v>
      </c>
      <c r="D1462" t="str">
        <f t="shared" si="88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F1462" t="str">
        <f t="shared" si="89"/>
        <v>_</v>
      </c>
      <c r="K1462" t="str">
        <f t="shared" ca="1" si="90"/>
        <v>_XX_</v>
      </c>
      <c r="L1462" t="str">
        <f t="shared" ca="1" si="91"/>
        <v/>
      </c>
      <c r="M1462" t="str">
        <f>IFERROR(INDEX(Inventory!A:A,MATCH(Scan!A1462,Inventory!E:E,0)),"")</f>
        <v/>
      </c>
    </row>
    <row r="1463" spans="2:13" x14ac:dyDescent="0.3">
      <c r="B1463" t="str">
        <f>IF(IFERROR(VLOOKUP(TRIM(A1463),Inventory!E:E,1,0),0)=0,"X","_")</f>
        <v>_</v>
      </c>
      <c r="C1463" t="str">
        <f>IF(IFERROR(VLOOKUP(TRIM(A1463),'Full Inventory'!F:F,1,0),0)=0,"X","_")</f>
        <v>X</v>
      </c>
      <c r="D1463" t="str">
        <f t="shared" si="88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F1463" t="str">
        <f t="shared" si="89"/>
        <v>_</v>
      </c>
      <c r="K1463" t="str">
        <f t="shared" ca="1" si="90"/>
        <v>_XX_</v>
      </c>
      <c r="L1463" t="str">
        <f t="shared" ca="1" si="91"/>
        <v/>
      </c>
      <c r="M1463" t="str">
        <f>IFERROR(INDEX(Inventory!A:A,MATCH(Scan!A1463,Inventory!E:E,0)),"")</f>
        <v/>
      </c>
    </row>
    <row r="1464" spans="2:13" x14ac:dyDescent="0.3">
      <c r="B1464" t="str">
        <f>IF(IFERROR(VLOOKUP(TRIM(A1464),Inventory!E:E,1,0),0)=0,"X","_")</f>
        <v>_</v>
      </c>
      <c r="C1464" t="str">
        <f>IF(IFERROR(VLOOKUP(TRIM(A1464),'Full Inventory'!F:F,1,0),0)=0,"X","_")</f>
        <v>X</v>
      </c>
      <c r="D1464" t="str">
        <f t="shared" si="88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F1464" t="str">
        <f t="shared" si="89"/>
        <v>_</v>
      </c>
      <c r="K1464" t="str">
        <f t="shared" ca="1" si="90"/>
        <v>_XX_</v>
      </c>
      <c r="L1464" t="str">
        <f t="shared" ca="1" si="91"/>
        <v/>
      </c>
      <c r="M1464" t="str">
        <f>IFERROR(INDEX(Inventory!A:A,MATCH(Scan!A1464,Inventory!E:E,0)),"")</f>
        <v/>
      </c>
    </row>
    <row r="1465" spans="2:13" x14ac:dyDescent="0.3">
      <c r="B1465" t="str">
        <f>IF(IFERROR(VLOOKUP(TRIM(A1465),Inventory!E:E,1,0),0)=0,"X","_")</f>
        <v>_</v>
      </c>
      <c r="C1465" t="str">
        <f>IF(IFERROR(VLOOKUP(TRIM(A1465),'Full Inventory'!F:F,1,0),0)=0,"X","_")</f>
        <v>X</v>
      </c>
      <c r="D1465" t="str">
        <f t="shared" si="88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F1465" t="str">
        <f t="shared" si="89"/>
        <v>_</v>
      </c>
      <c r="K1465" t="str">
        <f t="shared" ca="1" si="90"/>
        <v>_XX_</v>
      </c>
      <c r="L1465" t="str">
        <f t="shared" ca="1" si="91"/>
        <v/>
      </c>
      <c r="M1465" t="str">
        <f>IFERROR(INDEX(Inventory!A:A,MATCH(Scan!A1465,Inventory!E:E,0)),"")</f>
        <v/>
      </c>
    </row>
    <row r="1466" spans="2:13" x14ac:dyDescent="0.3">
      <c r="B1466" t="str">
        <f>IF(IFERROR(VLOOKUP(TRIM(A1466),Inventory!E:E,1,0),0)=0,"X","_")</f>
        <v>_</v>
      </c>
      <c r="C1466" t="str">
        <f>IF(IFERROR(VLOOKUP(TRIM(A1466),'Full Inventory'!F:F,1,0),0)=0,"X","_")</f>
        <v>X</v>
      </c>
      <c r="D1466" t="str">
        <f t="shared" si="88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F1466" t="str">
        <f t="shared" si="89"/>
        <v>_</v>
      </c>
      <c r="K1466" t="str">
        <f t="shared" ca="1" si="90"/>
        <v>_XX_</v>
      </c>
      <c r="L1466" t="str">
        <f t="shared" ca="1" si="91"/>
        <v/>
      </c>
      <c r="M1466" t="str">
        <f>IFERROR(INDEX(Inventory!A:A,MATCH(Scan!A1466,Inventory!E:E,0)),"")</f>
        <v/>
      </c>
    </row>
    <row r="1467" spans="2:13" x14ac:dyDescent="0.3">
      <c r="B1467" t="str">
        <f>IF(IFERROR(VLOOKUP(TRIM(A1467),Inventory!E:E,1,0),0)=0,"X","_")</f>
        <v>_</v>
      </c>
      <c r="C1467" t="str">
        <f>IF(IFERROR(VLOOKUP(TRIM(A1467),'Full Inventory'!F:F,1,0),0)=0,"X","_")</f>
        <v>X</v>
      </c>
      <c r="D1467" t="str">
        <f t="shared" si="88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F1467" t="str">
        <f t="shared" si="89"/>
        <v>_</v>
      </c>
      <c r="K1467" t="str">
        <f t="shared" ca="1" si="90"/>
        <v>_XX_</v>
      </c>
      <c r="L1467" t="str">
        <f t="shared" ca="1" si="91"/>
        <v/>
      </c>
      <c r="M1467" t="str">
        <f>IFERROR(INDEX(Inventory!A:A,MATCH(Scan!A1467,Inventory!E:E,0)),"")</f>
        <v/>
      </c>
    </row>
    <row r="1468" spans="2:13" x14ac:dyDescent="0.3">
      <c r="B1468" t="str">
        <f>IF(IFERROR(VLOOKUP(TRIM(A1468),Inventory!E:E,1,0),0)=0,"X","_")</f>
        <v>_</v>
      </c>
      <c r="C1468" t="str">
        <f>IF(IFERROR(VLOOKUP(TRIM(A1468),'Full Inventory'!F:F,1,0),0)=0,"X","_")</f>
        <v>X</v>
      </c>
      <c r="D1468" t="str">
        <f t="shared" si="88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F1468" t="str">
        <f t="shared" si="89"/>
        <v>_</v>
      </c>
      <c r="K1468" t="str">
        <f t="shared" ca="1" si="90"/>
        <v>_XX_</v>
      </c>
      <c r="L1468" t="str">
        <f t="shared" ca="1" si="91"/>
        <v/>
      </c>
      <c r="M1468" t="str">
        <f>IFERROR(INDEX(Inventory!A:A,MATCH(Scan!A1468,Inventory!E:E,0)),"")</f>
        <v/>
      </c>
    </row>
    <row r="1469" spans="2:13" x14ac:dyDescent="0.3">
      <c r="B1469" t="str">
        <f>IF(IFERROR(VLOOKUP(TRIM(A1469),Inventory!E:E,1,0),0)=0,"X","_")</f>
        <v>_</v>
      </c>
      <c r="C1469" t="str">
        <f>IF(IFERROR(VLOOKUP(TRIM(A1469),'Full Inventory'!F:F,1,0),0)=0,"X","_")</f>
        <v>X</v>
      </c>
      <c r="D1469" t="str">
        <f t="shared" si="88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F1469" t="str">
        <f t="shared" si="89"/>
        <v>_</v>
      </c>
      <c r="K1469" t="str">
        <f t="shared" ca="1" si="90"/>
        <v>_XX_</v>
      </c>
      <c r="L1469" t="str">
        <f t="shared" ca="1" si="91"/>
        <v/>
      </c>
      <c r="M1469" t="str">
        <f>IFERROR(INDEX(Inventory!A:A,MATCH(Scan!A1469,Inventory!E:E,0)),"")</f>
        <v/>
      </c>
    </row>
    <row r="1470" spans="2:13" x14ac:dyDescent="0.3">
      <c r="B1470" t="str">
        <f>IF(IFERROR(VLOOKUP(TRIM(A1470),Inventory!E:E,1,0),0)=0,"X","_")</f>
        <v>_</v>
      </c>
      <c r="C1470" t="str">
        <f>IF(IFERROR(VLOOKUP(TRIM(A1470),'Full Inventory'!F:F,1,0),0)=0,"X","_")</f>
        <v>X</v>
      </c>
      <c r="D1470" t="str">
        <f t="shared" si="88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F1470" t="str">
        <f t="shared" si="89"/>
        <v>_</v>
      </c>
      <c r="K1470" t="str">
        <f t="shared" ca="1" si="90"/>
        <v>_XX_</v>
      </c>
      <c r="L1470" t="str">
        <f t="shared" ca="1" si="91"/>
        <v/>
      </c>
      <c r="M1470" t="str">
        <f>IFERROR(INDEX(Inventory!A:A,MATCH(Scan!A1470,Inventory!E:E,0)),"")</f>
        <v/>
      </c>
    </row>
    <row r="1471" spans="2:13" x14ac:dyDescent="0.3">
      <c r="B1471" t="str">
        <f>IF(IFERROR(VLOOKUP(TRIM(A1471),Inventory!E:E,1,0),0)=0,"X","_")</f>
        <v>_</v>
      </c>
      <c r="C1471" t="str">
        <f>IF(IFERROR(VLOOKUP(TRIM(A1471),'Full Inventory'!F:F,1,0),0)=0,"X","_")</f>
        <v>X</v>
      </c>
      <c r="D1471" t="str">
        <f t="shared" si="88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F1471" t="str">
        <f t="shared" si="89"/>
        <v>_</v>
      </c>
      <c r="K1471" t="str">
        <f t="shared" ca="1" si="90"/>
        <v>_XX_</v>
      </c>
      <c r="L1471" t="str">
        <f t="shared" ca="1" si="91"/>
        <v/>
      </c>
      <c r="M1471" t="str">
        <f>IFERROR(INDEX(Inventory!A:A,MATCH(Scan!A1471,Inventory!E:E,0)),"")</f>
        <v/>
      </c>
    </row>
    <row r="1472" spans="2:13" x14ac:dyDescent="0.3">
      <c r="B1472" t="str">
        <f>IF(IFERROR(VLOOKUP(TRIM(A1472),Inventory!E:E,1,0),0)=0,"X","_")</f>
        <v>_</v>
      </c>
      <c r="C1472" t="str">
        <f>IF(IFERROR(VLOOKUP(TRIM(A1472),'Full Inventory'!F:F,1,0),0)=0,"X","_")</f>
        <v>X</v>
      </c>
      <c r="D1472" t="str">
        <f t="shared" si="88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F1472" t="str">
        <f t="shared" si="89"/>
        <v>_</v>
      </c>
      <c r="K1472" t="str">
        <f t="shared" ca="1" si="90"/>
        <v>_XX_</v>
      </c>
      <c r="L1472" t="str">
        <f t="shared" ca="1" si="91"/>
        <v/>
      </c>
      <c r="M1472" t="str">
        <f>IFERROR(INDEX(Inventory!A:A,MATCH(Scan!A1472,Inventory!E:E,0)),"")</f>
        <v/>
      </c>
    </row>
    <row r="1473" spans="2:13" x14ac:dyDescent="0.3">
      <c r="B1473" t="str">
        <f>IF(IFERROR(VLOOKUP(TRIM(A1473),Inventory!E:E,1,0),0)=0,"X","_")</f>
        <v>_</v>
      </c>
      <c r="C1473" t="str">
        <f>IF(IFERROR(VLOOKUP(TRIM(A1473),'Full Inventory'!F:F,1,0),0)=0,"X","_")</f>
        <v>X</v>
      </c>
      <c r="D1473" t="str">
        <f t="shared" si="88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F1473" t="str">
        <f t="shared" si="89"/>
        <v>_</v>
      </c>
      <c r="K1473" t="str">
        <f t="shared" ca="1" si="90"/>
        <v>_XX_</v>
      </c>
      <c r="L1473" t="str">
        <f t="shared" ca="1" si="91"/>
        <v/>
      </c>
      <c r="M1473" t="str">
        <f>IFERROR(INDEX(Inventory!A:A,MATCH(Scan!A1473,Inventory!E:E,0)),"")</f>
        <v/>
      </c>
    </row>
    <row r="1474" spans="2:13" x14ac:dyDescent="0.3">
      <c r="B1474" t="str">
        <f>IF(IFERROR(VLOOKUP(TRIM(A1474),Inventory!E:E,1,0),0)=0,"X","_")</f>
        <v>_</v>
      </c>
      <c r="C1474" t="str">
        <f>IF(IFERROR(VLOOKUP(TRIM(A1474),'Full Inventory'!F:F,1,0),0)=0,"X","_")</f>
        <v>X</v>
      </c>
      <c r="D1474" t="str">
        <f t="shared" ref="D1474:D1537" si="92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F1474" t="str">
        <f t="shared" si="89"/>
        <v>_</v>
      </c>
      <c r="K1474" t="str">
        <f t="shared" ca="1" si="90"/>
        <v>_XX_</v>
      </c>
      <c r="L1474" t="str">
        <f t="shared" ca="1" si="91"/>
        <v/>
      </c>
      <c r="M1474" t="str">
        <f>IFERROR(INDEX(Inventory!A:A,MATCH(Scan!A1474,Inventory!E:E,0)),"")</f>
        <v/>
      </c>
    </row>
    <row r="1475" spans="2:13" x14ac:dyDescent="0.3">
      <c r="B1475" t="str">
        <f>IF(IFERROR(VLOOKUP(TRIM(A1475),Inventory!E:E,1,0),0)=0,"X","_")</f>
        <v>_</v>
      </c>
      <c r="C1475" t="str">
        <f>IF(IFERROR(VLOOKUP(TRIM(A1475),'Full Inventory'!F:F,1,0),0)=0,"X","_")</f>
        <v>X</v>
      </c>
      <c r="D1475" t="str">
        <f t="shared" si="92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F1475" t="str">
        <f t="shared" ref="F1475:F1538" si="93">IF(IFERROR(SEARCH("ö",A1475),0)&gt;0,"X","_")</f>
        <v>_</v>
      </c>
      <c r="K1475" t="str">
        <f t="shared" ref="K1475:K1538" ca="1" si="94">B1475&amp;C1475&amp;D1475&amp;E1475</f>
        <v>_XX_</v>
      </c>
      <c r="L1475" t="str">
        <f t="shared" ref="L1475:L1538" ca="1" si="95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3">
      <c r="B1476" t="str">
        <f>IF(IFERROR(VLOOKUP(TRIM(A1476),Inventory!E:E,1,0),0)=0,"X","_")</f>
        <v>_</v>
      </c>
      <c r="C1476" t="str">
        <f>IF(IFERROR(VLOOKUP(TRIM(A1476),'Full Inventory'!F:F,1,0),0)=0,"X","_")</f>
        <v>X</v>
      </c>
      <c r="D1476" t="str">
        <f t="shared" si="92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F1476" t="str">
        <f t="shared" si="93"/>
        <v>_</v>
      </c>
      <c r="K1476" t="str">
        <f t="shared" ca="1" si="94"/>
        <v>_XX_</v>
      </c>
      <c r="L1476" t="str">
        <f t="shared" ca="1" si="95"/>
        <v/>
      </c>
      <c r="M1476" t="str">
        <f>IFERROR(INDEX(Inventory!A:A,MATCH(Scan!A1476,Inventory!E:E,0)),"")</f>
        <v/>
      </c>
    </row>
    <row r="1477" spans="2:13" x14ac:dyDescent="0.3">
      <c r="B1477" t="str">
        <f>IF(IFERROR(VLOOKUP(TRIM(A1477),Inventory!E:E,1,0),0)=0,"X","_")</f>
        <v>_</v>
      </c>
      <c r="C1477" t="str">
        <f>IF(IFERROR(VLOOKUP(TRIM(A1477),'Full Inventory'!F:F,1,0),0)=0,"X","_")</f>
        <v>X</v>
      </c>
      <c r="D1477" t="str">
        <f t="shared" si="92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F1477" t="str">
        <f t="shared" si="93"/>
        <v>_</v>
      </c>
      <c r="K1477" t="str">
        <f t="shared" ca="1" si="94"/>
        <v>_XX_</v>
      </c>
      <c r="L1477" t="str">
        <f t="shared" ca="1" si="95"/>
        <v/>
      </c>
      <c r="M1477" t="str">
        <f>IFERROR(INDEX(Inventory!A:A,MATCH(Scan!A1477,Inventory!E:E,0)),"")</f>
        <v/>
      </c>
    </row>
    <row r="1478" spans="2:13" x14ac:dyDescent="0.3">
      <c r="B1478" t="str">
        <f>IF(IFERROR(VLOOKUP(TRIM(A1478),Inventory!E:E,1,0),0)=0,"X","_")</f>
        <v>_</v>
      </c>
      <c r="C1478" t="str">
        <f>IF(IFERROR(VLOOKUP(TRIM(A1478),'Full Inventory'!F:F,1,0),0)=0,"X","_")</f>
        <v>X</v>
      </c>
      <c r="D1478" t="str">
        <f t="shared" si="92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F1478" t="str">
        <f t="shared" si="93"/>
        <v>_</v>
      </c>
      <c r="K1478" t="str">
        <f t="shared" ca="1" si="94"/>
        <v>_XX_</v>
      </c>
      <c r="L1478" t="str">
        <f t="shared" ca="1" si="95"/>
        <v/>
      </c>
      <c r="M1478" t="str">
        <f>IFERROR(INDEX(Inventory!A:A,MATCH(Scan!A1478,Inventory!E:E,0)),"")</f>
        <v/>
      </c>
    </row>
    <row r="1479" spans="2:13" x14ac:dyDescent="0.3">
      <c r="B1479" t="str">
        <f>IF(IFERROR(VLOOKUP(TRIM(A1479),Inventory!E:E,1,0),0)=0,"X","_")</f>
        <v>_</v>
      </c>
      <c r="C1479" t="str">
        <f>IF(IFERROR(VLOOKUP(TRIM(A1479),'Full Inventory'!F:F,1,0),0)=0,"X","_")</f>
        <v>X</v>
      </c>
      <c r="D1479" t="str">
        <f t="shared" si="92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F1479" t="str">
        <f t="shared" si="93"/>
        <v>_</v>
      </c>
      <c r="K1479" t="str">
        <f t="shared" ca="1" si="94"/>
        <v>_XX_</v>
      </c>
      <c r="L1479" t="str">
        <f t="shared" ca="1" si="95"/>
        <v/>
      </c>
      <c r="M1479" t="str">
        <f>IFERROR(INDEX(Inventory!A:A,MATCH(Scan!A1479,Inventory!E:E,0)),"")</f>
        <v/>
      </c>
    </row>
    <row r="1480" spans="2:13" x14ac:dyDescent="0.3">
      <c r="B1480" t="str">
        <f>IF(IFERROR(VLOOKUP(TRIM(A1480),Inventory!E:E,1,0),0)=0,"X","_")</f>
        <v>_</v>
      </c>
      <c r="C1480" t="str">
        <f>IF(IFERROR(VLOOKUP(TRIM(A1480),'Full Inventory'!F:F,1,0),0)=0,"X","_")</f>
        <v>X</v>
      </c>
      <c r="D1480" t="str">
        <f t="shared" si="92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F1480" t="str">
        <f t="shared" si="93"/>
        <v>_</v>
      </c>
      <c r="K1480" t="str">
        <f t="shared" ca="1" si="94"/>
        <v>_XX_</v>
      </c>
      <c r="L1480" t="str">
        <f t="shared" ca="1" si="95"/>
        <v/>
      </c>
      <c r="M1480" t="str">
        <f>IFERROR(INDEX(Inventory!A:A,MATCH(Scan!A1480,Inventory!E:E,0)),"")</f>
        <v/>
      </c>
    </row>
    <row r="1481" spans="2:13" x14ac:dyDescent="0.3">
      <c r="B1481" t="str">
        <f>IF(IFERROR(VLOOKUP(TRIM(A1481),Inventory!E:E,1,0),0)=0,"X","_")</f>
        <v>_</v>
      </c>
      <c r="C1481" t="str">
        <f>IF(IFERROR(VLOOKUP(TRIM(A1481),'Full Inventory'!F:F,1,0),0)=0,"X","_")</f>
        <v>X</v>
      </c>
      <c r="D1481" t="str">
        <f t="shared" si="92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F1481" t="str">
        <f t="shared" si="93"/>
        <v>_</v>
      </c>
      <c r="K1481" t="str">
        <f t="shared" ca="1" si="94"/>
        <v>_XX_</v>
      </c>
      <c r="L1481" t="str">
        <f t="shared" ca="1" si="95"/>
        <v/>
      </c>
      <c r="M1481" t="str">
        <f>IFERROR(INDEX(Inventory!A:A,MATCH(Scan!A1481,Inventory!E:E,0)),"")</f>
        <v/>
      </c>
    </row>
    <row r="1482" spans="2:13" x14ac:dyDescent="0.3">
      <c r="B1482" t="str">
        <f>IF(IFERROR(VLOOKUP(TRIM(A1482),Inventory!E:E,1,0),0)=0,"X","_")</f>
        <v>_</v>
      </c>
      <c r="C1482" t="str">
        <f>IF(IFERROR(VLOOKUP(TRIM(A1482),'Full Inventory'!F:F,1,0),0)=0,"X","_")</f>
        <v>X</v>
      </c>
      <c r="D1482" t="str">
        <f t="shared" si="92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F1482" t="str">
        <f t="shared" si="93"/>
        <v>_</v>
      </c>
      <c r="K1482" t="str">
        <f t="shared" ca="1" si="94"/>
        <v>_XX_</v>
      </c>
      <c r="L1482" t="str">
        <f t="shared" ca="1" si="95"/>
        <v/>
      </c>
      <c r="M1482" t="str">
        <f>IFERROR(INDEX(Inventory!A:A,MATCH(Scan!A1482,Inventory!E:E,0)),"")</f>
        <v/>
      </c>
    </row>
    <row r="1483" spans="2:13" x14ac:dyDescent="0.3">
      <c r="B1483" t="str">
        <f>IF(IFERROR(VLOOKUP(TRIM(A1483),Inventory!E:E,1,0),0)=0,"X","_")</f>
        <v>_</v>
      </c>
      <c r="C1483" t="str">
        <f>IF(IFERROR(VLOOKUP(TRIM(A1483),'Full Inventory'!F:F,1,0),0)=0,"X","_")</f>
        <v>X</v>
      </c>
      <c r="D1483" t="str">
        <f t="shared" si="92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F1483" t="str">
        <f t="shared" si="93"/>
        <v>_</v>
      </c>
      <c r="K1483" t="str">
        <f t="shared" ca="1" si="94"/>
        <v>_XX_</v>
      </c>
      <c r="L1483" t="str">
        <f t="shared" ca="1" si="95"/>
        <v/>
      </c>
      <c r="M1483" t="str">
        <f>IFERROR(INDEX(Inventory!A:A,MATCH(Scan!A1483,Inventory!E:E,0)),"")</f>
        <v/>
      </c>
    </row>
    <row r="1484" spans="2:13" x14ac:dyDescent="0.3">
      <c r="B1484" t="str">
        <f>IF(IFERROR(VLOOKUP(TRIM(A1484),Inventory!E:E,1,0),0)=0,"X","_")</f>
        <v>_</v>
      </c>
      <c r="C1484" t="str">
        <f>IF(IFERROR(VLOOKUP(TRIM(A1484),'Full Inventory'!F:F,1,0),0)=0,"X","_")</f>
        <v>X</v>
      </c>
      <c r="D1484" t="str">
        <f t="shared" si="92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F1484" t="str">
        <f t="shared" si="93"/>
        <v>_</v>
      </c>
      <c r="K1484" t="str">
        <f t="shared" ca="1" si="94"/>
        <v>_XX_</v>
      </c>
      <c r="L1484" t="str">
        <f t="shared" ca="1" si="95"/>
        <v/>
      </c>
      <c r="M1484" t="str">
        <f>IFERROR(INDEX(Inventory!A:A,MATCH(Scan!A1484,Inventory!E:E,0)),"")</f>
        <v/>
      </c>
    </row>
    <row r="1485" spans="2:13" x14ac:dyDescent="0.3">
      <c r="B1485" t="str">
        <f>IF(IFERROR(VLOOKUP(TRIM(A1485),Inventory!E:E,1,0),0)=0,"X","_")</f>
        <v>_</v>
      </c>
      <c r="C1485" t="str">
        <f>IF(IFERROR(VLOOKUP(TRIM(A1485),'Full Inventory'!F:F,1,0),0)=0,"X","_")</f>
        <v>X</v>
      </c>
      <c r="D1485" t="str">
        <f t="shared" si="92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F1485" t="str">
        <f t="shared" si="93"/>
        <v>_</v>
      </c>
      <c r="K1485" t="str">
        <f t="shared" ca="1" si="94"/>
        <v>_XX_</v>
      </c>
      <c r="L1485" t="str">
        <f t="shared" ca="1" si="95"/>
        <v/>
      </c>
      <c r="M1485" t="str">
        <f>IFERROR(INDEX(Inventory!A:A,MATCH(Scan!A1485,Inventory!E:E,0)),"")</f>
        <v/>
      </c>
    </row>
    <row r="1486" spans="2:13" x14ac:dyDescent="0.3">
      <c r="B1486" t="str">
        <f>IF(IFERROR(VLOOKUP(TRIM(A1486),Inventory!E:E,1,0),0)=0,"X","_")</f>
        <v>_</v>
      </c>
      <c r="C1486" t="str">
        <f>IF(IFERROR(VLOOKUP(TRIM(A1486),'Full Inventory'!F:F,1,0),0)=0,"X","_")</f>
        <v>X</v>
      </c>
      <c r="D1486" t="str">
        <f t="shared" si="92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F1486" t="str">
        <f t="shared" si="93"/>
        <v>_</v>
      </c>
      <c r="K1486" t="str">
        <f t="shared" ca="1" si="94"/>
        <v>_XX_</v>
      </c>
      <c r="L1486" t="str">
        <f t="shared" ca="1" si="95"/>
        <v/>
      </c>
      <c r="M1486" t="str">
        <f>IFERROR(INDEX(Inventory!A:A,MATCH(Scan!A1486,Inventory!E:E,0)),"")</f>
        <v/>
      </c>
    </row>
    <row r="1487" spans="2:13" x14ac:dyDescent="0.3">
      <c r="B1487" t="str">
        <f>IF(IFERROR(VLOOKUP(TRIM(A1487),Inventory!E:E,1,0),0)=0,"X","_")</f>
        <v>_</v>
      </c>
      <c r="C1487" t="str">
        <f>IF(IFERROR(VLOOKUP(TRIM(A1487),'Full Inventory'!F:F,1,0),0)=0,"X","_")</f>
        <v>X</v>
      </c>
      <c r="D1487" t="str">
        <f t="shared" si="92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F1487" t="str">
        <f t="shared" si="93"/>
        <v>_</v>
      </c>
      <c r="K1487" t="str">
        <f t="shared" ca="1" si="94"/>
        <v>_XX_</v>
      </c>
      <c r="L1487" t="str">
        <f t="shared" ca="1" si="95"/>
        <v/>
      </c>
      <c r="M1487" t="str">
        <f>IFERROR(INDEX(Inventory!A:A,MATCH(Scan!A1487,Inventory!E:E,0)),"")</f>
        <v/>
      </c>
    </row>
    <row r="1488" spans="2:13" x14ac:dyDescent="0.3">
      <c r="B1488" t="str">
        <f>IF(IFERROR(VLOOKUP(TRIM(A1488),Inventory!E:E,1,0),0)=0,"X","_")</f>
        <v>_</v>
      </c>
      <c r="C1488" t="str">
        <f>IF(IFERROR(VLOOKUP(TRIM(A1488),'Full Inventory'!F:F,1,0),0)=0,"X","_")</f>
        <v>X</v>
      </c>
      <c r="D1488" t="str">
        <f t="shared" si="92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F1488" t="str">
        <f t="shared" si="93"/>
        <v>_</v>
      </c>
      <c r="K1488" t="str">
        <f t="shared" ca="1" si="94"/>
        <v>_XX_</v>
      </c>
      <c r="L1488" t="str">
        <f t="shared" ca="1" si="95"/>
        <v/>
      </c>
      <c r="M1488" t="str">
        <f>IFERROR(INDEX(Inventory!A:A,MATCH(Scan!A1488,Inventory!E:E,0)),"")</f>
        <v/>
      </c>
    </row>
    <row r="1489" spans="2:13" x14ac:dyDescent="0.3">
      <c r="B1489" t="str">
        <f>IF(IFERROR(VLOOKUP(TRIM(A1489),Inventory!E:E,1,0),0)=0,"X","_")</f>
        <v>_</v>
      </c>
      <c r="C1489" t="str">
        <f>IF(IFERROR(VLOOKUP(TRIM(A1489),'Full Inventory'!F:F,1,0),0)=0,"X","_")</f>
        <v>X</v>
      </c>
      <c r="D1489" t="str">
        <f t="shared" si="92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F1489" t="str">
        <f t="shared" si="93"/>
        <v>_</v>
      </c>
      <c r="K1489" t="str">
        <f t="shared" ca="1" si="94"/>
        <v>_XX_</v>
      </c>
      <c r="L1489" t="str">
        <f t="shared" ca="1" si="95"/>
        <v/>
      </c>
      <c r="M1489" t="str">
        <f>IFERROR(INDEX(Inventory!A:A,MATCH(Scan!A1489,Inventory!E:E,0)),"")</f>
        <v/>
      </c>
    </row>
    <row r="1490" spans="2:13" x14ac:dyDescent="0.3">
      <c r="B1490" t="str">
        <f>IF(IFERROR(VLOOKUP(TRIM(A1490),Inventory!E:E,1,0),0)=0,"X","_")</f>
        <v>_</v>
      </c>
      <c r="C1490" t="str">
        <f>IF(IFERROR(VLOOKUP(TRIM(A1490),'Full Inventory'!F:F,1,0),0)=0,"X","_")</f>
        <v>X</v>
      </c>
      <c r="D1490" t="str">
        <f t="shared" si="92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F1490" t="str">
        <f t="shared" si="93"/>
        <v>_</v>
      </c>
      <c r="K1490" t="str">
        <f t="shared" ca="1" si="94"/>
        <v>_XX_</v>
      </c>
      <c r="L1490" t="str">
        <f t="shared" ca="1" si="95"/>
        <v/>
      </c>
      <c r="M1490" t="str">
        <f>IFERROR(INDEX(Inventory!A:A,MATCH(Scan!A1490,Inventory!E:E,0)),"")</f>
        <v/>
      </c>
    </row>
    <row r="1491" spans="2:13" x14ac:dyDescent="0.3">
      <c r="B1491" t="str">
        <f>IF(IFERROR(VLOOKUP(TRIM(A1491),Inventory!E:E,1,0),0)=0,"X","_")</f>
        <v>_</v>
      </c>
      <c r="C1491" t="str">
        <f>IF(IFERROR(VLOOKUP(TRIM(A1491),'Full Inventory'!F:F,1,0),0)=0,"X","_")</f>
        <v>X</v>
      </c>
      <c r="D1491" t="str">
        <f t="shared" si="92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F1491" t="str">
        <f t="shared" si="93"/>
        <v>_</v>
      </c>
      <c r="K1491" t="str">
        <f t="shared" ca="1" si="94"/>
        <v>_XX_</v>
      </c>
      <c r="L1491" t="str">
        <f t="shared" ca="1" si="95"/>
        <v/>
      </c>
      <c r="M1491" t="str">
        <f>IFERROR(INDEX(Inventory!A:A,MATCH(Scan!A1491,Inventory!E:E,0)),"")</f>
        <v/>
      </c>
    </row>
    <row r="1492" spans="2:13" x14ac:dyDescent="0.3">
      <c r="B1492" t="str">
        <f>IF(IFERROR(VLOOKUP(TRIM(A1492),Inventory!E:E,1,0),0)=0,"X","_")</f>
        <v>_</v>
      </c>
      <c r="C1492" t="str">
        <f>IF(IFERROR(VLOOKUP(TRIM(A1492),'Full Inventory'!F:F,1,0),0)=0,"X","_")</f>
        <v>X</v>
      </c>
      <c r="D1492" t="str">
        <f t="shared" si="92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F1492" t="str">
        <f t="shared" si="93"/>
        <v>_</v>
      </c>
      <c r="K1492" t="str">
        <f t="shared" ca="1" si="94"/>
        <v>_XX_</v>
      </c>
      <c r="L1492" t="str">
        <f t="shared" ca="1" si="95"/>
        <v/>
      </c>
      <c r="M1492" t="str">
        <f>IFERROR(INDEX(Inventory!A:A,MATCH(Scan!A1492,Inventory!E:E,0)),"")</f>
        <v/>
      </c>
    </row>
    <row r="1493" spans="2:13" x14ac:dyDescent="0.3">
      <c r="B1493" t="str">
        <f>IF(IFERROR(VLOOKUP(TRIM(A1493),Inventory!E:E,1,0),0)=0,"X","_")</f>
        <v>_</v>
      </c>
      <c r="C1493" t="str">
        <f>IF(IFERROR(VLOOKUP(TRIM(A1493),'Full Inventory'!F:F,1,0),0)=0,"X","_")</f>
        <v>X</v>
      </c>
      <c r="D1493" t="str">
        <f t="shared" si="92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F1493" t="str">
        <f t="shared" si="93"/>
        <v>_</v>
      </c>
      <c r="K1493" t="str">
        <f t="shared" ca="1" si="94"/>
        <v>_XX_</v>
      </c>
      <c r="L1493" t="str">
        <f t="shared" ca="1" si="95"/>
        <v/>
      </c>
      <c r="M1493" t="str">
        <f>IFERROR(INDEX(Inventory!A:A,MATCH(Scan!A1493,Inventory!E:E,0)),"")</f>
        <v/>
      </c>
    </row>
    <row r="1494" spans="2:13" x14ac:dyDescent="0.3">
      <c r="B1494" t="str">
        <f>IF(IFERROR(VLOOKUP(TRIM(A1494),Inventory!E:E,1,0),0)=0,"X","_")</f>
        <v>_</v>
      </c>
      <c r="C1494" t="str">
        <f>IF(IFERROR(VLOOKUP(TRIM(A1494),'Full Inventory'!F:F,1,0),0)=0,"X","_")</f>
        <v>X</v>
      </c>
      <c r="D1494" t="str">
        <f t="shared" si="92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F1494" t="str">
        <f t="shared" si="93"/>
        <v>_</v>
      </c>
      <c r="K1494" t="str">
        <f t="shared" ca="1" si="94"/>
        <v>_XX_</v>
      </c>
      <c r="L1494" t="str">
        <f t="shared" ca="1" si="95"/>
        <v/>
      </c>
      <c r="M1494" t="str">
        <f>IFERROR(INDEX(Inventory!A:A,MATCH(Scan!A1494,Inventory!E:E,0)),"")</f>
        <v/>
      </c>
    </row>
    <row r="1495" spans="2:13" x14ac:dyDescent="0.3">
      <c r="B1495" t="str">
        <f>IF(IFERROR(VLOOKUP(TRIM(A1495),Inventory!E:E,1,0),0)=0,"X","_")</f>
        <v>_</v>
      </c>
      <c r="C1495" t="str">
        <f>IF(IFERROR(VLOOKUP(TRIM(A1495),'Full Inventory'!F:F,1,0),0)=0,"X","_")</f>
        <v>X</v>
      </c>
      <c r="D1495" t="str">
        <f t="shared" si="92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F1495" t="str">
        <f t="shared" si="93"/>
        <v>_</v>
      </c>
      <c r="K1495" t="str">
        <f t="shared" ca="1" si="94"/>
        <v>_XX_</v>
      </c>
      <c r="L1495" t="str">
        <f t="shared" ca="1" si="95"/>
        <v/>
      </c>
      <c r="M1495" t="str">
        <f>IFERROR(INDEX(Inventory!A:A,MATCH(Scan!A1495,Inventory!E:E,0)),"")</f>
        <v/>
      </c>
    </row>
    <row r="1496" spans="2:13" x14ac:dyDescent="0.3">
      <c r="B1496" t="str">
        <f>IF(IFERROR(VLOOKUP(TRIM(A1496),Inventory!E:E,1,0),0)=0,"X","_")</f>
        <v>_</v>
      </c>
      <c r="C1496" t="str">
        <f>IF(IFERROR(VLOOKUP(TRIM(A1496),'Full Inventory'!F:F,1,0),0)=0,"X","_")</f>
        <v>X</v>
      </c>
      <c r="D1496" t="str">
        <f t="shared" si="92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F1496" t="str">
        <f t="shared" si="93"/>
        <v>_</v>
      </c>
      <c r="K1496" t="str">
        <f t="shared" ca="1" si="94"/>
        <v>_XX_</v>
      </c>
      <c r="L1496" t="str">
        <f t="shared" ca="1" si="95"/>
        <v/>
      </c>
      <c r="M1496" t="str">
        <f>IFERROR(INDEX(Inventory!A:A,MATCH(Scan!A1496,Inventory!E:E,0)),"")</f>
        <v/>
      </c>
    </row>
    <row r="1497" spans="2:13" x14ac:dyDescent="0.3">
      <c r="B1497" t="str">
        <f>IF(IFERROR(VLOOKUP(TRIM(A1497),Inventory!E:E,1,0),0)=0,"X","_")</f>
        <v>_</v>
      </c>
      <c r="C1497" t="str">
        <f>IF(IFERROR(VLOOKUP(TRIM(A1497),'Full Inventory'!F:F,1,0),0)=0,"X","_")</f>
        <v>X</v>
      </c>
      <c r="D1497" t="str">
        <f t="shared" si="92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F1497" t="str">
        <f t="shared" si="93"/>
        <v>_</v>
      </c>
      <c r="K1497" t="str">
        <f t="shared" ca="1" si="94"/>
        <v>_XX_</v>
      </c>
      <c r="L1497" t="str">
        <f t="shared" ca="1" si="95"/>
        <v/>
      </c>
      <c r="M1497" t="str">
        <f>IFERROR(INDEX(Inventory!A:A,MATCH(Scan!A1497,Inventory!E:E,0)),"")</f>
        <v/>
      </c>
    </row>
    <row r="1498" spans="2:13" x14ac:dyDescent="0.3">
      <c r="B1498" t="str">
        <f>IF(IFERROR(VLOOKUP(TRIM(A1498),Inventory!E:E,1,0),0)=0,"X","_")</f>
        <v>_</v>
      </c>
      <c r="C1498" t="str">
        <f>IF(IFERROR(VLOOKUP(TRIM(A1498),'Full Inventory'!F:F,1,0),0)=0,"X","_")</f>
        <v>X</v>
      </c>
      <c r="D1498" t="str">
        <f t="shared" si="92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F1498" t="str">
        <f t="shared" si="93"/>
        <v>_</v>
      </c>
      <c r="K1498" t="str">
        <f t="shared" ca="1" si="94"/>
        <v>_XX_</v>
      </c>
      <c r="L1498" t="str">
        <f t="shared" ca="1" si="95"/>
        <v/>
      </c>
      <c r="M1498" t="str">
        <f>IFERROR(INDEX(Inventory!A:A,MATCH(Scan!A1498,Inventory!E:E,0)),"")</f>
        <v/>
      </c>
    </row>
    <row r="1499" spans="2:13" x14ac:dyDescent="0.3">
      <c r="B1499" t="str">
        <f>IF(IFERROR(VLOOKUP(TRIM(A1499),Inventory!E:E,1,0),0)=0,"X","_")</f>
        <v>_</v>
      </c>
      <c r="C1499" t="str">
        <f>IF(IFERROR(VLOOKUP(TRIM(A1499),'Full Inventory'!F:F,1,0),0)=0,"X","_")</f>
        <v>X</v>
      </c>
      <c r="D1499" t="str">
        <f t="shared" si="92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F1499" t="str">
        <f t="shared" si="93"/>
        <v>_</v>
      </c>
      <c r="K1499" t="str">
        <f t="shared" ca="1" si="94"/>
        <v>_XX_</v>
      </c>
      <c r="L1499" t="str">
        <f t="shared" ca="1" si="95"/>
        <v/>
      </c>
      <c r="M1499" t="str">
        <f>IFERROR(INDEX(Inventory!A:A,MATCH(Scan!A1499,Inventory!E:E,0)),"")</f>
        <v/>
      </c>
    </row>
    <row r="1500" spans="2:13" x14ac:dyDescent="0.3">
      <c r="B1500" t="str">
        <f>IF(IFERROR(VLOOKUP(TRIM(A1500),Inventory!E:E,1,0),0)=0,"X","_")</f>
        <v>_</v>
      </c>
      <c r="C1500" t="str">
        <f>IF(IFERROR(VLOOKUP(TRIM(A1500),'Full Inventory'!F:F,1,0),0)=0,"X","_")</f>
        <v>X</v>
      </c>
      <c r="D1500" t="str">
        <f t="shared" si="92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F1500" t="str">
        <f t="shared" si="93"/>
        <v>_</v>
      </c>
      <c r="K1500" t="str">
        <f t="shared" ca="1" si="94"/>
        <v>_XX_</v>
      </c>
      <c r="L1500" t="str">
        <f t="shared" ca="1" si="95"/>
        <v/>
      </c>
      <c r="M1500" t="str">
        <f>IFERROR(INDEX(Inventory!A:A,MATCH(Scan!A1500,Inventory!E:E,0)),"")</f>
        <v/>
      </c>
    </row>
    <row r="1501" spans="2:13" x14ac:dyDescent="0.3">
      <c r="B1501" t="str">
        <f>IF(IFERROR(VLOOKUP(TRIM(A1501),Inventory!E:E,1,0),0)=0,"X","_")</f>
        <v>_</v>
      </c>
      <c r="C1501" t="str">
        <f>IF(IFERROR(VLOOKUP(TRIM(A1501),'Full Inventory'!F:F,1,0),0)=0,"X","_")</f>
        <v>X</v>
      </c>
      <c r="D1501" t="str">
        <f t="shared" si="92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F1501" t="str">
        <f t="shared" si="93"/>
        <v>_</v>
      </c>
      <c r="K1501" t="str">
        <f t="shared" ca="1" si="94"/>
        <v>_XX_</v>
      </c>
      <c r="L1501" t="str">
        <f t="shared" ca="1" si="95"/>
        <v/>
      </c>
      <c r="M1501" t="str">
        <f>IFERROR(INDEX(Inventory!A:A,MATCH(Scan!A1501,Inventory!E:E,0)),"")</f>
        <v/>
      </c>
    </row>
    <row r="1502" spans="2:13" x14ac:dyDescent="0.3">
      <c r="B1502" t="str">
        <f>IF(IFERROR(VLOOKUP(TRIM(A1502),Inventory!E:E,1,0),0)=0,"X","_")</f>
        <v>_</v>
      </c>
      <c r="C1502" t="str">
        <f>IF(IFERROR(VLOOKUP(TRIM(A1502),'Full Inventory'!F:F,1,0),0)=0,"X","_")</f>
        <v>X</v>
      </c>
      <c r="D1502" t="str">
        <f t="shared" si="92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F1502" t="str">
        <f t="shared" si="93"/>
        <v>_</v>
      </c>
      <c r="K1502" t="str">
        <f t="shared" ca="1" si="94"/>
        <v>_XX_</v>
      </c>
      <c r="L1502" t="str">
        <f t="shared" ca="1" si="95"/>
        <v/>
      </c>
      <c r="M1502" t="str">
        <f>IFERROR(INDEX(Inventory!A:A,MATCH(Scan!A1502,Inventory!E:E,0)),"")</f>
        <v/>
      </c>
    </row>
    <row r="1503" spans="2:13" x14ac:dyDescent="0.3">
      <c r="B1503" t="str">
        <f>IF(IFERROR(VLOOKUP(TRIM(A1503),Inventory!E:E,1,0),0)=0,"X","_")</f>
        <v>_</v>
      </c>
      <c r="C1503" t="str">
        <f>IF(IFERROR(VLOOKUP(TRIM(A1503),'Full Inventory'!F:F,1,0),0)=0,"X","_")</f>
        <v>X</v>
      </c>
      <c r="D1503" t="str">
        <f t="shared" si="92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F1503" t="str">
        <f t="shared" si="93"/>
        <v>_</v>
      </c>
      <c r="K1503" t="str">
        <f t="shared" ca="1" si="94"/>
        <v>_XX_</v>
      </c>
      <c r="L1503" t="str">
        <f t="shared" ca="1" si="95"/>
        <v/>
      </c>
      <c r="M1503" t="str">
        <f>IFERROR(INDEX(Inventory!A:A,MATCH(Scan!A1503,Inventory!E:E,0)),"")</f>
        <v/>
      </c>
    </row>
    <row r="1504" spans="2:13" x14ac:dyDescent="0.3">
      <c r="B1504" t="str">
        <f>IF(IFERROR(VLOOKUP(TRIM(A1504),Inventory!E:E,1,0),0)=0,"X","_")</f>
        <v>_</v>
      </c>
      <c r="C1504" t="str">
        <f>IF(IFERROR(VLOOKUP(TRIM(A1504),'Full Inventory'!F:F,1,0),0)=0,"X","_")</f>
        <v>X</v>
      </c>
      <c r="D1504" t="str">
        <f t="shared" si="92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F1504" t="str">
        <f t="shared" si="93"/>
        <v>_</v>
      </c>
      <c r="K1504" t="str">
        <f t="shared" ca="1" si="94"/>
        <v>_XX_</v>
      </c>
      <c r="L1504" t="str">
        <f t="shared" ca="1" si="95"/>
        <v/>
      </c>
      <c r="M1504" t="str">
        <f>IFERROR(INDEX(Inventory!A:A,MATCH(Scan!A1504,Inventory!E:E,0)),"")</f>
        <v/>
      </c>
    </row>
    <row r="1505" spans="2:13" x14ac:dyDescent="0.3">
      <c r="B1505" t="str">
        <f>IF(IFERROR(VLOOKUP(TRIM(A1505),Inventory!E:E,1,0),0)=0,"X","_")</f>
        <v>_</v>
      </c>
      <c r="C1505" t="str">
        <f>IF(IFERROR(VLOOKUP(TRIM(A1505),'Full Inventory'!F:F,1,0),0)=0,"X","_")</f>
        <v>X</v>
      </c>
      <c r="D1505" t="str">
        <f t="shared" si="92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F1505" t="str">
        <f t="shared" si="93"/>
        <v>_</v>
      </c>
      <c r="K1505" t="str">
        <f t="shared" ca="1" si="94"/>
        <v>_XX_</v>
      </c>
      <c r="L1505" t="str">
        <f t="shared" ca="1" si="95"/>
        <v/>
      </c>
      <c r="M1505" t="str">
        <f>IFERROR(INDEX(Inventory!A:A,MATCH(Scan!A1505,Inventory!E:E,0)),"")</f>
        <v/>
      </c>
    </row>
    <row r="1506" spans="2:13" x14ac:dyDescent="0.3">
      <c r="B1506" t="str">
        <f>IF(IFERROR(VLOOKUP(TRIM(A1506),Inventory!E:E,1,0),0)=0,"X","_")</f>
        <v>_</v>
      </c>
      <c r="C1506" t="str">
        <f>IF(IFERROR(VLOOKUP(TRIM(A1506),'Full Inventory'!F:F,1,0),0)=0,"X","_")</f>
        <v>X</v>
      </c>
      <c r="D1506" t="str">
        <f t="shared" si="92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F1506" t="str">
        <f t="shared" si="93"/>
        <v>_</v>
      </c>
      <c r="K1506" t="str">
        <f t="shared" ca="1" si="94"/>
        <v>_XX_</v>
      </c>
      <c r="L1506" t="str">
        <f t="shared" ca="1" si="95"/>
        <v/>
      </c>
      <c r="M1506" t="str">
        <f>IFERROR(INDEX(Inventory!A:A,MATCH(Scan!A1506,Inventory!E:E,0)),"")</f>
        <v/>
      </c>
    </row>
    <row r="1507" spans="2:13" x14ac:dyDescent="0.3">
      <c r="B1507" t="str">
        <f>IF(IFERROR(VLOOKUP(TRIM(A1507),Inventory!E:E,1,0),0)=0,"X","_")</f>
        <v>_</v>
      </c>
      <c r="C1507" t="str">
        <f>IF(IFERROR(VLOOKUP(TRIM(A1507),'Full Inventory'!F:F,1,0),0)=0,"X","_")</f>
        <v>X</v>
      </c>
      <c r="D1507" t="str">
        <f t="shared" si="92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F1507" t="str">
        <f t="shared" si="93"/>
        <v>_</v>
      </c>
      <c r="K1507" t="str">
        <f t="shared" ca="1" si="94"/>
        <v>_XX_</v>
      </c>
      <c r="L1507" t="str">
        <f t="shared" ca="1" si="95"/>
        <v/>
      </c>
      <c r="M1507" t="str">
        <f>IFERROR(INDEX(Inventory!A:A,MATCH(Scan!A1507,Inventory!E:E,0)),"")</f>
        <v/>
      </c>
    </row>
    <row r="1508" spans="2:13" x14ac:dyDescent="0.3">
      <c r="B1508" t="str">
        <f>IF(IFERROR(VLOOKUP(TRIM(A1508),Inventory!E:E,1,0),0)=0,"X","_")</f>
        <v>_</v>
      </c>
      <c r="C1508" t="str">
        <f>IF(IFERROR(VLOOKUP(TRIM(A1508),'Full Inventory'!F:F,1,0),0)=0,"X","_")</f>
        <v>X</v>
      </c>
      <c r="D1508" t="str">
        <f t="shared" si="92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F1508" t="str">
        <f t="shared" si="93"/>
        <v>_</v>
      </c>
      <c r="K1508" t="str">
        <f t="shared" ca="1" si="94"/>
        <v>_XX_</v>
      </c>
      <c r="L1508" t="str">
        <f t="shared" ca="1" si="95"/>
        <v/>
      </c>
      <c r="M1508" t="str">
        <f>IFERROR(INDEX(Inventory!A:A,MATCH(Scan!A1508,Inventory!E:E,0)),"")</f>
        <v/>
      </c>
    </row>
    <row r="1509" spans="2:13" x14ac:dyDescent="0.3">
      <c r="B1509" t="str">
        <f>IF(IFERROR(VLOOKUP(TRIM(A1509),Inventory!E:E,1,0),0)=0,"X","_")</f>
        <v>_</v>
      </c>
      <c r="C1509" t="str">
        <f>IF(IFERROR(VLOOKUP(TRIM(A1509),'Full Inventory'!F:F,1,0),0)=0,"X","_")</f>
        <v>X</v>
      </c>
      <c r="D1509" t="str">
        <f t="shared" si="92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F1509" t="str">
        <f t="shared" si="93"/>
        <v>_</v>
      </c>
      <c r="K1509" t="str">
        <f t="shared" ca="1" si="94"/>
        <v>_XX_</v>
      </c>
      <c r="L1509" t="str">
        <f t="shared" ca="1" si="95"/>
        <v/>
      </c>
      <c r="M1509" t="str">
        <f>IFERROR(INDEX(Inventory!A:A,MATCH(Scan!A1509,Inventory!E:E,0)),"")</f>
        <v/>
      </c>
    </row>
    <row r="1510" spans="2:13" x14ac:dyDescent="0.3">
      <c r="B1510" t="str">
        <f>IF(IFERROR(VLOOKUP(TRIM(A1510),Inventory!E:E,1,0),0)=0,"X","_")</f>
        <v>_</v>
      </c>
      <c r="C1510" t="str">
        <f>IF(IFERROR(VLOOKUP(TRIM(A1510),'Full Inventory'!F:F,1,0),0)=0,"X","_")</f>
        <v>X</v>
      </c>
      <c r="D1510" t="str">
        <f t="shared" si="92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F1510" t="str">
        <f t="shared" si="93"/>
        <v>_</v>
      </c>
      <c r="K1510" t="str">
        <f t="shared" ca="1" si="94"/>
        <v>_XX_</v>
      </c>
      <c r="L1510" t="str">
        <f t="shared" ca="1" si="95"/>
        <v/>
      </c>
      <c r="M1510" t="str">
        <f>IFERROR(INDEX(Inventory!A:A,MATCH(Scan!A1510,Inventory!E:E,0)),"")</f>
        <v/>
      </c>
    </row>
    <row r="1511" spans="2:13" x14ac:dyDescent="0.3">
      <c r="B1511" t="str">
        <f>IF(IFERROR(VLOOKUP(TRIM(A1511),Inventory!E:E,1,0),0)=0,"X","_")</f>
        <v>_</v>
      </c>
      <c r="C1511" t="str">
        <f>IF(IFERROR(VLOOKUP(TRIM(A1511),'Full Inventory'!F:F,1,0),0)=0,"X","_")</f>
        <v>X</v>
      </c>
      <c r="D1511" t="str">
        <f t="shared" si="92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F1511" t="str">
        <f t="shared" si="93"/>
        <v>_</v>
      </c>
      <c r="K1511" t="str">
        <f t="shared" ca="1" si="94"/>
        <v>_XX_</v>
      </c>
      <c r="L1511" t="str">
        <f t="shared" ca="1" si="95"/>
        <v/>
      </c>
      <c r="M1511" t="str">
        <f>IFERROR(INDEX(Inventory!A:A,MATCH(Scan!A1511,Inventory!E:E,0)),"")</f>
        <v/>
      </c>
    </row>
    <row r="1512" spans="2:13" x14ac:dyDescent="0.3">
      <c r="B1512" t="str">
        <f>IF(IFERROR(VLOOKUP(TRIM(A1512),Inventory!E:E,1,0),0)=0,"X","_")</f>
        <v>_</v>
      </c>
      <c r="C1512" t="str">
        <f>IF(IFERROR(VLOOKUP(TRIM(A1512),'Full Inventory'!F:F,1,0),0)=0,"X","_")</f>
        <v>X</v>
      </c>
      <c r="D1512" t="str">
        <f t="shared" si="92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F1512" t="str">
        <f t="shared" si="93"/>
        <v>_</v>
      </c>
      <c r="K1512" t="str">
        <f t="shared" ca="1" si="94"/>
        <v>_XX_</v>
      </c>
      <c r="L1512" t="str">
        <f t="shared" ca="1" si="95"/>
        <v/>
      </c>
      <c r="M1512" t="str">
        <f>IFERROR(INDEX(Inventory!A:A,MATCH(Scan!A1512,Inventory!E:E,0)),"")</f>
        <v/>
      </c>
    </row>
    <row r="1513" spans="2:13" x14ac:dyDescent="0.3">
      <c r="B1513" t="str">
        <f>IF(IFERROR(VLOOKUP(TRIM(A1513),Inventory!E:E,1,0),0)=0,"X","_")</f>
        <v>_</v>
      </c>
      <c r="C1513" t="str">
        <f>IF(IFERROR(VLOOKUP(TRIM(A1513),'Full Inventory'!F:F,1,0),0)=0,"X","_")</f>
        <v>X</v>
      </c>
      <c r="D1513" t="str">
        <f t="shared" si="92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F1513" t="str">
        <f t="shared" si="93"/>
        <v>_</v>
      </c>
      <c r="K1513" t="str">
        <f t="shared" ca="1" si="94"/>
        <v>_XX_</v>
      </c>
      <c r="L1513" t="str">
        <f t="shared" ca="1" si="95"/>
        <v/>
      </c>
      <c r="M1513" t="str">
        <f>IFERROR(INDEX(Inventory!A:A,MATCH(Scan!A1513,Inventory!E:E,0)),"")</f>
        <v/>
      </c>
    </row>
    <row r="1514" spans="2:13" x14ac:dyDescent="0.3">
      <c r="B1514" t="str">
        <f>IF(IFERROR(VLOOKUP(TRIM(A1514),Inventory!E:E,1,0),0)=0,"X","_")</f>
        <v>_</v>
      </c>
      <c r="C1514" t="str">
        <f>IF(IFERROR(VLOOKUP(TRIM(A1514),'Full Inventory'!F:F,1,0),0)=0,"X","_")</f>
        <v>X</v>
      </c>
      <c r="D1514" t="str">
        <f t="shared" si="92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F1514" t="str">
        <f t="shared" si="93"/>
        <v>_</v>
      </c>
      <c r="K1514" t="str">
        <f t="shared" ca="1" si="94"/>
        <v>_XX_</v>
      </c>
      <c r="L1514" t="str">
        <f t="shared" ca="1" si="95"/>
        <v/>
      </c>
      <c r="M1514" t="str">
        <f>IFERROR(INDEX(Inventory!A:A,MATCH(Scan!A1514,Inventory!E:E,0)),"")</f>
        <v/>
      </c>
    </row>
    <row r="1515" spans="2:13" x14ac:dyDescent="0.3">
      <c r="B1515" t="str">
        <f>IF(IFERROR(VLOOKUP(TRIM(A1515),Inventory!E:E,1,0),0)=0,"X","_")</f>
        <v>_</v>
      </c>
      <c r="C1515" t="str">
        <f>IF(IFERROR(VLOOKUP(TRIM(A1515),'Full Inventory'!F:F,1,0),0)=0,"X","_")</f>
        <v>X</v>
      </c>
      <c r="D1515" t="str">
        <f t="shared" si="92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F1515" t="str">
        <f t="shared" si="93"/>
        <v>_</v>
      </c>
      <c r="K1515" t="str">
        <f t="shared" ca="1" si="94"/>
        <v>_XX_</v>
      </c>
      <c r="L1515" t="str">
        <f t="shared" ca="1" si="95"/>
        <v/>
      </c>
      <c r="M1515" t="str">
        <f>IFERROR(INDEX(Inventory!A:A,MATCH(Scan!A1515,Inventory!E:E,0)),"")</f>
        <v/>
      </c>
    </row>
    <row r="1516" spans="2:13" x14ac:dyDescent="0.3">
      <c r="B1516" t="str">
        <f>IF(IFERROR(VLOOKUP(TRIM(A1516),Inventory!E:E,1,0),0)=0,"X","_")</f>
        <v>_</v>
      </c>
      <c r="C1516" t="str">
        <f>IF(IFERROR(VLOOKUP(TRIM(A1516),'Full Inventory'!F:F,1,0),0)=0,"X","_")</f>
        <v>X</v>
      </c>
      <c r="D1516" t="str">
        <f t="shared" si="92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F1516" t="str">
        <f t="shared" si="93"/>
        <v>_</v>
      </c>
      <c r="K1516" t="str">
        <f t="shared" ca="1" si="94"/>
        <v>_XX_</v>
      </c>
      <c r="L1516" t="str">
        <f t="shared" ca="1" si="95"/>
        <v/>
      </c>
      <c r="M1516" t="str">
        <f>IFERROR(INDEX(Inventory!A:A,MATCH(Scan!A1516,Inventory!E:E,0)),"")</f>
        <v/>
      </c>
    </row>
    <row r="1517" spans="2:13" x14ac:dyDescent="0.3">
      <c r="B1517" t="str">
        <f>IF(IFERROR(VLOOKUP(TRIM(A1517),Inventory!E:E,1,0),0)=0,"X","_")</f>
        <v>_</v>
      </c>
      <c r="C1517" t="str">
        <f>IF(IFERROR(VLOOKUP(TRIM(A1517),'Full Inventory'!F:F,1,0),0)=0,"X","_")</f>
        <v>X</v>
      </c>
      <c r="D1517" t="str">
        <f t="shared" si="92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F1517" t="str">
        <f t="shared" si="93"/>
        <v>_</v>
      </c>
      <c r="K1517" t="str">
        <f t="shared" ca="1" si="94"/>
        <v>_XX_</v>
      </c>
      <c r="L1517" t="str">
        <f t="shared" ca="1" si="95"/>
        <v/>
      </c>
      <c r="M1517" t="str">
        <f>IFERROR(INDEX(Inventory!A:A,MATCH(Scan!A1517,Inventory!E:E,0)),"")</f>
        <v/>
      </c>
    </row>
    <row r="1518" spans="2:13" x14ac:dyDescent="0.3">
      <c r="B1518" t="str">
        <f>IF(IFERROR(VLOOKUP(TRIM(A1518),Inventory!E:E,1,0),0)=0,"X","_")</f>
        <v>_</v>
      </c>
      <c r="C1518" t="str">
        <f>IF(IFERROR(VLOOKUP(TRIM(A1518),'Full Inventory'!F:F,1,0),0)=0,"X","_")</f>
        <v>X</v>
      </c>
      <c r="D1518" t="str">
        <f t="shared" si="92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F1518" t="str">
        <f t="shared" si="93"/>
        <v>_</v>
      </c>
      <c r="K1518" t="str">
        <f t="shared" ca="1" si="94"/>
        <v>_XX_</v>
      </c>
      <c r="L1518" t="str">
        <f t="shared" ca="1" si="95"/>
        <v/>
      </c>
      <c r="M1518" t="str">
        <f>IFERROR(INDEX(Inventory!A:A,MATCH(Scan!A1518,Inventory!E:E,0)),"")</f>
        <v/>
      </c>
    </row>
    <row r="1519" spans="2:13" x14ac:dyDescent="0.3">
      <c r="B1519" t="str">
        <f>IF(IFERROR(VLOOKUP(TRIM(A1519),Inventory!E:E,1,0),0)=0,"X","_")</f>
        <v>_</v>
      </c>
      <c r="C1519" t="str">
        <f>IF(IFERROR(VLOOKUP(TRIM(A1519),'Full Inventory'!F:F,1,0),0)=0,"X","_")</f>
        <v>X</v>
      </c>
      <c r="D1519" t="str">
        <f t="shared" si="92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F1519" t="str">
        <f t="shared" si="93"/>
        <v>_</v>
      </c>
      <c r="K1519" t="str">
        <f t="shared" ca="1" si="94"/>
        <v>_XX_</v>
      </c>
      <c r="L1519" t="str">
        <f t="shared" ca="1" si="95"/>
        <v/>
      </c>
      <c r="M1519" t="str">
        <f>IFERROR(INDEX(Inventory!A:A,MATCH(Scan!A1519,Inventory!E:E,0)),"")</f>
        <v/>
      </c>
    </row>
    <row r="1520" spans="2:13" x14ac:dyDescent="0.3">
      <c r="B1520" t="str">
        <f>IF(IFERROR(VLOOKUP(TRIM(A1520),Inventory!E:E,1,0),0)=0,"X","_")</f>
        <v>_</v>
      </c>
      <c r="C1520" t="str">
        <f>IF(IFERROR(VLOOKUP(TRIM(A1520),'Full Inventory'!F:F,1,0),0)=0,"X","_")</f>
        <v>X</v>
      </c>
      <c r="D1520" t="str">
        <f t="shared" si="92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F1520" t="str">
        <f t="shared" si="93"/>
        <v>_</v>
      </c>
      <c r="K1520" t="str">
        <f t="shared" ca="1" si="94"/>
        <v>_XX_</v>
      </c>
      <c r="L1520" t="str">
        <f t="shared" ca="1" si="95"/>
        <v/>
      </c>
      <c r="M1520" t="str">
        <f>IFERROR(INDEX(Inventory!A:A,MATCH(Scan!A1520,Inventory!E:E,0)),"")</f>
        <v/>
      </c>
    </row>
    <row r="1521" spans="2:13" x14ac:dyDescent="0.3">
      <c r="B1521" t="str">
        <f>IF(IFERROR(VLOOKUP(TRIM(A1521),Inventory!E:E,1,0),0)=0,"X","_")</f>
        <v>_</v>
      </c>
      <c r="C1521" t="str">
        <f>IF(IFERROR(VLOOKUP(TRIM(A1521),'Full Inventory'!F:F,1,0),0)=0,"X","_")</f>
        <v>X</v>
      </c>
      <c r="D1521" t="str">
        <f t="shared" si="92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F1521" t="str">
        <f t="shared" si="93"/>
        <v>_</v>
      </c>
      <c r="K1521" t="str">
        <f t="shared" ca="1" si="94"/>
        <v>_XX_</v>
      </c>
      <c r="L1521" t="str">
        <f t="shared" ca="1" si="95"/>
        <v/>
      </c>
      <c r="M1521" t="str">
        <f>IFERROR(INDEX(Inventory!A:A,MATCH(Scan!A1521,Inventory!E:E,0)),"")</f>
        <v/>
      </c>
    </row>
    <row r="1522" spans="2:13" x14ac:dyDescent="0.3">
      <c r="B1522" t="str">
        <f>IF(IFERROR(VLOOKUP(TRIM(A1522),Inventory!E:E,1,0),0)=0,"X","_")</f>
        <v>_</v>
      </c>
      <c r="C1522" t="str">
        <f>IF(IFERROR(VLOOKUP(TRIM(A1522),'Full Inventory'!F:F,1,0),0)=0,"X","_")</f>
        <v>X</v>
      </c>
      <c r="D1522" t="str">
        <f t="shared" si="92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F1522" t="str">
        <f t="shared" si="93"/>
        <v>_</v>
      </c>
      <c r="K1522" t="str">
        <f t="shared" ca="1" si="94"/>
        <v>_XX_</v>
      </c>
      <c r="L1522" t="str">
        <f t="shared" ca="1" si="95"/>
        <v/>
      </c>
      <c r="M1522" t="str">
        <f>IFERROR(INDEX(Inventory!A:A,MATCH(Scan!A1522,Inventory!E:E,0)),"")</f>
        <v/>
      </c>
    </row>
    <row r="1523" spans="2:13" x14ac:dyDescent="0.3">
      <c r="B1523" t="str">
        <f>IF(IFERROR(VLOOKUP(TRIM(A1523),Inventory!E:E,1,0),0)=0,"X","_")</f>
        <v>_</v>
      </c>
      <c r="C1523" t="str">
        <f>IF(IFERROR(VLOOKUP(TRIM(A1523),'Full Inventory'!F:F,1,0),0)=0,"X","_")</f>
        <v>X</v>
      </c>
      <c r="D1523" t="str">
        <f t="shared" si="92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F1523" t="str">
        <f t="shared" si="93"/>
        <v>_</v>
      </c>
      <c r="K1523" t="str">
        <f t="shared" ca="1" si="94"/>
        <v>_XX_</v>
      </c>
      <c r="L1523" t="str">
        <f t="shared" ca="1" si="95"/>
        <v/>
      </c>
      <c r="M1523" t="str">
        <f>IFERROR(INDEX(Inventory!A:A,MATCH(Scan!A1523,Inventory!E:E,0)),"")</f>
        <v/>
      </c>
    </row>
    <row r="1524" spans="2:13" x14ac:dyDescent="0.3">
      <c r="B1524" t="str">
        <f>IF(IFERROR(VLOOKUP(TRIM(A1524),Inventory!E:E,1,0),0)=0,"X","_")</f>
        <v>_</v>
      </c>
      <c r="C1524" t="str">
        <f>IF(IFERROR(VLOOKUP(TRIM(A1524),'Full Inventory'!F:F,1,0),0)=0,"X","_")</f>
        <v>X</v>
      </c>
      <c r="D1524" t="str">
        <f t="shared" si="92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F1524" t="str">
        <f t="shared" si="93"/>
        <v>_</v>
      </c>
      <c r="K1524" t="str">
        <f t="shared" ca="1" si="94"/>
        <v>_XX_</v>
      </c>
      <c r="L1524" t="str">
        <f t="shared" ca="1" si="95"/>
        <v/>
      </c>
      <c r="M1524" t="str">
        <f>IFERROR(INDEX(Inventory!A:A,MATCH(Scan!A1524,Inventory!E:E,0)),"")</f>
        <v/>
      </c>
    </row>
    <row r="1525" spans="2:13" x14ac:dyDescent="0.3">
      <c r="B1525" t="str">
        <f>IF(IFERROR(VLOOKUP(TRIM(A1525),Inventory!E:E,1,0),0)=0,"X","_")</f>
        <v>_</v>
      </c>
      <c r="C1525" t="str">
        <f>IF(IFERROR(VLOOKUP(TRIM(A1525),'Full Inventory'!F:F,1,0),0)=0,"X","_")</f>
        <v>X</v>
      </c>
      <c r="D1525" t="str">
        <f t="shared" si="92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F1525" t="str">
        <f t="shared" si="93"/>
        <v>_</v>
      </c>
      <c r="K1525" t="str">
        <f t="shared" ca="1" si="94"/>
        <v>_XX_</v>
      </c>
      <c r="L1525" t="str">
        <f t="shared" ca="1" si="95"/>
        <v/>
      </c>
      <c r="M1525" t="str">
        <f>IFERROR(INDEX(Inventory!A:A,MATCH(Scan!A1525,Inventory!E:E,0)),"")</f>
        <v/>
      </c>
    </row>
    <row r="1526" spans="2:13" x14ac:dyDescent="0.3">
      <c r="B1526" t="str">
        <f>IF(IFERROR(VLOOKUP(TRIM(A1526),Inventory!E:E,1,0),0)=0,"X","_")</f>
        <v>_</v>
      </c>
      <c r="C1526" t="str">
        <f>IF(IFERROR(VLOOKUP(TRIM(A1526),'Full Inventory'!F:F,1,0),0)=0,"X","_")</f>
        <v>X</v>
      </c>
      <c r="D1526" t="str">
        <f t="shared" si="92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F1526" t="str">
        <f t="shared" si="93"/>
        <v>_</v>
      </c>
      <c r="K1526" t="str">
        <f t="shared" ca="1" si="94"/>
        <v>_XX_</v>
      </c>
      <c r="L1526" t="str">
        <f t="shared" ca="1" si="95"/>
        <v/>
      </c>
      <c r="M1526" t="str">
        <f>IFERROR(INDEX(Inventory!A:A,MATCH(Scan!A1526,Inventory!E:E,0)),"")</f>
        <v/>
      </c>
    </row>
    <row r="1527" spans="2:13" x14ac:dyDescent="0.3">
      <c r="B1527" t="str">
        <f>IF(IFERROR(VLOOKUP(TRIM(A1527),Inventory!E:E,1,0),0)=0,"X","_")</f>
        <v>_</v>
      </c>
      <c r="C1527" t="str">
        <f>IF(IFERROR(VLOOKUP(TRIM(A1527),'Full Inventory'!F:F,1,0),0)=0,"X","_")</f>
        <v>X</v>
      </c>
      <c r="D1527" t="str">
        <f t="shared" si="92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F1527" t="str">
        <f t="shared" si="93"/>
        <v>_</v>
      </c>
      <c r="K1527" t="str">
        <f t="shared" ca="1" si="94"/>
        <v>_XX_</v>
      </c>
      <c r="L1527" t="str">
        <f t="shared" ca="1" si="95"/>
        <v/>
      </c>
      <c r="M1527" t="str">
        <f>IFERROR(INDEX(Inventory!A:A,MATCH(Scan!A1527,Inventory!E:E,0)),"")</f>
        <v/>
      </c>
    </row>
    <row r="1528" spans="2:13" x14ac:dyDescent="0.3">
      <c r="B1528" t="str">
        <f>IF(IFERROR(VLOOKUP(TRIM(A1528),Inventory!E:E,1,0),0)=0,"X","_")</f>
        <v>_</v>
      </c>
      <c r="C1528" t="str">
        <f>IF(IFERROR(VLOOKUP(TRIM(A1528),'Full Inventory'!F:F,1,0),0)=0,"X","_")</f>
        <v>X</v>
      </c>
      <c r="D1528" t="str">
        <f t="shared" si="92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F1528" t="str">
        <f t="shared" si="93"/>
        <v>_</v>
      </c>
      <c r="K1528" t="str">
        <f t="shared" ca="1" si="94"/>
        <v>_XX_</v>
      </c>
      <c r="L1528" t="str">
        <f t="shared" ca="1" si="95"/>
        <v/>
      </c>
      <c r="M1528" t="str">
        <f>IFERROR(INDEX(Inventory!A:A,MATCH(Scan!A1528,Inventory!E:E,0)),"")</f>
        <v/>
      </c>
    </row>
    <row r="1529" spans="2:13" x14ac:dyDescent="0.3">
      <c r="B1529" t="str">
        <f>IF(IFERROR(VLOOKUP(TRIM(A1529),Inventory!E:E,1,0),0)=0,"X","_")</f>
        <v>_</v>
      </c>
      <c r="C1529" t="str">
        <f>IF(IFERROR(VLOOKUP(TRIM(A1529),'Full Inventory'!F:F,1,0),0)=0,"X","_")</f>
        <v>X</v>
      </c>
      <c r="D1529" t="str">
        <f t="shared" si="92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F1529" t="str">
        <f t="shared" si="93"/>
        <v>_</v>
      </c>
      <c r="K1529" t="str">
        <f t="shared" ca="1" si="94"/>
        <v>_XX_</v>
      </c>
      <c r="L1529" t="str">
        <f t="shared" ca="1" si="95"/>
        <v/>
      </c>
      <c r="M1529" t="str">
        <f>IFERROR(INDEX(Inventory!A:A,MATCH(Scan!A1529,Inventory!E:E,0)),"")</f>
        <v/>
      </c>
    </row>
    <row r="1530" spans="2:13" x14ac:dyDescent="0.3">
      <c r="B1530" t="str">
        <f>IF(IFERROR(VLOOKUP(TRIM(A1530),Inventory!E:E,1,0),0)=0,"X","_")</f>
        <v>_</v>
      </c>
      <c r="C1530" t="str">
        <f>IF(IFERROR(VLOOKUP(TRIM(A1530),'Full Inventory'!F:F,1,0),0)=0,"X","_")</f>
        <v>X</v>
      </c>
      <c r="D1530" t="str">
        <f t="shared" si="92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F1530" t="str">
        <f t="shared" si="93"/>
        <v>_</v>
      </c>
      <c r="K1530" t="str">
        <f t="shared" ca="1" si="94"/>
        <v>_XX_</v>
      </c>
      <c r="L1530" t="str">
        <f t="shared" ca="1" si="95"/>
        <v/>
      </c>
      <c r="M1530" t="str">
        <f>IFERROR(INDEX(Inventory!A:A,MATCH(Scan!A1530,Inventory!E:E,0)),"")</f>
        <v/>
      </c>
    </row>
    <row r="1531" spans="2:13" x14ac:dyDescent="0.3">
      <c r="B1531" t="str">
        <f>IF(IFERROR(VLOOKUP(TRIM(A1531),Inventory!E:E,1,0),0)=0,"X","_")</f>
        <v>_</v>
      </c>
      <c r="C1531" t="str">
        <f>IF(IFERROR(VLOOKUP(TRIM(A1531),'Full Inventory'!F:F,1,0),0)=0,"X","_")</f>
        <v>X</v>
      </c>
      <c r="D1531" t="str">
        <f t="shared" si="92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F1531" t="str">
        <f t="shared" si="93"/>
        <v>_</v>
      </c>
      <c r="K1531" t="str">
        <f t="shared" ca="1" si="94"/>
        <v>_XX_</v>
      </c>
      <c r="L1531" t="str">
        <f t="shared" ca="1" si="95"/>
        <v/>
      </c>
      <c r="M1531" t="str">
        <f>IFERROR(INDEX(Inventory!A:A,MATCH(Scan!A1531,Inventory!E:E,0)),"")</f>
        <v/>
      </c>
    </row>
    <row r="1532" spans="2:13" x14ac:dyDescent="0.3">
      <c r="B1532" t="str">
        <f>IF(IFERROR(VLOOKUP(TRIM(A1532),Inventory!E:E,1,0),0)=0,"X","_")</f>
        <v>_</v>
      </c>
      <c r="C1532" t="str">
        <f>IF(IFERROR(VLOOKUP(TRIM(A1532),'Full Inventory'!F:F,1,0),0)=0,"X","_")</f>
        <v>X</v>
      </c>
      <c r="D1532" t="str">
        <f t="shared" si="92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F1532" t="str">
        <f t="shared" si="93"/>
        <v>_</v>
      </c>
      <c r="K1532" t="str">
        <f t="shared" ca="1" si="94"/>
        <v>_XX_</v>
      </c>
      <c r="L1532" t="str">
        <f t="shared" ca="1" si="95"/>
        <v/>
      </c>
      <c r="M1532" t="str">
        <f>IFERROR(INDEX(Inventory!A:A,MATCH(Scan!A1532,Inventory!E:E,0)),"")</f>
        <v/>
      </c>
    </row>
    <row r="1533" spans="2:13" x14ac:dyDescent="0.3">
      <c r="B1533" t="str">
        <f>IF(IFERROR(VLOOKUP(TRIM(A1533),Inventory!E:E,1,0),0)=0,"X","_")</f>
        <v>_</v>
      </c>
      <c r="C1533" t="str">
        <f>IF(IFERROR(VLOOKUP(TRIM(A1533),'Full Inventory'!F:F,1,0),0)=0,"X","_")</f>
        <v>X</v>
      </c>
      <c r="D1533" t="str">
        <f t="shared" si="92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F1533" t="str">
        <f t="shared" si="93"/>
        <v>_</v>
      </c>
      <c r="K1533" t="str">
        <f t="shared" ca="1" si="94"/>
        <v>_XX_</v>
      </c>
      <c r="L1533" t="str">
        <f t="shared" ca="1" si="95"/>
        <v/>
      </c>
      <c r="M1533" t="str">
        <f>IFERROR(INDEX(Inventory!A:A,MATCH(Scan!A1533,Inventory!E:E,0)),"")</f>
        <v/>
      </c>
    </row>
    <row r="1534" spans="2:13" x14ac:dyDescent="0.3">
      <c r="B1534" t="str">
        <f>IF(IFERROR(VLOOKUP(TRIM(A1534),Inventory!E:E,1,0),0)=0,"X","_")</f>
        <v>_</v>
      </c>
      <c r="C1534" t="str">
        <f>IF(IFERROR(VLOOKUP(TRIM(A1534),'Full Inventory'!F:F,1,0),0)=0,"X","_")</f>
        <v>X</v>
      </c>
      <c r="D1534" t="str">
        <f t="shared" si="92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F1534" t="str">
        <f t="shared" si="93"/>
        <v>_</v>
      </c>
      <c r="K1534" t="str">
        <f t="shared" ca="1" si="94"/>
        <v>_XX_</v>
      </c>
      <c r="L1534" t="str">
        <f t="shared" ca="1" si="95"/>
        <v/>
      </c>
      <c r="M1534" t="str">
        <f>IFERROR(INDEX(Inventory!A:A,MATCH(Scan!A1534,Inventory!E:E,0)),"")</f>
        <v/>
      </c>
    </row>
    <row r="1535" spans="2:13" x14ac:dyDescent="0.3">
      <c r="B1535" t="str">
        <f>IF(IFERROR(VLOOKUP(TRIM(A1535),Inventory!E:E,1,0),0)=0,"X","_")</f>
        <v>_</v>
      </c>
      <c r="C1535" t="str">
        <f>IF(IFERROR(VLOOKUP(TRIM(A1535),'Full Inventory'!F:F,1,0),0)=0,"X","_")</f>
        <v>X</v>
      </c>
      <c r="D1535" t="str">
        <f t="shared" si="92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F1535" t="str">
        <f t="shared" si="93"/>
        <v>_</v>
      </c>
      <c r="K1535" t="str">
        <f t="shared" ca="1" si="94"/>
        <v>_XX_</v>
      </c>
      <c r="L1535" t="str">
        <f t="shared" ca="1" si="95"/>
        <v/>
      </c>
      <c r="M1535" t="str">
        <f>IFERROR(INDEX(Inventory!A:A,MATCH(Scan!A1535,Inventory!E:E,0)),"")</f>
        <v/>
      </c>
    </row>
    <row r="1536" spans="2:13" x14ac:dyDescent="0.3">
      <c r="B1536" t="str">
        <f>IF(IFERROR(VLOOKUP(TRIM(A1536),Inventory!E:E,1,0),0)=0,"X","_")</f>
        <v>_</v>
      </c>
      <c r="C1536" t="str">
        <f>IF(IFERROR(VLOOKUP(TRIM(A1536),'Full Inventory'!F:F,1,0),0)=0,"X","_")</f>
        <v>X</v>
      </c>
      <c r="D1536" t="str">
        <f t="shared" si="92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F1536" t="str">
        <f t="shared" si="93"/>
        <v>_</v>
      </c>
      <c r="K1536" t="str">
        <f t="shared" ca="1" si="94"/>
        <v>_XX_</v>
      </c>
      <c r="L1536" t="str">
        <f t="shared" ca="1" si="95"/>
        <v/>
      </c>
      <c r="M1536" t="str">
        <f>IFERROR(INDEX(Inventory!A:A,MATCH(Scan!A1536,Inventory!E:E,0)),"")</f>
        <v/>
      </c>
    </row>
    <row r="1537" spans="2:13" x14ac:dyDescent="0.3">
      <c r="B1537" t="str">
        <f>IF(IFERROR(VLOOKUP(TRIM(A1537),Inventory!E:E,1,0),0)=0,"X","_")</f>
        <v>_</v>
      </c>
      <c r="C1537" t="str">
        <f>IF(IFERROR(VLOOKUP(TRIM(A1537),'Full Inventory'!F:F,1,0),0)=0,"X","_")</f>
        <v>X</v>
      </c>
      <c r="D1537" t="str">
        <f t="shared" si="92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F1537" t="str">
        <f t="shared" si="93"/>
        <v>_</v>
      </c>
      <c r="K1537" t="str">
        <f t="shared" ca="1" si="94"/>
        <v>_XX_</v>
      </c>
      <c r="L1537" t="str">
        <f t="shared" ca="1" si="95"/>
        <v/>
      </c>
      <c r="M1537" t="str">
        <f>IFERROR(INDEX(Inventory!A:A,MATCH(Scan!A1537,Inventory!E:E,0)),"")</f>
        <v/>
      </c>
    </row>
    <row r="1538" spans="2:13" x14ac:dyDescent="0.3">
      <c r="B1538" t="str">
        <f>IF(IFERROR(VLOOKUP(TRIM(A1538),Inventory!E:E,1,0),0)=0,"X","_")</f>
        <v>_</v>
      </c>
      <c r="C1538" t="str">
        <f>IF(IFERROR(VLOOKUP(TRIM(A1538),'Full Inventory'!F:F,1,0),0)=0,"X","_")</f>
        <v>X</v>
      </c>
      <c r="D1538" t="str">
        <f t="shared" ref="D1538:D1601" si="96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F1538" t="str">
        <f t="shared" si="93"/>
        <v>_</v>
      </c>
      <c r="K1538" t="str">
        <f t="shared" ca="1" si="94"/>
        <v>_XX_</v>
      </c>
      <c r="L1538" t="str">
        <f t="shared" ca="1" si="95"/>
        <v/>
      </c>
      <c r="M1538" t="str">
        <f>IFERROR(INDEX(Inventory!A:A,MATCH(Scan!A1538,Inventory!E:E,0)),"")</f>
        <v/>
      </c>
    </row>
    <row r="1539" spans="2:13" x14ac:dyDescent="0.3">
      <c r="B1539" t="str">
        <f>IF(IFERROR(VLOOKUP(TRIM(A1539),Inventory!E:E,1,0),0)=0,"X","_")</f>
        <v>_</v>
      </c>
      <c r="C1539" t="str">
        <f>IF(IFERROR(VLOOKUP(TRIM(A1539),'Full Inventory'!F:F,1,0),0)=0,"X","_")</f>
        <v>X</v>
      </c>
      <c r="D1539" t="str">
        <f t="shared" si="96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F1539" t="str">
        <f t="shared" ref="F1539:F1602" si="97">IF(IFERROR(SEARCH("ö",A1539),0)&gt;0,"X","_")</f>
        <v>_</v>
      </c>
      <c r="K1539" t="str">
        <f t="shared" ref="K1539:K1602" ca="1" si="98">B1539&amp;C1539&amp;D1539&amp;E1539</f>
        <v>_XX_</v>
      </c>
      <c r="L1539" t="str">
        <f t="shared" ref="L1539:L1602" ca="1" si="99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3">
      <c r="B1540" t="str">
        <f>IF(IFERROR(VLOOKUP(TRIM(A1540),Inventory!E:E,1,0),0)=0,"X","_")</f>
        <v>_</v>
      </c>
      <c r="C1540" t="str">
        <f>IF(IFERROR(VLOOKUP(TRIM(A1540),'Full Inventory'!F:F,1,0),0)=0,"X","_")</f>
        <v>X</v>
      </c>
      <c r="D1540" t="str">
        <f t="shared" si="96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F1540" t="str">
        <f t="shared" si="97"/>
        <v>_</v>
      </c>
      <c r="K1540" t="str">
        <f t="shared" ca="1" si="98"/>
        <v>_XX_</v>
      </c>
      <c r="L1540" t="str">
        <f t="shared" ca="1" si="99"/>
        <v/>
      </c>
      <c r="M1540" t="str">
        <f>IFERROR(INDEX(Inventory!A:A,MATCH(Scan!A1540,Inventory!E:E,0)),"")</f>
        <v/>
      </c>
    </row>
    <row r="1541" spans="2:13" x14ac:dyDescent="0.3">
      <c r="B1541" t="str">
        <f>IF(IFERROR(VLOOKUP(TRIM(A1541),Inventory!E:E,1,0),0)=0,"X","_")</f>
        <v>_</v>
      </c>
      <c r="C1541" t="str">
        <f>IF(IFERROR(VLOOKUP(TRIM(A1541),'Full Inventory'!F:F,1,0),0)=0,"X","_")</f>
        <v>X</v>
      </c>
      <c r="D1541" t="str">
        <f t="shared" si="96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F1541" t="str">
        <f t="shared" si="97"/>
        <v>_</v>
      </c>
      <c r="K1541" t="str">
        <f t="shared" ca="1" si="98"/>
        <v>_XX_</v>
      </c>
      <c r="L1541" t="str">
        <f t="shared" ca="1" si="99"/>
        <v/>
      </c>
      <c r="M1541" t="str">
        <f>IFERROR(INDEX(Inventory!A:A,MATCH(Scan!A1541,Inventory!E:E,0)),"")</f>
        <v/>
      </c>
    </row>
    <row r="1542" spans="2:13" x14ac:dyDescent="0.3">
      <c r="B1542" t="str">
        <f>IF(IFERROR(VLOOKUP(TRIM(A1542),Inventory!E:E,1,0),0)=0,"X","_")</f>
        <v>_</v>
      </c>
      <c r="C1542" t="str">
        <f>IF(IFERROR(VLOOKUP(TRIM(A1542),'Full Inventory'!F:F,1,0),0)=0,"X","_")</f>
        <v>X</v>
      </c>
      <c r="D1542" t="str">
        <f t="shared" si="96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F1542" t="str">
        <f t="shared" si="97"/>
        <v>_</v>
      </c>
      <c r="K1542" t="str">
        <f t="shared" ca="1" si="98"/>
        <v>_XX_</v>
      </c>
      <c r="L1542" t="str">
        <f t="shared" ca="1" si="99"/>
        <v/>
      </c>
      <c r="M1542" t="str">
        <f>IFERROR(INDEX(Inventory!A:A,MATCH(Scan!A1542,Inventory!E:E,0)),"")</f>
        <v/>
      </c>
    </row>
    <row r="1543" spans="2:13" x14ac:dyDescent="0.3">
      <c r="B1543" t="str">
        <f>IF(IFERROR(VLOOKUP(TRIM(A1543),Inventory!E:E,1,0),0)=0,"X","_")</f>
        <v>_</v>
      </c>
      <c r="C1543" t="str">
        <f>IF(IFERROR(VLOOKUP(TRIM(A1543),'Full Inventory'!F:F,1,0),0)=0,"X","_")</f>
        <v>X</v>
      </c>
      <c r="D1543" t="str">
        <f t="shared" si="96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F1543" t="str">
        <f t="shared" si="97"/>
        <v>_</v>
      </c>
      <c r="K1543" t="str">
        <f t="shared" ca="1" si="98"/>
        <v>_XX_</v>
      </c>
      <c r="L1543" t="str">
        <f t="shared" ca="1" si="99"/>
        <v/>
      </c>
      <c r="M1543" t="str">
        <f>IFERROR(INDEX(Inventory!A:A,MATCH(Scan!A1543,Inventory!E:E,0)),"")</f>
        <v/>
      </c>
    </row>
    <row r="1544" spans="2:13" x14ac:dyDescent="0.3">
      <c r="B1544" t="str">
        <f>IF(IFERROR(VLOOKUP(TRIM(A1544),Inventory!E:E,1,0),0)=0,"X","_")</f>
        <v>_</v>
      </c>
      <c r="C1544" t="str">
        <f>IF(IFERROR(VLOOKUP(TRIM(A1544),'Full Inventory'!F:F,1,0),0)=0,"X","_")</f>
        <v>X</v>
      </c>
      <c r="D1544" t="str">
        <f t="shared" si="96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F1544" t="str">
        <f t="shared" si="97"/>
        <v>_</v>
      </c>
      <c r="K1544" t="str">
        <f t="shared" ca="1" si="98"/>
        <v>_XX_</v>
      </c>
      <c r="L1544" t="str">
        <f t="shared" ca="1" si="99"/>
        <v/>
      </c>
      <c r="M1544" t="str">
        <f>IFERROR(INDEX(Inventory!A:A,MATCH(Scan!A1544,Inventory!E:E,0)),"")</f>
        <v/>
      </c>
    </row>
    <row r="1545" spans="2:13" x14ac:dyDescent="0.3">
      <c r="B1545" t="str">
        <f>IF(IFERROR(VLOOKUP(TRIM(A1545),Inventory!E:E,1,0),0)=0,"X","_")</f>
        <v>_</v>
      </c>
      <c r="C1545" t="str">
        <f>IF(IFERROR(VLOOKUP(TRIM(A1545),'Full Inventory'!F:F,1,0),0)=0,"X","_")</f>
        <v>X</v>
      </c>
      <c r="D1545" t="str">
        <f t="shared" si="96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F1545" t="str">
        <f t="shared" si="97"/>
        <v>_</v>
      </c>
      <c r="K1545" t="str">
        <f t="shared" ca="1" si="98"/>
        <v>_XX_</v>
      </c>
      <c r="L1545" t="str">
        <f t="shared" ca="1" si="99"/>
        <v/>
      </c>
      <c r="M1545" t="str">
        <f>IFERROR(INDEX(Inventory!A:A,MATCH(Scan!A1545,Inventory!E:E,0)),"")</f>
        <v/>
      </c>
    </row>
    <row r="1546" spans="2:13" x14ac:dyDescent="0.3">
      <c r="B1546" t="str">
        <f>IF(IFERROR(VLOOKUP(TRIM(A1546),Inventory!E:E,1,0),0)=0,"X","_")</f>
        <v>_</v>
      </c>
      <c r="C1546" t="str">
        <f>IF(IFERROR(VLOOKUP(TRIM(A1546),'Full Inventory'!F:F,1,0),0)=0,"X","_")</f>
        <v>X</v>
      </c>
      <c r="D1546" t="str">
        <f t="shared" si="96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F1546" t="str">
        <f t="shared" si="97"/>
        <v>_</v>
      </c>
      <c r="K1546" t="str">
        <f t="shared" ca="1" si="98"/>
        <v>_XX_</v>
      </c>
      <c r="L1546" t="str">
        <f t="shared" ca="1" si="99"/>
        <v/>
      </c>
      <c r="M1546" t="str">
        <f>IFERROR(INDEX(Inventory!A:A,MATCH(Scan!A1546,Inventory!E:E,0)),"")</f>
        <v/>
      </c>
    </row>
    <row r="1547" spans="2:13" x14ac:dyDescent="0.3">
      <c r="B1547" t="str">
        <f>IF(IFERROR(VLOOKUP(TRIM(A1547),Inventory!E:E,1,0),0)=0,"X","_")</f>
        <v>_</v>
      </c>
      <c r="C1547" t="str">
        <f>IF(IFERROR(VLOOKUP(TRIM(A1547),'Full Inventory'!F:F,1,0),0)=0,"X","_")</f>
        <v>X</v>
      </c>
      <c r="D1547" t="str">
        <f t="shared" si="96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F1547" t="str">
        <f t="shared" si="97"/>
        <v>_</v>
      </c>
      <c r="K1547" t="str">
        <f t="shared" ca="1" si="98"/>
        <v>_XX_</v>
      </c>
      <c r="L1547" t="str">
        <f t="shared" ca="1" si="99"/>
        <v/>
      </c>
      <c r="M1547" t="str">
        <f>IFERROR(INDEX(Inventory!A:A,MATCH(Scan!A1547,Inventory!E:E,0)),"")</f>
        <v/>
      </c>
    </row>
    <row r="1548" spans="2:13" x14ac:dyDescent="0.3">
      <c r="B1548" t="str">
        <f>IF(IFERROR(VLOOKUP(TRIM(A1548),Inventory!E:E,1,0),0)=0,"X","_")</f>
        <v>_</v>
      </c>
      <c r="C1548" t="str">
        <f>IF(IFERROR(VLOOKUP(TRIM(A1548),'Full Inventory'!F:F,1,0),0)=0,"X","_")</f>
        <v>X</v>
      </c>
      <c r="D1548" t="str">
        <f t="shared" si="96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F1548" t="str">
        <f t="shared" si="97"/>
        <v>_</v>
      </c>
      <c r="K1548" t="str">
        <f t="shared" ca="1" si="98"/>
        <v>_XX_</v>
      </c>
      <c r="L1548" t="str">
        <f t="shared" ca="1" si="99"/>
        <v/>
      </c>
      <c r="M1548" t="str">
        <f>IFERROR(INDEX(Inventory!A:A,MATCH(Scan!A1548,Inventory!E:E,0)),"")</f>
        <v/>
      </c>
    </row>
    <row r="1549" spans="2:13" x14ac:dyDescent="0.3">
      <c r="B1549" t="str">
        <f>IF(IFERROR(VLOOKUP(TRIM(A1549),Inventory!E:E,1,0),0)=0,"X","_")</f>
        <v>_</v>
      </c>
      <c r="C1549" t="str">
        <f>IF(IFERROR(VLOOKUP(TRIM(A1549),'Full Inventory'!F:F,1,0),0)=0,"X","_")</f>
        <v>X</v>
      </c>
      <c r="D1549" t="str">
        <f t="shared" si="96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F1549" t="str">
        <f t="shared" si="97"/>
        <v>_</v>
      </c>
      <c r="K1549" t="str">
        <f t="shared" ca="1" si="98"/>
        <v>_XX_</v>
      </c>
      <c r="L1549" t="str">
        <f t="shared" ca="1" si="99"/>
        <v/>
      </c>
      <c r="M1549" t="str">
        <f>IFERROR(INDEX(Inventory!A:A,MATCH(Scan!A1549,Inventory!E:E,0)),"")</f>
        <v/>
      </c>
    </row>
    <row r="1550" spans="2:13" x14ac:dyDescent="0.3">
      <c r="B1550" t="str">
        <f>IF(IFERROR(VLOOKUP(TRIM(A1550),Inventory!E:E,1,0),0)=0,"X","_")</f>
        <v>_</v>
      </c>
      <c r="C1550" t="str">
        <f>IF(IFERROR(VLOOKUP(TRIM(A1550),'Full Inventory'!F:F,1,0),0)=0,"X","_")</f>
        <v>X</v>
      </c>
      <c r="D1550" t="str">
        <f t="shared" si="96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F1550" t="str">
        <f t="shared" si="97"/>
        <v>_</v>
      </c>
      <c r="K1550" t="str">
        <f t="shared" ca="1" si="98"/>
        <v>_XX_</v>
      </c>
      <c r="L1550" t="str">
        <f t="shared" ca="1" si="99"/>
        <v/>
      </c>
      <c r="M1550" t="str">
        <f>IFERROR(INDEX(Inventory!A:A,MATCH(Scan!A1550,Inventory!E:E,0)),"")</f>
        <v/>
      </c>
    </row>
    <row r="1551" spans="2:13" x14ac:dyDescent="0.3">
      <c r="B1551" t="str">
        <f>IF(IFERROR(VLOOKUP(TRIM(A1551),Inventory!E:E,1,0),0)=0,"X","_")</f>
        <v>_</v>
      </c>
      <c r="C1551" t="str">
        <f>IF(IFERROR(VLOOKUP(TRIM(A1551),'Full Inventory'!F:F,1,0),0)=0,"X","_")</f>
        <v>X</v>
      </c>
      <c r="D1551" t="str">
        <f t="shared" si="96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F1551" t="str">
        <f t="shared" si="97"/>
        <v>_</v>
      </c>
      <c r="K1551" t="str">
        <f t="shared" ca="1" si="98"/>
        <v>_XX_</v>
      </c>
      <c r="L1551" t="str">
        <f t="shared" ca="1" si="99"/>
        <v/>
      </c>
      <c r="M1551" t="str">
        <f>IFERROR(INDEX(Inventory!A:A,MATCH(Scan!A1551,Inventory!E:E,0)),"")</f>
        <v/>
      </c>
    </row>
    <row r="1552" spans="2:13" x14ac:dyDescent="0.3">
      <c r="B1552" t="str">
        <f>IF(IFERROR(VLOOKUP(TRIM(A1552),Inventory!E:E,1,0),0)=0,"X","_")</f>
        <v>_</v>
      </c>
      <c r="C1552" t="str">
        <f>IF(IFERROR(VLOOKUP(TRIM(A1552),'Full Inventory'!F:F,1,0),0)=0,"X","_")</f>
        <v>X</v>
      </c>
      <c r="D1552" t="str">
        <f t="shared" si="96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F1552" t="str">
        <f t="shared" si="97"/>
        <v>_</v>
      </c>
      <c r="K1552" t="str">
        <f t="shared" ca="1" si="98"/>
        <v>_XX_</v>
      </c>
      <c r="L1552" t="str">
        <f t="shared" ca="1" si="99"/>
        <v/>
      </c>
      <c r="M1552" t="str">
        <f>IFERROR(INDEX(Inventory!A:A,MATCH(Scan!A1552,Inventory!E:E,0)),"")</f>
        <v/>
      </c>
    </row>
    <row r="1553" spans="2:13" x14ac:dyDescent="0.3">
      <c r="B1553" t="str">
        <f>IF(IFERROR(VLOOKUP(TRIM(A1553),Inventory!E:E,1,0),0)=0,"X","_")</f>
        <v>_</v>
      </c>
      <c r="C1553" t="str">
        <f>IF(IFERROR(VLOOKUP(TRIM(A1553),'Full Inventory'!F:F,1,0),0)=0,"X","_")</f>
        <v>X</v>
      </c>
      <c r="D1553" t="str">
        <f t="shared" si="96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F1553" t="str">
        <f t="shared" si="97"/>
        <v>_</v>
      </c>
      <c r="K1553" t="str">
        <f t="shared" ca="1" si="98"/>
        <v>_XX_</v>
      </c>
      <c r="L1553" t="str">
        <f t="shared" ca="1" si="99"/>
        <v/>
      </c>
      <c r="M1553" t="str">
        <f>IFERROR(INDEX(Inventory!A:A,MATCH(Scan!A1553,Inventory!E:E,0)),"")</f>
        <v/>
      </c>
    </row>
    <row r="1554" spans="2:13" x14ac:dyDescent="0.3">
      <c r="B1554" t="str">
        <f>IF(IFERROR(VLOOKUP(TRIM(A1554),Inventory!E:E,1,0),0)=0,"X","_")</f>
        <v>_</v>
      </c>
      <c r="C1554" t="str">
        <f>IF(IFERROR(VLOOKUP(TRIM(A1554),'Full Inventory'!F:F,1,0),0)=0,"X","_")</f>
        <v>X</v>
      </c>
      <c r="D1554" t="str">
        <f t="shared" si="96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F1554" t="str">
        <f t="shared" si="97"/>
        <v>_</v>
      </c>
      <c r="K1554" t="str">
        <f t="shared" ca="1" si="98"/>
        <v>_XX_</v>
      </c>
      <c r="L1554" t="str">
        <f t="shared" ca="1" si="99"/>
        <v/>
      </c>
      <c r="M1554" t="str">
        <f>IFERROR(INDEX(Inventory!A:A,MATCH(Scan!A1554,Inventory!E:E,0)),"")</f>
        <v/>
      </c>
    </row>
    <row r="1555" spans="2:13" x14ac:dyDescent="0.3">
      <c r="B1555" t="str">
        <f>IF(IFERROR(VLOOKUP(TRIM(A1555),Inventory!E:E,1,0),0)=0,"X","_")</f>
        <v>_</v>
      </c>
      <c r="C1555" t="str">
        <f>IF(IFERROR(VLOOKUP(TRIM(A1555),'Full Inventory'!F:F,1,0),0)=0,"X","_")</f>
        <v>X</v>
      </c>
      <c r="D1555" t="str">
        <f t="shared" si="96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F1555" t="str">
        <f t="shared" si="97"/>
        <v>_</v>
      </c>
      <c r="K1555" t="str">
        <f t="shared" ca="1" si="98"/>
        <v>_XX_</v>
      </c>
      <c r="L1555" t="str">
        <f t="shared" ca="1" si="99"/>
        <v/>
      </c>
      <c r="M1555" t="str">
        <f>IFERROR(INDEX(Inventory!A:A,MATCH(Scan!A1555,Inventory!E:E,0)),"")</f>
        <v/>
      </c>
    </row>
    <row r="1556" spans="2:13" x14ac:dyDescent="0.3">
      <c r="B1556" t="str">
        <f>IF(IFERROR(VLOOKUP(TRIM(A1556),Inventory!E:E,1,0),0)=0,"X","_")</f>
        <v>_</v>
      </c>
      <c r="C1556" t="str">
        <f>IF(IFERROR(VLOOKUP(TRIM(A1556),'Full Inventory'!F:F,1,0),0)=0,"X","_")</f>
        <v>X</v>
      </c>
      <c r="D1556" t="str">
        <f t="shared" si="96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F1556" t="str">
        <f t="shared" si="97"/>
        <v>_</v>
      </c>
      <c r="K1556" t="str">
        <f t="shared" ca="1" si="98"/>
        <v>_XX_</v>
      </c>
      <c r="L1556" t="str">
        <f t="shared" ca="1" si="99"/>
        <v/>
      </c>
      <c r="M1556" t="str">
        <f>IFERROR(INDEX(Inventory!A:A,MATCH(Scan!A1556,Inventory!E:E,0)),"")</f>
        <v/>
      </c>
    </row>
    <row r="1557" spans="2:13" x14ac:dyDescent="0.3">
      <c r="B1557" t="str">
        <f>IF(IFERROR(VLOOKUP(TRIM(A1557),Inventory!E:E,1,0),0)=0,"X","_")</f>
        <v>_</v>
      </c>
      <c r="C1557" t="str">
        <f>IF(IFERROR(VLOOKUP(TRIM(A1557),'Full Inventory'!F:F,1,0),0)=0,"X","_")</f>
        <v>X</v>
      </c>
      <c r="D1557" t="str">
        <f t="shared" si="96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F1557" t="str">
        <f t="shared" si="97"/>
        <v>_</v>
      </c>
      <c r="K1557" t="str">
        <f t="shared" ca="1" si="98"/>
        <v>_XX_</v>
      </c>
      <c r="L1557" t="str">
        <f t="shared" ca="1" si="99"/>
        <v/>
      </c>
      <c r="M1557" t="str">
        <f>IFERROR(INDEX(Inventory!A:A,MATCH(Scan!A1557,Inventory!E:E,0)),"")</f>
        <v/>
      </c>
    </row>
    <row r="1558" spans="2:13" x14ac:dyDescent="0.3">
      <c r="B1558" t="str">
        <f>IF(IFERROR(VLOOKUP(TRIM(A1558),Inventory!E:E,1,0),0)=0,"X","_")</f>
        <v>_</v>
      </c>
      <c r="C1558" t="str">
        <f>IF(IFERROR(VLOOKUP(TRIM(A1558),'Full Inventory'!F:F,1,0),0)=0,"X","_")</f>
        <v>X</v>
      </c>
      <c r="D1558" t="str">
        <f t="shared" si="96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F1558" t="str">
        <f t="shared" si="97"/>
        <v>_</v>
      </c>
      <c r="K1558" t="str">
        <f t="shared" ca="1" si="98"/>
        <v>_XX_</v>
      </c>
      <c r="L1558" t="str">
        <f t="shared" ca="1" si="99"/>
        <v/>
      </c>
      <c r="M1558" t="str">
        <f>IFERROR(INDEX(Inventory!A:A,MATCH(Scan!A1558,Inventory!E:E,0)),"")</f>
        <v/>
      </c>
    </row>
    <row r="1559" spans="2:13" x14ac:dyDescent="0.3">
      <c r="B1559" t="str">
        <f>IF(IFERROR(VLOOKUP(TRIM(A1559),Inventory!E:E,1,0),0)=0,"X","_")</f>
        <v>_</v>
      </c>
      <c r="C1559" t="str">
        <f>IF(IFERROR(VLOOKUP(TRIM(A1559),'Full Inventory'!F:F,1,0),0)=0,"X","_")</f>
        <v>X</v>
      </c>
      <c r="D1559" t="str">
        <f t="shared" si="96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F1559" t="str">
        <f t="shared" si="97"/>
        <v>_</v>
      </c>
      <c r="K1559" t="str">
        <f t="shared" ca="1" si="98"/>
        <v>_XX_</v>
      </c>
      <c r="L1559" t="str">
        <f t="shared" ca="1" si="99"/>
        <v/>
      </c>
      <c r="M1559" t="str">
        <f>IFERROR(INDEX(Inventory!A:A,MATCH(Scan!A1559,Inventory!E:E,0)),"")</f>
        <v/>
      </c>
    </row>
    <row r="1560" spans="2:13" x14ac:dyDescent="0.3">
      <c r="B1560" t="str">
        <f>IF(IFERROR(VLOOKUP(TRIM(A1560),Inventory!E:E,1,0),0)=0,"X","_")</f>
        <v>_</v>
      </c>
      <c r="C1560" t="str">
        <f>IF(IFERROR(VLOOKUP(TRIM(A1560),'Full Inventory'!F:F,1,0),0)=0,"X","_")</f>
        <v>X</v>
      </c>
      <c r="D1560" t="str">
        <f t="shared" si="96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F1560" t="str">
        <f t="shared" si="97"/>
        <v>_</v>
      </c>
      <c r="K1560" t="str">
        <f t="shared" ca="1" si="98"/>
        <v>_XX_</v>
      </c>
      <c r="L1560" t="str">
        <f t="shared" ca="1" si="99"/>
        <v/>
      </c>
      <c r="M1560" t="str">
        <f>IFERROR(INDEX(Inventory!A:A,MATCH(Scan!A1560,Inventory!E:E,0)),"")</f>
        <v/>
      </c>
    </row>
    <row r="1561" spans="2:13" x14ac:dyDescent="0.3">
      <c r="B1561" t="str">
        <f>IF(IFERROR(VLOOKUP(TRIM(A1561),Inventory!E:E,1,0),0)=0,"X","_")</f>
        <v>_</v>
      </c>
      <c r="C1561" t="str">
        <f>IF(IFERROR(VLOOKUP(TRIM(A1561),'Full Inventory'!F:F,1,0),0)=0,"X","_")</f>
        <v>X</v>
      </c>
      <c r="D1561" t="str">
        <f t="shared" si="96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F1561" t="str">
        <f t="shared" si="97"/>
        <v>_</v>
      </c>
      <c r="K1561" t="str">
        <f t="shared" ca="1" si="98"/>
        <v>_XX_</v>
      </c>
      <c r="L1561" t="str">
        <f t="shared" ca="1" si="99"/>
        <v/>
      </c>
      <c r="M1561" t="str">
        <f>IFERROR(INDEX(Inventory!A:A,MATCH(Scan!A1561,Inventory!E:E,0)),"")</f>
        <v/>
      </c>
    </row>
    <row r="1562" spans="2:13" x14ac:dyDescent="0.3">
      <c r="B1562" t="str">
        <f>IF(IFERROR(VLOOKUP(TRIM(A1562),Inventory!E:E,1,0),0)=0,"X","_")</f>
        <v>_</v>
      </c>
      <c r="C1562" t="str">
        <f>IF(IFERROR(VLOOKUP(TRIM(A1562),'Full Inventory'!F:F,1,0),0)=0,"X","_")</f>
        <v>X</v>
      </c>
      <c r="D1562" t="str">
        <f t="shared" si="96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F1562" t="str">
        <f t="shared" si="97"/>
        <v>_</v>
      </c>
      <c r="K1562" t="str">
        <f t="shared" ca="1" si="98"/>
        <v>_XX_</v>
      </c>
      <c r="L1562" t="str">
        <f t="shared" ca="1" si="99"/>
        <v/>
      </c>
      <c r="M1562" t="str">
        <f>IFERROR(INDEX(Inventory!A:A,MATCH(Scan!A1562,Inventory!E:E,0)),"")</f>
        <v/>
      </c>
    </row>
    <row r="1563" spans="2:13" x14ac:dyDescent="0.3">
      <c r="B1563" t="str">
        <f>IF(IFERROR(VLOOKUP(TRIM(A1563),Inventory!E:E,1,0),0)=0,"X","_")</f>
        <v>_</v>
      </c>
      <c r="C1563" t="str">
        <f>IF(IFERROR(VLOOKUP(TRIM(A1563),'Full Inventory'!F:F,1,0),0)=0,"X","_")</f>
        <v>X</v>
      </c>
      <c r="D1563" t="str">
        <f t="shared" si="96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F1563" t="str">
        <f t="shared" si="97"/>
        <v>_</v>
      </c>
      <c r="K1563" t="str">
        <f t="shared" ca="1" si="98"/>
        <v>_XX_</v>
      </c>
      <c r="L1563" t="str">
        <f t="shared" ca="1" si="99"/>
        <v/>
      </c>
      <c r="M1563" t="str">
        <f>IFERROR(INDEX(Inventory!A:A,MATCH(Scan!A1563,Inventory!E:E,0)),"")</f>
        <v/>
      </c>
    </row>
    <row r="1564" spans="2:13" x14ac:dyDescent="0.3">
      <c r="B1564" t="str">
        <f>IF(IFERROR(VLOOKUP(TRIM(A1564),Inventory!E:E,1,0),0)=0,"X","_")</f>
        <v>_</v>
      </c>
      <c r="C1564" t="str">
        <f>IF(IFERROR(VLOOKUP(TRIM(A1564),'Full Inventory'!F:F,1,0),0)=0,"X","_")</f>
        <v>X</v>
      </c>
      <c r="D1564" t="str">
        <f t="shared" si="96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F1564" t="str">
        <f t="shared" si="97"/>
        <v>_</v>
      </c>
      <c r="K1564" t="str">
        <f t="shared" ca="1" si="98"/>
        <v>_XX_</v>
      </c>
      <c r="L1564" t="str">
        <f t="shared" ca="1" si="99"/>
        <v/>
      </c>
      <c r="M1564" t="str">
        <f>IFERROR(INDEX(Inventory!A:A,MATCH(Scan!A1564,Inventory!E:E,0)),"")</f>
        <v/>
      </c>
    </row>
    <row r="1565" spans="2:13" x14ac:dyDescent="0.3">
      <c r="B1565" t="str">
        <f>IF(IFERROR(VLOOKUP(TRIM(A1565),Inventory!E:E,1,0),0)=0,"X","_")</f>
        <v>_</v>
      </c>
      <c r="C1565" t="str">
        <f>IF(IFERROR(VLOOKUP(TRIM(A1565),'Full Inventory'!F:F,1,0),0)=0,"X","_")</f>
        <v>X</v>
      </c>
      <c r="D1565" t="str">
        <f t="shared" si="96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F1565" t="str">
        <f t="shared" si="97"/>
        <v>_</v>
      </c>
      <c r="K1565" t="str">
        <f t="shared" ca="1" si="98"/>
        <v>_XX_</v>
      </c>
      <c r="L1565" t="str">
        <f t="shared" ca="1" si="99"/>
        <v/>
      </c>
      <c r="M1565" t="str">
        <f>IFERROR(INDEX(Inventory!A:A,MATCH(Scan!A1565,Inventory!E:E,0)),"")</f>
        <v/>
      </c>
    </row>
    <row r="1566" spans="2:13" x14ac:dyDescent="0.3">
      <c r="B1566" t="str">
        <f>IF(IFERROR(VLOOKUP(TRIM(A1566),Inventory!E:E,1,0),0)=0,"X","_")</f>
        <v>_</v>
      </c>
      <c r="C1566" t="str">
        <f>IF(IFERROR(VLOOKUP(TRIM(A1566),'Full Inventory'!F:F,1,0),0)=0,"X","_")</f>
        <v>X</v>
      </c>
      <c r="D1566" t="str">
        <f t="shared" si="96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F1566" t="str">
        <f t="shared" si="97"/>
        <v>_</v>
      </c>
      <c r="K1566" t="str">
        <f t="shared" ca="1" si="98"/>
        <v>_XX_</v>
      </c>
      <c r="L1566" t="str">
        <f t="shared" ca="1" si="99"/>
        <v/>
      </c>
      <c r="M1566" t="str">
        <f>IFERROR(INDEX(Inventory!A:A,MATCH(Scan!A1566,Inventory!E:E,0)),"")</f>
        <v/>
      </c>
    </row>
    <row r="1567" spans="2:13" x14ac:dyDescent="0.3">
      <c r="B1567" t="str">
        <f>IF(IFERROR(VLOOKUP(TRIM(A1567),Inventory!E:E,1,0),0)=0,"X","_")</f>
        <v>_</v>
      </c>
      <c r="C1567" t="str">
        <f>IF(IFERROR(VLOOKUP(TRIM(A1567),'Full Inventory'!F:F,1,0),0)=0,"X","_")</f>
        <v>X</v>
      </c>
      <c r="D1567" t="str">
        <f t="shared" si="96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F1567" t="str">
        <f t="shared" si="97"/>
        <v>_</v>
      </c>
      <c r="K1567" t="str">
        <f t="shared" ca="1" si="98"/>
        <v>_XX_</v>
      </c>
      <c r="L1567" t="str">
        <f t="shared" ca="1" si="99"/>
        <v/>
      </c>
      <c r="M1567" t="str">
        <f>IFERROR(INDEX(Inventory!A:A,MATCH(Scan!A1567,Inventory!E:E,0)),"")</f>
        <v/>
      </c>
    </row>
    <row r="1568" spans="2:13" x14ac:dyDescent="0.3">
      <c r="B1568" t="str">
        <f>IF(IFERROR(VLOOKUP(TRIM(A1568),Inventory!E:E,1,0),0)=0,"X","_")</f>
        <v>_</v>
      </c>
      <c r="C1568" t="str">
        <f>IF(IFERROR(VLOOKUP(TRIM(A1568),'Full Inventory'!F:F,1,0),0)=0,"X","_")</f>
        <v>X</v>
      </c>
      <c r="D1568" t="str">
        <f t="shared" si="96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F1568" t="str">
        <f t="shared" si="97"/>
        <v>_</v>
      </c>
      <c r="K1568" t="str">
        <f t="shared" ca="1" si="98"/>
        <v>_XX_</v>
      </c>
      <c r="L1568" t="str">
        <f t="shared" ca="1" si="99"/>
        <v/>
      </c>
      <c r="M1568" t="str">
        <f>IFERROR(INDEX(Inventory!A:A,MATCH(Scan!A1568,Inventory!E:E,0)),"")</f>
        <v/>
      </c>
    </row>
    <row r="1569" spans="2:13" x14ac:dyDescent="0.3">
      <c r="B1569" t="str">
        <f>IF(IFERROR(VLOOKUP(TRIM(A1569),Inventory!E:E,1,0),0)=0,"X","_")</f>
        <v>_</v>
      </c>
      <c r="C1569" t="str">
        <f>IF(IFERROR(VLOOKUP(TRIM(A1569),'Full Inventory'!F:F,1,0),0)=0,"X","_")</f>
        <v>X</v>
      </c>
      <c r="D1569" t="str">
        <f t="shared" si="96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F1569" t="str">
        <f t="shared" si="97"/>
        <v>_</v>
      </c>
      <c r="K1569" t="str">
        <f t="shared" ca="1" si="98"/>
        <v>_XX_</v>
      </c>
      <c r="L1569" t="str">
        <f t="shared" ca="1" si="99"/>
        <v/>
      </c>
      <c r="M1569" t="str">
        <f>IFERROR(INDEX(Inventory!A:A,MATCH(Scan!A1569,Inventory!E:E,0)),"")</f>
        <v/>
      </c>
    </row>
    <row r="1570" spans="2:13" x14ac:dyDescent="0.3">
      <c r="B1570" t="str">
        <f>IF(IFERROR(VLOOKUP(TRIM(A1570),Inventory!E:E,1,0),0)=0,"X","_")</f>
        <v>_</v>
      </c>
      <c r="C1570" t="str">
        <f>IF(IFERROR(VLOOKUP(TRIM(A1570),'Full Inventory'!F:F,1,0),0)=0,"X","_")</f>
        <v>X</v>
      </c>
      <c r="D1570" t="str">
        <f t="shared" si="96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F1570" t="str">
        <f t="shared" si="97"/>
        <v>_</v>
      </c>
      <c r="K1570" t="str">
        <f t="shared" ca="1" si="98"/>
        <v>_XX_</v>
      </c>
      <c r="L1570" t="str">
        <f t="shared" ca="1" si="99"/>
        <v/>
      </c>
      <c r="M1570" t="str">
        <f>IFERROR(INDEX(Inventory!A:A,MATCH(Scan!A1570,Inventory!E:E,0)),"")</f>
        <v/>
      </c>
    </row>
    <row r="1571" spans="2:13" x14ac:dyDescent="0.3">
      <c r="B1571" t="str">
        <f>IF(IFERROR(VLOOKUP(TRIM(A1571),Inventory!E:E,1,0),0)=0,"X","_")</f>
        <v>_</v>
      </c>
      <c r="C1571" t="str">
        <f>IF(IFERROR(VLOOKUP(TRIM(A1571),'Full Inventory'!F:F,1,0),0)=0,"X","_")</f>
        <v>X</v>
      </c>
      <c r="D1571" t="str">
        <f t="shared" si="96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F1571" t="str">
        <f t="shared" si="97"/>
        <v>_</v>
      </c>
      <c r="K1571" t="str">
        <f t="shared" ca="1" si="98"/>
        <v>_XX_</v>
      </c>
      <c r="L1571" t="str">
        <f t="shared" ca="1" si="99"/>
        <v/>
      </c>
      <c r="M1571" t="str">
        <f>IFERROR(INDEX(Inventory!A:A,MATCH(Scan!A1571,Inventory!E:E,0)),"")</f>
        <v/>
      </c>
    </row>
    <row r="1572" spans="2:13" x14ac:dyDescent="0.3">
      <c r="B1572" t="str">
        <f>IF(IFERROR(VLOOKUP(TRIM(A1572),Inventory!E:E,1,0),0)=0,"X","_")</f>
        <v>_</v>
      </c>
      <c r="C1572" t="str">
        <f>IF(IFERROR(VLOOKUP(TRIM(A1572),'Full Inventory'!F:F,1,0),0)=0,"X","_")</f>
        <v>X</v>
      </c>
      <c r="D1572" t="str">
        <f t="shared" si="96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F1572" t="str">
        <f t="shared" si="97"/>
        <v>_</v>
      </c>
      <c r="K1572" t="str">
        <f t="shared" ca="1" si="98"/>
        <v>_XX_</v>
      </c>
      <c r="L1572" t="str">
        <f t="shared" ca="1" si="99"/>
        <v/>
      </c>
      <c r="M1572" t="str">
        <f>IFERROR(INDEX(Inventory!A:A,MATCH(Scan!A1572,Inventory!E:E,0)),"")</f>
        <v/>
      </c>
    </row>
    <row r="1573" spans="2:13" x14ac:dyDescent="0.3">
      <c r="B1573" t="str">
        <f>IF(IFERROR(VLOOKUP(TRIM(A1573),Inventory!E:E,1,0),0)=0,"X","_")</f>
        <v>_</v>
      </c>
      <c r="C1573" t="str">
        <f>IF(IFERROR(VLOOKUP(TRIM(A1573),'Full Inventory'!F:F,1,0),0)=0,"X","_")</f>
        <v>X</v>
      </c>
      <c r="D1573" t="str">
        <f t="shared" si="96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F1573" t="str">
        <f t="shared" si="97"/>
        <v>_</v>
      </c>
      <c r="K1573" t="str">
        <f t="shared" ca="1" si="98"/>
        <v>_XX_</v>
      </c>
      <c r="L1573" t="str">
        <f t="shared" ca="1" si="99"/>
        <v/>
      </c>
      <c r="M1573" t="str">
        <f>IFERROR(INDEX(Inventory!A:A,MATCH(Scan!A1573,Inventory!E:E,0)),"")</f>
        <v/>
      </c>
    </row>
    <row r="1574" spans="2:13" x14ac:dyDescent="0.3">
      <c r="B1574" t="str">
        <f>IF(IFERROR(VLOOKUP(TRIM(A1574),Inventory!E:E,1,0),0)=0,"X","_")</f>
        <v>_</v>
      </c>
      <c r="C1574" t="str">
        <f>IF(IFERROR(VLOOKUP(TRIM(A1574),'Full Inventory'!F:F,1,0),0)=0,"X","_")</f>
        <v>X</v>
      </c>
      <c r="D1574" t="str">
        <f t="shared" si="96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F1574" t="str">
        <f t="shared" si="97"/>
        <v>_</v>
      </c>
      <c r="K1574" t="str">
        <f t="shared" ca="1" si="98"/>
        <v>_XX_</v>
      </c>
      <c r="L1574" t="str">
        <f t="shared" ca="1" si="99"/>
        <v/>
      </c>
      <c r="M1574" t="str">
        <f>IFERROR(INDEX(Inventory!A:A,MATCH(Scan!A1574,Inventory!E:E,0)),"")</f>
        <v/>
      </c>
    </row>
    <row r="1575" spans="2:13" x14ac:dyDescent="0.3">
      <c r="B1575" t="str">
        <f>IF(IFERROR(VLOOKUP(TRIM(A1575),Inventory!E:E,1,0),0)=0,"X","_")</f>
        <v>_</v>
      </c>
      <c r="C1575" t="str">
        <f>IF(IFERROR(VLOOKUP(TRIM(A1575),'Full Inventory'!F:F,1,0),0)=0,"X","_")</f>
        <v>X</v>
      </c>
      <c r="D1575" t="str">
        <f t="shared" si="96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F1575" t="str">
        <f t="shared" si="97"/>
        <v>_</v>
      </c>
      <c r="K1575" t="str">
        <f t="shared" ca="1" si="98"/>
        <v>_XX_</v>
      </c>
      <c r="L1575" t="str">
        <f t="shared" ca="1" si="99"/>
        <v/>
      </c>
      <c r="M1575" t="str">
        <f>IFERROR(INDEX(Inventory!A:A,MATCH(Scan!A1575,Inventory!E:E,0)),"")</f>
        <v/>
      </c>
    </row>
    <row r="1576" spans="2:13" x14ac:dyDescent="0.3">
      <c r="B1576" t="str">
        <f>IF(IFERROR(VLOOKUP(TRIM(A1576),Inventory!E:E,1,0),0)=0,"X","_")</f>
        <v>_</v>
      </c>
      <c r="C1576" t="str">
        <f>IF(IFERROR(VLOOKUP(TRIM(A1576),'Full Inventory'!F:F,1,0),0)=0,"X","_")</f>
        <v>X</v>
      </c>
      <c r="D1576" t="str">
        <f t="shared" si="96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F1576" t="str">
        <f t="shared" si="97"/>
        <v>_</v>
      </c>
      <c r="K1576" t="str">
        <f t="shared" ca="1" si="98"/>
        <v>_XX_</v>
      </c>
      <c r="L1576" t="str">
        <f t="shared" ca="1" si="99"/>
        <v/>
      </c>
      <c r="M1576" t="str">
        <f>IFERROR(INDEX(Inventory!A:A,MATCH(Scan!A1576,Inventory!E:E,0)),"")</f>
        <v/>
      </c>
    </row>
    <row r="1577" spans="2:13" x14ac:dyDescent="0.3">
      <c r="B1577" t="str">
        <f>IF(IFERROR(VLOOKUP(TRIM(A1577),Inventory!E:E,1,0),0)=0,"X","_")</f>
        <v>_</v>
      </c>
      <c r="C1577" t="str">
        <f>IF(IFERROR(VLOOKUP(TRIM(A1577),'Full Inventory'!F:F,1,0),0)=0,"X","_")</f>
        <v>X</v>
      </c>
      <c r="D1577" t="str">
        <f t="shared" si="96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F1577" t="str">
        <f t="shared" si="97"/>
        <v>_</v>
      </c>
      <c r="K1577" t="str">
        <f t="shared" ca="1" si="98"/>
        <v>_XX_</v>
      </c>
      <c r="L1577" t="str">
        <f t="shared" ca="1" si="99"/>
        <v/>
      </c>
      <c r="M1577" t="str">
        <f>IFERROR(INDEX(Inventory!A:A,MATCH(Scan!A1577,Inventory!E:E,0)),"")</f>
        <v/>
      </c>
    </row>
    <row r="1578" spans="2:13" x14ac:dyDescent="0.3">
      <c r="B1578" t="str">
        <f>IF(IFERROR(VLOOKUP(TRIM(A1578),Inventory!E:E,1,0),0)=0,"X","_")</f>
        <v>_</v>
      </c>
      <c r="C1578" t="str">
        <f>IF(IFERROR(VLOOKUP(TRIM(A1578),'Full Inventory'!F:F,1,0),0)=0,"X","_")</f>
        <v>X</v>
      </c>
      <c r="D1578" t="str">
        <f t="shared" si="96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F1578" t="str">
        <f t="shared" si="97"/>
        <v>_</v>
      </c>
      <c r="K1578" t="str">
        <f t="shared" ca="1" si="98"/>
        <v>_XX_</v>
      </c>
      <c r="L1578" t="str">
        <f t="shared" ca="1" si="99"/>
        <v/>
      </c>
      <c r="M1578" t="str">
        <f>IFERROR(INDEX(Inventory!A:A,MATCH(Scan!A1578,Inventory!E:E,0)),"")</f>
        <v/>
      </c>
    </row>
    <row r="1579" spans="2:13" x14ac:dyDescent="0.3">
      <c r="B1579" t="str">
        <f>IF(IFERROR(VLOOKUP(TRIM(A1579),Inventory!E:E,1,0),0)=0,"X","_")</f>
        <v>_</v>
      </c>
      <c r="C1579" t="str">
        <f>IF(IFERROR(VLOOKUP(TRIM(A1579),'Full Inventory'!F:F,1,0),0)=0,"X","_")</f>
        <v>X</v>
      </c>
      <c r="D1579" t="str">
        <f t="shared" si="96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F1579" t="str">
        <f t="shared" si="97"/>
        <v>_</v>
      </c>
      <c r="K1579" t="str">
        <f t="shared" ca="1" si="98"/>
        <v>_XX_</v>
      </c>
      <c r="L1579" t="str">
        <f t="shared" ca="1" si="99"/>
        <v/>
      </c>
      <c r="M1579" t="str">
        <f>IFERROR(INDEX(Inventory!A:A,MATCH(Scan!A1579,Inventory!E:E,0)),"")</f>
        <v/>
      </c>
    </row>
    <row r="1580" spans="2:13" x14ac:dyDescent="0.3">
      <c r="B1580" t="str">
        <f>IF(IFERROR(VLOOKUP(TRIM(A1580),Inventory!E:E,1,0),0)=0,"X","_")</f>
        <v>_</v>
      </c>
      <c r="C1580" t="str">
        <f>IF(IFERROR(VLOOKUP(TRIM(A1580),'Full Inventory'!F:F,1,0),0)=0,"X","_")</f>
        <v>X</v>
      </c>
      <c r="D1580" t="str">
        <f t="shared" si="96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F1580" t="str">
        <f t="shared" si="97"/>
        <v>_</v>
      </c>
      <c r="K1580" t="str">
        <f t="shared" ca="1" si="98"/>
        <v>_XX_</v>
      </c>
      <c r="L1580" t="str">
        <f t="shared" ca="1" si="99"/>
        <v/>
      </c>
      <c r="M1580" t="str">
        <f>IFERROR(INDEX(Inventory!A:A,MATCH(Scan!A1580,Inventory!E:E,0)),"")</f>
        <v/>
      </c>
    </row>
    <row r="1581" spans="2:13" x14ac:dyDescent="0.3">
      <c r="B1581" t="str">
        <f>IF(IFERROR(VLOOKUP(TRIM(A1581),Inventory!E:E,1,0),0)=0,"X","_")</f>
        <v>_</v>
      </c>
      <c r="C1581" t="str">
        <f>IF(IFERROR(VLOOKUP(TRIM(A1581),'Full Inventory'!F:F,1,0),0)=0,"X","_")</f>
        <v>X</v>
      </c>
      <c r="D1581" t="str">
        <f t="shared" si="96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F1581" t="str">
        <f t="shared" si="97"/>
        <v>_</v>
      </c>
      <c r="K1581" t="str">
        <f t="shared" ca="1" si="98"/>
        <v>_XX_</v>
      </c>
      <c r="L1581" t="str">
        <f t="shared" ca="1" si="99"/>
        <v/>
      </c>
      <c r="M1581" t="str">
        <f>IFERROR(INDEX(Inventory!A:A,MATCH(Scan!A1581,Inventory!E:E,0)),"")</f>
        <v/>
      </c>
    </row>
    <row r="1582" spans="2:13" x14ac:dyDescent="0.3">
      <c r="B1582" t="str">
        <f>IF(IFERROR(VLOOKUP(TRIM(A1582),Inventory!E:E,1,0),0)=0,"X","_")</f>
        <v>_</v>
      </c>
      <c r="C1582" t="str">
        <f>IF(IFERROR(VLOOKUP(TRIM(A1582),'Full Inventory'!F:F,1,0),0)=0,"X","_")</f>
        <v>X</v>
      </c>
      <c r="D1582" t="str">
        <f t="shared" si="96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F1582" t="str">
        <f t="shared" si="97"/>
        <v>_</v>
      </c>
      <c r="K1582" t="str">
        <f t="shared" ca="1" si="98"/>
        <v>_XX_</v>
      </c>
      <c r="L1582" t="str">
        <f t="shared" ca="1" si="99"/>
        <v/>
      </c>
      <c r="M1582" t="str">
        <f>IFERROR(INDEX(Inventory!A:A,MATCH(Scan!A1582,Inventory!E:E,0)),"")</f>
        <v/>
      </c>
    </row>
    <row r="1583" spans="2:13" x14ac:dyDescent="0.3">
      <c r="B1583" t="str">
        <f>IF(IFERROR(VLOOKUP(TRIM(A1583),Inventory!E:E,1,0),0)=0,"X","_")</f>
        <v>_</v>
      </c>
      <c r="C1583" t="str">
        <f>IF(IFERROR(VLOOKUP(TRIM(A1583),'Full Inventory'!F:F,1,0),0)=0,"X","_")</f>
        <v>X</v>
      </c>
      <c r="D1583" t="str">
        <f t="shared" si="96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F1583" t="str">
        <f t="shared" si="97"/>
        <v>_</v>
      </c>
      <c r="K1583" t="str">
        <f t="shared" ca="1" si="98"/>
        <v>_XX_</v>
      </c>
      <c r="L1583" t="str">
        <f t="shared" ca="1" si="99"/>
        <v/>
      </c>
      <c r="M1583" t="str">
        <f>IFERROR(INDEX(Inventory!A:A,MATCH(Scan!A1583,Inventory!E:E,0)),"")</f>
        <v/>
      </c>
    </row>
    <row r="1584" spans="2:13" x14ac:dyDescent="0.3">
      <c r="B1584" t="str">
        <f>IF(IFERROR(VLOOKUP(TRIM(A1584),Inventory!E:E,1,0),0)=0,"X","_")</f>
        <v>_</v>
      </c>
      <c r="C1584" t="str">
        <f>IF(IFERROR(VLOOKUP(TRIM(A1584),'Full Inventory'!F:F,1,0),0)=0,"X","_")</f>
        <v>X</v>
      </c>
      <c r="D1584" t="str">
        <f t="shared" si="96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F1584" t="str">
        <f t="shared" si="97"/>
        <v>_</v>
      </c>
      <c r="K1584" t="str">
        <f t="shared" ca="1" si="98"/>
        <v>_XX_</v>
      </c>
      <c r="L1584" t="str">
        <f t="shared" ca="1" si="99"/>
        <v/>
      </c>
      <c r="M1584" t="str">
        <f>IFERROR(INDEX(Inventory!A:A,MATCH(Scan!A1584,Inventory!E:E,0)),"")</f>
        <v/>
      </c>
    </row>
    <row r="1585" spans="2:13" x14ac:dyDescent="0.3">
      <c r="B1585" t="str">
        <f>IF(IFERROR(VLOOKUP(TRIM(A1585),Inventory!E:E,1,0),0)=0,"X","_")</f>
        <v>_</v>
      </c>
      <c r="C1585" t="str">
        <f>IF(IFERROR(VLOOKUP(TRIM(A1585),'Full Inventory'!F:F,1,0),0)=0,"X","_")</f>
        <v>X</v>
      </c>
      <c r="D1585" t="str">
        <f t="shared" si="96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F1585" t="str">
        <f t="shared" si="97"/>
        <v>_</v>
      </c>
      <c r="K1585" t="str">
        <f t="shared" ca="1" si="98"/>
        <v>_XX_</v>
      </c>
      <c r="L1585" t="str">
        <f t="shared" ca="1" si="99"/>
        <v/>
      </c>
      <c r="M1585" t="str">
        <f>IFERROR(INDEX(Inventory!A:A,MATCH(Scan!A1585,Inventory!E:E,0)),"")</f>
        <v/>
      </c>
    </row>
    <row r="1586" spans="2:13" x14ac:dyDescent="0.3">
      <c r="B1586" t="str">
        <f>IF(IFERROR(VLOOKUP(TRIM(A1586),Inventory!E:E,1,0),0)=0,"X","_")</f>
        <v>_</v>
      </c>
      <c r="C1586" t="str">
        <f>IF(IFERROR(VLOOKUP(TRIM(A1586),'Full Inventory'!F:F,1,0),0)=0,"X","_")</f>
        <v>X</v>
      </c>
      <c r="D1586" t="str">
        <f t="shared" si="96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F1586" t="str">
        <f t="shared" si="97"/>
        <v>_</v>
      </c>
      <c r="K1586" t="str">
        <f t="shared" ca="1" si="98"/>
        <v>_XX_</v>
      </c>
      <c r="L1586" t="str">
        <f t="shared" ca="1" si="99"/>
        <v/>
      </c>
      <c r="M1586" t="str">
        <f>IFERROR(INDEX(Inventory!A:A,MATCH(Scan!A1586,Inventory!E:E,0)),"")</f>
        <v/>
      </c>
    </row>
    <row r="1587" spans="2:13" x14ac:dyDescent="0.3">
      <c r="B1587" t="str">
        <f>IF(IFERROR(VLOOKUP(TRIM(A1587),Inventory!E:E,1,0),0)=0,"X","_")</f>
        <v>_</v>
      </c>
      <c r="C1587" t="str">
        <f>IF(IFERROR(VLOOKUP(TRIM(A1587),'Full Inventory'!F:F,1,0),0)=0,"X","_")</f>
        <v>X</v>
      </c>
      <c r="D1587" t="str">
        <f t="shared" si="96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F1587" t="str">
        <f t="shared" si="97"/>
        <v>_</v>
      </c>
      <c r="K1587" t="str">
        <f t="shared" ca="1" si="98"/>
        <v>_XX_</v>
      </c>
      <c r="L1587" t="str">
        <f t="shared" ca="1" si="99"/>
        <v/>
      </c>
      <c r="M1587" t="str">
        <f>IFERROR(INDEX(Inventory!A:A,MATCH(Scan!A1587,Inventory!E:E,0)),"")</f>
        <v/>
      </c>
    </row>
    <row r="1588" spans="2:13" x14ac:dyDescent="0.3">
      <c r="B1588" t="str">
        <f>IF(IFERROR(VLOOKUP(TRIM(A1588),Inventory!E:E,1,0),0)=0,"X","_")</f>
        <v>_</v>
      </c>
      <c r="C1588" t="str">
        <f>IF(IFERROR(VLOOKUP(TRIM(A1588),'Full Inventory'!F:F,1,0),0)=0,"X","_")</f>
        <v>X</v>
      </c>
      <c r="D1588" t="str">
        <f t="shared" si="96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F1588" t="str">
        <f t="shared" si="97"/>
        <v>_</v>
      </c>
      <c r="K1588" t="str">
        <f t="shared" ca="1" si="98"/>
        <v>_XX_</v>
      </c>
      <c r="L1588" t="str">
        <f t="shared" ca="1" si="99"/>
        <v/>
      </c>
      <c r="M1588" t="str">
        <f>IFERROR(INDEX(Inventory!A:A,MATCH(Scan!A1588,Inventory!E:E,0)),"")</f>
        <v/>
      </c>
    </row>
    <row r="1589" spans="2:13" x14ac:dyDescent="0.3">
      <c r="B1589" t="str">
        <f>IF(IFERROR(VLOOKUP(TRIM(A1589),Inventory!E:E,1,0),0)=0,"X","_")</f>
        <v>_</v>
      </c>
      <c r="C1589" t="str">
        <f>IF(IFERROR(VLOOKUP(TRIM(A1589),'Full Inventory'!F:F,1,0),0)=0,"X","_")</f>
        <v>X</v>
      </c>
      <c r="D1589" t="str">
        <f t="shared" si="96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F1589" t="str">
        <f t="shared" si="97"/>
        <v>_</v>
      </c>
      <c r="K1589" t="str">
        <f t="shared" ca="1" si="98"/>
        <v>_XX_</v>
      </c>
      <c r="L1589" t="str">
        <f t="shared" ca="1" si="99"/>
        <v/>
      </c>
      <c r="M1589" t="str">
        <f>IFERROR(INDEX(Inventory!A:A,MATCH(Scan!A1589,Inventory!E:E,0)),"")</f>
        <v/>
      </c>
    </row>
    <row r="1590" spans="2:13" x14ac:dyDescent="0.3">
      <c r="B1590" t="str">
        <f>IF(IFERROR(VLOOKUP(TRIM(A1590),Inventory!E:E,1,0),0)=0,"X","_")</f>
        <v>_</v>
      </c>
      <c r="C1590" t="str">
        <f>IF(IFERROR(VLOOKUP(TRIM(A1590),'Full Inventory'!F:F,1,0),0)=0,"X","_")</f>
        <v>X</v>
      </c>
      <c r="D1590" t="str">
        <f t="shared" si="96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F1590" t="str">
        <f t="shared" si="97"/>
        <v>_</v>
      </c>
      <c r="K1590" t="str">
        <f t="shared" ca="1" si="98"/>
        <v>_XX_</v>
      </c>
      <c r="L1590" t="str">
        <f t="shared" ca="1" si="99"/>
        <v/>
      </c>
      <c r="M1590" t="str">
        <f>IFERROR(INDEX(Inventory!A:A,MATCH(Scan!A1590,Inventory!E:E,0)),"")</f>
        <v/>
      </c>
    </row>
    <row r="1591" spans="2:13" x14ac:dyDescent="0.3">
      <c r="B1591" t="str">
        <f>IF(IFERROR(VLOOKUP(TRIM(A1591),Inventory!E:E,1,0),0)=0,"X","_")</f>
        <v>_</v>
      </c>
      <c r="C1591" t="str">
        <f>IF(IFERROR(VLOOKUP(TRIM(A1591),'Full Inventory'!F:F,1,0),0)=0,"X","_")</f>
        <v>X</v>
      </c>
      <c r="D1591" t="str">
        <f t="shared" si="96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F1591" t="str">
        <f t="shared" si="97"/>
        <v>_</v>
      </c>
      <c r="K1591" t="str">
        <f t="shared" ca="1" si="98"/>
        <v>_XX_</v>
      </c>
      <c r="L1591" t="str">
        <f t="shared" ca="1" si="99"/>
        <v/>
      </c>
      <c r="M1591" t="str">
        <f>IFERROR(INDEX(Inventory!A:A,MATCH(Scan!A1591,Inventory!E:E,0)),"")</f>
        <v/>
      </c>
    </row>
    <row r="1592" spans="2:13" x14ac:dyDescent="0.3">
      <c r="B1592" t="str">
        <f>IF(IFERROR(VLOOKUP(TRIM(A1592),Inventory!E:E,1,0),0)=0,"X","_")</f>
        <v>_</v>
      </c>
      <c r="C1592" t="str">
        <f>IF(IFERROR(VLOOKUP(TRIM(A1592),'Full Inventory'!F:F,1,0),0)=0,"X","_")</f>
        <v>X</v>
      </c>
      <c r="D1592" t="str">
        <f t="shared" si="96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F1592" t="str">
        <f t="shared" si="97"/>
        <v>_</v>
      </c>
      <c r="K1592" t="str">
        <f t="shared" ca="1" si="98"/>
        <v>_XX_</v>
      </c>
      <c r="L1592" t="str">
        <f t="shared" ca="1" si="99"/>
        <v/>
      </c>
      <c r="M1592" t="str">
        <f>IFERROR(INDEX(Inventory!A:A,MATCH(Scan!A1592,Inventory!E:E,0)),"")</f>
        <v/>
      </c>
    </row>
    <row r="1593" spans="2:13" x14ac:dyDescent="0.3">
      <c r="B1593" t="str">
        <f>IF(IFERROR(VLOOKUP(TRIM(A1593),Inventory!E:E,1,0),0)=0,"X","_")</f>
        <v>_</v>
      </c>
      <c r="C1593" t="str">
        <f>IF(IFERROR(VLOOKUP(TRIM(A1593),'Full Inventory'!F:F,1,0),0)=0,"X","_")</f>
        <v>X</v>
      </c>
      <c r="D1593" t="str">
        <f t="shared" si="96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F1593" t="str">
        <f t="shared" si="97"/>
        <v>_</v>
      </c>
      <c r="K1593" t="str">
        <f t="shared" ca="1" si="98"/>
        <v>_XX_</v>
      </c>
      <c r="L1593" t="str">
        <f t="shared" ca="1" si="99"/>
        <v/>
      </c>
      <c r="M1593" t="str">
        <f>IFERROR(INDEX(Inventory!A:A,MATCH(Scan!A1593,Inventory!E:E,0)),"")</f>
        <v/>
      </c>
    </row>
    <row r="1594" spans="2:13" x14ac:dyDescent="0.3">
      <c r="B1594" t="str">
        <f>IF(IFERROR(VLOOKUP(TRIM(A1594),Inventory!E:E,1,0),0)=0,"X","_")</f>
        <v>_</v>
      </c>
      <c r="C1594" t="str">
        <f>IF(IFERROR(VLOOKUP(TRIM(A1594),'Full Inventory'!F:F,1,0),0)=0,"X","_")</f>
        <v>X</v>
      </c>
      <c r="D1594" t="str">
        <f t="shared" si="96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F1594" t="str">
        <f t="shared" si="97"/>
        <v>_</v>
      </c>
      <c r="K1594" t="str">
        <f t="shared" ca="1" si="98"/>
        <v>_XX_</v>
      </c>
      <c r="L1594" t="str">
        <f t="shared" ca="1" si="99"/>
        <v/>
      </c>
      <c r="M1594" t="str">
        <f>IFERROR(INDEX(Inventory!A:A,MATCH(Scan!A1594,Inventory!E:E,0)),"")</f>
        <v/>
      </c>
    </row>
    <row r="1595" spans="2:13" x14ac:dyDescent="0.3">
      <c r="B1595" t="str">
        <f>IF(IFERROR(VLOOKUP(TRIM(A1595),Inventory!E:E,1,0),0)=0,"X","_")</f>
        <v>_</v>
      </c>
      <c r="C1595" t="str">
        <f>IF(IFERROR(VLOOKUP(TRIM(A1595),'Full Inventory'!F:F,1,0),0)=0,"X","_")</f>
        <v>X</v>
      </c>
      <c r="D1595" t="str">
        <f t="shared" si="96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F1595" t="str">
        <f t="shared" si="97"/>
        <v>_</v>
      </c>
      <c r="K1595" t="str">
        <f t="shared" ca="1" si="98"/>
        <v>_XX_</v>
      </c>
      <c r="L1595" t="str">
        <f t="shared" ca="1" si="99"/>
        <v/>
      </c>
      <c r="M1595" t="str">
        <f>IFERROR(INDEX(Inventory!A:A,MATCH(Scan!A1595,Inventory!E:E,0)),"")</f>
        <v/>
      </c>
    </row>
    <row r="1596" spans="2:13" x14ac:dyDescent="0.3">
      <c r="B1596" t="str">
        <f>IF(IFERROR(VLOOKUP(TRIM(A1596),Inventory!E:E,1,0),0)=0,"X","_")</f>
        <v>_</v>
      </c>
      <c r="C1596" t="str">
        <f>IF(IFERROR(VLOOKUP(TRIM(A1596),'Full Inventory'!F:F,1,0),0)=0,"X","_")</f>
        <v>X</v>
      </c>
      <c r="D1596" t="str">
        <f t="shared" si="96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F1596" t="str">
        <f t="shared" si="97"/>
        <v>_</v>
      </c>
      <c r="K1596" t="str">
        <f t="shared" ca="1" si="98"/>
        <v>_XX_</v>
      </c>
      <c r="L1596" t="str">
        <f t="shared" ca="1" si="99"/>
        <v/>
      </c>
      <c r="M1596" t="str">
        <f>IFERROR(INDEX(Inventory!A:A,MATCH(Scan!A1596,Inventory!E:E,0)),"")</f>
        <v/>
      </c>
    </row>
    <row r="1597" spans="2:13" x14ac:dyDescent="0.3">
      <c r="B1597" t="str">
        <f>IF(IFERROR(VLOOKUP(TRIM(A1597),Inventory!E:E,1,0),0)=0,"X","_")</f>
        <v>_</v>
      </c>
      <c r="C1597" t="str">
        <f>IF(IFERROR(VLOOKUP(TRIM(A1597),'Full Inventory'!F:F,1,0),0)=0,"X","_")</f>
        <v>X</v>
      </c>
      <c r="D1597" t="str">
        <f t="shared" si="96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F1597" t="str">
        <f t="shared" si="97"/>
        <v>_</v>
      </c>
      <c r="K1597" t="str">
        <f t="shared" ca="1" si="98"/>
        <v>_XX_</v>
      </c>
      <c r="L1597" t="str">
        <f t="shared" ca="1" si="99"/>
        <v/>
      </c>
      <c r="M1597" t="str">
        <f>IFERROR(INDEX(Inventory!A:A,MATCH(Scan!A1597,Inventory!E:E,0)),"")</f>
        <v/>
      </c>
    </row>
    <row r="1598" spans="2:13" x14ac:dyDescent="0.3">
      <c r="B1598" t="str">
        <f>IF(IFERROR(VLOOKUP(TRIM(A1598),Inventory!E:E,1,0),0)=0,"X","_")</f>
        <v>_</v>
      </c>
      <c r="C1598" t="str">
        <f>IF(IFERROR(VLOOKUP(TRIM(A1598),'Full Inventory'!F:F,1,0),0)=0,"X","_")</f>
        <v>X</v>
      </c>
      <c r="D1598" t="str">
        <f t="shared" si="96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F1598" t="str">
        <f t="shared" si="97"/>
        <v>_</v>
      </c>
      <c r="K1598" t="str">
        <f t="shared" ca="1" si="98"/>
        <v>_XX_</v>
      </c>
      <c r="L1598" t="str">
        <f t="shared" ca="1" si="99"/>
        <v/>
      </c>
      <c r="M1598" t="str">
        <f>IFERROR(INDEX(Inventory!A:A,MATCH(Scan!A1598,Inventory!E:E,0)),"")</f>
        <v/>
      </c>
    </row>
    <row r="1599" spans="2:13" x14ac:dyDescent="0.3">
      <c r="B1599" t="str">
        <f>IF(IFERROR(VLOOKUP(TRIM(A1599),Inventory!E:E,1,0),0)=0,"X","_")</f>
        <v>_</v>
      </c>
      <c r="C1599" t="str">
        <f>IF(IFERROR(VLOOKUP(TRIM(A1599),'Full Inventory'!F:F,1,0),0)=0,"X","_")</f>
        <v>X</v>
      </c>
      <c r="D1599" t="str">
        <f t="shared" si="96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F1599" t="str">
        <f t="shared" si="97"/>
        <v>_</v>
      </c>
      <c r="K1599" t="str">
        <f t="shared" ca="1" si="98"/>
        <v>_XX_</v>
      </c>
      <c r="L1599" t="str">
        <f t="shared" ca="1" si="99"/>
        <v/>
      </c>
      <c r="M1599" t="str">
        <f>IFERROR(INDEX(Inventory!A:A,MATCH(Scan!A1599,Inventory!E:E,0)),"")</f>
        <v/>
      </c>
    </row>
    <row r="1600" spans="2:13" x14ac:dyDescent="0.3">
      <c r="B1600" t="str">
        <f>IF(IFERROR(VLOOKUP(TRIM(A1600),Inventory!E:E,1,0),0)=0,"X","_")</f>
        <v>_</v>
      </c>
      <c r="C1600" t="str">
        <f>IF(IFERROR(VLOOKUP(TRIM(A1600),'Full Inventory'!F:F,1,0),0)=0,"X","_")</f>
        <v>X</v>
      </c>
      <c r="D1600" t="str">
        <f t="shared" si="96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F1600" t="str">
        <f t="shared" si="97"/>
        <v>_</v>
      </c>
      <c r="K1600" t="str">
        <f t="shared" ca="1" si="98"/>
        <v>_XX_</v>
      </c>
      <c r="L1600" t="str">
        <f t="shared" ca="1" si="99"/>
        <v/>
      </c>
      <c r="M1600" t="str">
        <f>IFERROR(INDEX(Inventory!A:A,MATCH(Scan!A1600,Inventory!E:E,0)),"")</f>
        <v/>
      </c>
    </row>
    <row r="1601" spans="2:13" x14ac:dyDescent="0.3">
      <c r="B1601" t="str">
        <f>IF(IFERROR(VLOOKUP(TRIM(A1601),Inventory!E:E,1,0),0)=0,"X","_")</f>
        <v>_</v>
      </c>
      <c r="C1601" t="str">
        <f>IF(IFERROR(VLOOKUP(TRIM(A1601),'Full Inventory'!F:F,1,0),0)=0,"X","_")</f>
        <v>X</v>
      </c>
      <c r="D1601" t="str">
        <f t="shared" si="96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F1601" t="str">
        <f t="shared" si="97"/>
        <v>_</v>
      </c>
      <c r="K1601" t="str">
        <f t="shared" ca="1" si="98"/>
        <v>_XX_</v>
      </c>
      <c r="L1601" t="str">
        <f t="shared" ca="1" si="99"/>
        <v/>
      </c>
      <c r="M1601" t="str">
        <f>IFERROR(INDEX(Inventory!A:A,MATCH(Scan!A1601,Inventory!E:E,0)),"")</f>
        <v/>
      </c>
    </row>
    <row r="1602" spans="2:13" x14ac:dyDescent="0.3">
      <c r="B1602" t="str">
        <f>IF(IFERROR(VLOOKUP(TRIM(A1602),Inventory!E:E,1,0),0)=0,"X","_")</f>
        <v>_</v>
      </c>
      <c r="C1602" t="str">
        <f>IF(IFERROR(VLOOKUP(TRIM(A1602),'Full Inventory'!F:F,1,0),0)=0,"X","_")</f>
        <v>X</v>
      </c>
      <c r="D1602" t="str">
        <f t="shared" ref="D1602:D1665" si="100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F1602" t="str">
        <f t="shared" si="97"/>
        <v>_</v>
      </c>
      <c r="K1602" t="str">
        <f t="shared" ca="1" si="98"/>
        <v>_XX_</v>
      </c>
      <c r="L1602" t="str">
        <f t="shared" ca="1" si="99"/>
        <v/>
      </c>
      <c r="M1602" t="str">
        <f>IFERROR(INDEX(Inventory!A:A,MATCH(Scan!A1602,Inventory!E:E,0)),"")</f>
        <v/>
      </c>
    </row>
    <row r="1603" spans="2:13" x14ac:dyDescent="0.3">
      <c r="B1603" t="str">
        <f>IF(IFERROR(VLOOKUP(TRIM(A1603),Inventory!E:E,1,0),0)=0,"X","_")</f>
        <v>_</v>
      </c>
      <c r="C1603" t="str">
        <f>IF(IFERROR(VLOOKUP(TRIM(A1603),'Full Inventory'!F:F,1,0),0)=0,"X","_")</f>
        <v>X</v>
      </c>
      <c r="D1603" t="str">
        <f t="shared" si="100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F1603" t="str">
        <f t="shared" ref="F1603:F1666" si="101">IF(IFERROR(SEARCH("ö",A1603),0)&gt;0,"X","_")</f>
        <v>_</v>
      </c>
      <c r="K1603" t="str">
        <f t="shared" ref="K1603:K1666" ca="1" si="102">B1603&amp;C1603&amp;D1603&amp;E1603</f>
        <v>_XX_</v>
      </c>
      <c r="L1603" t="str">
        <f t="shared" ref="L1603:L1666" ca="1" si="103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3">
      <c r="B1604" t="str">
        <f>IF(IFERROR(VLOOKUP(TRIM(A1604),Inventory!E:E,1,0),0)=0,"X","_")</f>
        <v>_</v>
      </c>
      <c r="C1604" t="str">
        <f>IF(IFERROR(VLOOKUP(TRIM(A1604),'Full Inventory'!F:F,1,0),0)=0,"X","_")</f>
        <v>X</v>
      </c>
      <c r="D1604" t="str">
        <f t="shared" si="100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F1604" t="str">
        <f t="shared" si="101"/>
        <v>_</v>
      </c>
      <c r="K1604" t="str">
        <f t="shared" ca="1" si="102"/>
        <v>_XX_</v>
      </c>
      <c r="L1604" t="str">
        <f t="shared" ca="1" si="103"/>
        <v/>
      </c>
      <c r="M1604" t="str">
        <f>IFERROR(INDEX(Inventory!A:A,MATCH(Scan!A1604,Inventory!E:E,0)),"")</f>
        <v/>
      </c>
    </row>
    <row r="1605" spans="2:13" x14ac:dyDescent="0.3">
      <c r="B1605" t="str">
        <f>IF(IFERROR(VLOOKUP(TRIM(A1605),Inventory!E:E,1,0),0)=0,"X","_")</f>
        <v>_</v>
      </c>
      <c r="C1605" t="str">
        <f>IF(IFERROR(VLOOKUP(TRIM(A1605),'Full Inventory'!F:F,1,0),0)=0,"X","_")</f>
        <v>X</v>
      </c>
      <c r="D1605" t="str">
        <f t="shared" si="100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F1605" t="str">
        <f t="shared" si="101"/>
        <v>_</v>
      </c>
      <c r="K1605" t="str">
        <f t="shared" ca="1" si="102"/>
        <v>_XX_</v>
      </c>
      <c r="L1605" t="str">
        <f t="shared" ca="1" si="103"/>
        <v/>
      </c>
      <c r="M1605" t="str">
        <f>IFERROR(INDEX(Inventory!A:A,MATCH(Scan!A1605,Inventory!E:E,0)),"")</f>
        <v/>
      </c>
    </row>
    <row r="1606" spans="2:13" x14ac:dyDescent="0.3">
      <c r="B1606" t="str">
        <f>IF(IFERROR(VLOOKUP(TRIM(A1606),Inventory!E:E,1,0),0)=0,"X","_")</f>
        <v>_</v>
      </c>
      <c r="C1606" t="str">
        <f>IF(IFERROR(VLOOKUP(TRIM(A1606),'Full Inventory'!F:F,1,0),0)=0,"X","_")</f>
        <v>X</v>
      </c>
      <c r="D1606" t="str">
        <f t="shared" si="100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F1606" t="str">
        <f t="shared" si="101"/>
        <v>_</v>
      </c>
      <c r="K1606" t="str">
        <f t="shared" ca="1" si="102"/>
        <v>_XX_</v>
      </c>
      <c r="L1606" t="str">
        <f t="shared" ca="1" si="103"/>
        <v/>
      </c>
      <c r="M1606" t="str">
        <f>IFERROR(INDEX(Inventory!A:A,MATCH(Scan!A1606,Inventory!E:E,0)),"")</f>
        <v/>
      </c>
    </row>
    <row r="1607" spans="2:13" x14ac:dyDescent="0.3">
      <c r="B1607" t="str">
        <f>IF(IFERROR(VLOOKUP(TRIM(A1607),Inventory!E:E,1,0),0)=0,"X","_")</f>
        <v>_</v>
      </c>
      <c r="C1607" t="str">
        <f>IF(IFERROR(VLOOKUP(TRIM(A1607),'Full Inventory'!F:F,1,0),0)=0,"X","_")</f>
        <v>X</v>
      </c>
      <c r="D1607" t="str">
        <f t="shared" si="100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F1607" t="str">
        <f t="shared" si="101"/>
        <v>_</v>
      </c>
      <c r="K1607" t="str">
        <f t="shared" ca="1" si="102"/>
        <v>_XX_</v>
      </c>
      <c r="L1607" t="str">
        <f t="shared" ca="1" si="103"/>
        <v/>
      </c>
      <c r="M1607" t="str">
        <f>IFERROR(INDEX(Inventory!A:A,MATCH(Scan!A1607,Inventory!E:E,0)),"")</f>
        <v/>
      </c>
    </row>
    <row r="1608" spans="2:13" x14ac:dyDescent="0.3">
      <c r="B1608" t="str">
        <f>IF(IFERROR(VLOOKUP(TRIM(A1608),Inventory!E:E,1,0),0)=0,"X","_")</f>
        <v>_</v>
      </c>
      <c r="C1608" t="str">
        <f>IF(IFERROR(VLOOKUP(TRIM(A1608),'Full Inventory'!F:F,1,0),0)=0,"X","_")</f>
        <v>X</v>
      </c>
      <c r="D1608" t="str">
        <f t="shared" si="100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F1608" t="str">
        <f t="shared" si="101"/>
        <v>_</v>
      </c>
      <c r="K1608" t="str">
        <f t="shared" ca="1" si="102"/>
        <v>_XX_</v>
      </c>
      <c r="L1608" t="str">
        <f t="shared" ca="1" si="103"/>
        <v/>
      </c>
      <c r="M1608" t="str">
        <f>IFERROR(INDEX(Inventory!A:A,MATCH(Scan!A1608,Inventory!E:E,0)),"")</f>
        <v/>
      </c>
    </row>
    <row r="1609" spans="2:13" x14ac:dyDescent="0.3">
      <c r="B1609" t="str">
        <f>IF(IFERROR(VLOOKUP(TRIM(A1609),Inventory!E:E,1,0),0)=0,"X","_")</f>
        <v>_</v>
      </c>
      <c r="C1609" t="str">
        <f>IF(IFERROR(VLOOKUP(TRIM(A1609),'Full Inventory'!F:F,1,0),0)=0,"X","_")</f>
        <v>X</v>
      </c>
      <c r="D1609" t="str">
        <f t="shared" si="100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F1609" t="str">
        <f t="shared" si="101"/>
        <v>_</v>
      </c>
      <c r="K1609" t="str">
        <f t="shared" ca="1" si="102"/>
        <v>_XX_</v>
      </c>
      <c r="L1609" t="str">
        <f t="shared" ca="1" si="103"/>
        <v/>
      </c>
      <c r="M1609" t="str">
        <f>IFERROR(INDEX(Inventory!A:A,MATCH(Scan!A1609,Inventory!E:E,0)),"")</f>
        <v/>
      </c>
    </row>
    <row r="1610" spans="2:13" x14ac:dyDescent="0.3">
      <c r="B1610" t="str">
        <f>IF(IFERROR(VLOOKUP(TRIM(A1610),Inventory!E:E,1,0),0)=0,"X","_")</f>
        <v>_</v>
      </c>
      <c r="C1610" t="str">
        <f>IF(IFERROR(VLOOKUP(TRIM(A1610),'Full Inventory'!F:F,1,0),0)=0,"X","_")</f>
        <v>X</v>
      </c>
      <c r="D1610" t="str">
        <f t="shared" si="100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F1610" t="str">
        <f t="shared" si="101"/>
        <v>_</v>
      </c>
      <c r="K1610" t="str">
        <f t="shared" ca="1" si="102"/>
        <v>_XX_</v>
      </c>
      <c r="L1610" t="str">
        <f t="shared" ca="1" si="103"/>
        <v/>
      </c>
      <c r="M1610" t="str">
        <f>IFERROR(INDEX(Inventory!A:A,MATCH(Scan!A1610,Inventory!E:E,0)),"")</f>
        <v/>
      </c>
    </row>
    <row r="1611" spans="2:13" x14ac:dyDescent="0.3">
      <c r="B1611" t="str">
        <f>IF(IFERROR(VLOOKUP(TRIM(A1611),Inventory!E:E,1,0),0)=0,"X","_")</f>
        <v>_</v>
      </c>
      <c r="C1611" t="str">
        <f>IF(IFERROR(VLOOKUP(TRIM(A1611),'Full Inventory'!F:F,1,0),0)=0,"X","_")</f>
        <v>X</v>
      </c>
      <c r="D1611" t="str">
        <f t="shared" si="100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F1611" t="str">
        <f t="shared" si="101"/>
        <v>_</v>
      </c>
      <c r="K1611" t="str">
        <f t="shared" ca="1" si="102"/>
        <v>_XX_</v>
      </c>
      <c r="L1611" t="str">
        <f t="shared" ca="1" si="103"/>
        <v/>
      </c>
      <c r="M1611" t="str">
        <f>IFERROR(INDEX(Inventory!A:A,MATCH(Scan!A1611,Inventory!E:E,0)),"")</f>
        <v/>
      </c>
    </row>
    <row r="1612" spans="2:13" x14ac:dyDescent="0.3">
      <c r="B1612" t="str">
        <f>IF(IFERROR(VLOOKUP(TRIM(A1612),Inventory!E:E,1,0),0)=0,"X","_")</f>
        <v>_</v>
      </c>
      <c r="C1612" t="str">
        <f>IF(IFERROR(VLOOKUP(TRIM(A1612),'Full Inventory'!F:F,1,0),0)=0,"X","_")</f>
        <v>X</v>
      </c>
      <c r="D1612" t="str">
        <f t="shared" si="100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F1612" t="str">
        <f t="shared" si="101"/>
        <v>_</v>
      </c>
      <c r="K1612" t="str">
        <f t="shared" ca="1" si="102"/>
        <v>_XX_</v>
      </c>
      <c r="L1612" t="str">
        <f t="shared" ca="1" si="103"/>
        <v/>
      </c>
      <c r="M1612" t="str">
        <f>IFERROR(INDEX(Inventory!A:A,MATCH(Scan!A1612,Inventory!E:E,0)),"")</f>
        <v/>
      </c>
    </row>
    <row r="1613" spans="2:13" x14ac:dyDescent="0.3">
      <c r="B1613" t="str">
        <f>IF(IFERROR(VLOOKUP(TRIM(A1613),Inventory!E:E,1,0),0)=0,"X","_")</f>
        <v>_</v>
      </c>
      <c r="C1613" t="str">
        <f>IF(IFERROR(VLOOKUP(TRIM(A1613),'Full Inventory'!F:F,1,0),0)=0,"X","_")</f>
        <v>X</v>
      </c>
      <c r="D1613" t="str">
        <f t="shared" si="100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F1613" t="str">
        <f t="shared" si="101"/>
        <v>_</v>
      </c>
      <c r="K1613" t="str">
        <f t="shared" ca="1" si="102"/>
        <v>_XX_</v>
      </c>
      <c r="L1613" t="str">
        <f t="shared" ca="1" si="103"/>
        <v/>
      </c>
      <c r="M1613" t="str">
        <f>IFERROR(INDEX(Inventory!A:A,MATCH(Scan!A1613,Inventory!E:E,0)),"")</f>
        <v/>
      </c>
    </row>
    <row r="1614" spans="2:13" x14ac:dyDescent="0.3">
      <c r="B1614" t="str">
        <f>IF(IFERROR(VLOOKUP(TRIM(A1614),Inventory!E:E,1,0),0)=0,"X","_")</f>
        <v>_</v>
      </c>
      <c r="C1614" t="str">
        <f>IF(IFERROR(VLOOKUP(TRIM(A1614),'Full Inventory'!F:F,1,0),0)=0,"X","_")</f>
        <v>X</v>
      </c>
      <c r="D1614" t="str">
        <f t="shared" si="100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F1614" t="str">
        <f t="shared" si="101"/>
        <v>_</v>
      </c>
      <c r="K1614" t="str">
        <f t="shared" ca="1" si="102"/>
        <v>_XX_</v>
      </c>
      <c r="L1614" t="str">
        <f t="shared" ca="1" si="103"/>
        <v/>
      </c>
      <c r="M1614" t="str">
        <f>IFERROR(INDEX(Inventory!A:A,MATCH(Scan!A1614,Inventory!E:E,0)),"")</f>
        <v/>
      </c>
    </row>
    <row r="1615" spans="2:13" x14ac:dyDescent="0.3">
      <c r="B1615" t="str">
        <f>IF(IFERROR(VLOOKUP(TRIM(A1615),Inventory!E:E,1,0),0)=0,"X","_")</f>
        <v>_</v>
      </c>
      <c r="C1615" t="str">
        <f>IF(IFERROR(VLOOKUP(TRIM(A1615),'Full Inventory'!F:F,1,0),0)=0,"X","_")</f>
        <v>X</v>
      </c>
      <c r="D1615" t="str">
        <f t="shared" si="100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F1615" t="str">
        <f t="shared" si="101"/>
        <v>_</v>
      </c>
      <c r="K1615" t="str">
        <f t="shared" ca="1" si="102"/>
        <v>_XX_</v>
      </c>
      <c r="L1615" t="str">
        <f t="shared" ca="1" si="103"/>
        <v/>
      </c>
      <c r="M1615" t="str">
        <f>IFERROR(INDEX(Inventory!A:A,MATCH(Scan!A1615,Inventory!E:E,0)),"")</f>
        <v/>
      </c>
    </row>
    <row r="1616" spans="2:13" x14ac:dyDescent="0.3">
      <c r="B1616" t="str">
        <f>IF(IFERROR(VLOOKUP(TRIM(A1616),Inventory!E:E,1,0),0)=0,"X","_")</f>
        <v>_</v>
      </c>
      <c r="C1616" t="str">
        <f>IF(IFERROR(VLOOKUP(TRIM(A1616),'Full Inventory'!F:F,1,0),0)=0,"X","_")</f>
        <v>X</v>
      </c>
      <c r="D1616" t="str">
        <f t="shared" si="100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F1616" t="str">
        <f t="shared" si="101"/>
        <v>_</v>
      </c>
      <c r="K1616" t="str">
        <f t="shared" ca="1" si="102"/>
        <v>_XX_</v>
      </c>
      <c r="L1616" t="str">
        <f t="shared" ca="1" si="103"/>
        <v/>
      </c>
      <c r="M1616" t="str">
        <f>IFERROR(INDEX(Inventory!A:A,MATCH(Scan!A1616,Inventory!E:E,0)),"")</f>
        <v/>
      </c>
    </row>
    <row r="1617" spans="2:13" x14ac:dyDescent="0.3">
      <c r="B1617" t="str">
        <f>IF(IFERROR(VLOOKUP(TRIM(A1617),Inventory!E:E,1,0),0)=0,"X","_")</f>
        <v>_</v>
      </c>
      <c r="C1617" t="str">
        <f>IF(IFERROR(VLOOKUP(TRIM(A1617),'Full Inventory'!F:F,1,0),0)=0,"X","_")</f>
        <v>X</v>
      </c>
      <c r="D1617" t="str">
        <f t="shared" si="100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F1617" t="str">
        <f t="shared" si="101"/>
        <v>_</v>
      </c>
      <c r="K1617" t="str">
        <f t="shared" ca="1" si="102"/>
        <v>_XX_</v>
      </c>
      <c r="L1617" t="str">
        <f t="shared" ca="1" si="103"/>
        <v/>
      </c>
      <c r="M1617" t="str">
        <f>IFERROR(INDEX(Inventory!A:A,MATCH(Scan!A1617,Inventory!E:E,0)),"")</f>
        <v/>
      </c>
    </row>
    <row r="1618" spans="2:13" x14ac:dyDescent="0.3">
      <c r="B1618" t="str">
        <f>IF(IFERROR(VLOOKUP(TRIM(A1618),Inventory!E:E,1,0),0)=0,"X","_")</f>
        <v>_</v>
      </c>
      <c r="C1618" t="str">
        <f>IF(IFERROR(VLOOKUP(TRIM(A1618),'Full Inventory'!F:F,1,0),0)=0,"X","_")</f>
        <v>X</v>
      </c>
      <c r="D1618" t="str">
        <f t="shared" si="100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F1618" t="str">
        <f t="shared" si="101"/>
        <v>_</v>
      </c>
      <c r="K1618" t="str">
        <f t="shared" ca="1" si="102"/>
        <v>_XX_</v>
      </c>
      <c r="L1618" t="str">
        <f t="shared" ca="1" si="103"/>
        <v/>
      </c>
      <c r="M1618" t="str">
        <f>IFERROR(INDEX(Inventory!A:A,MATCH(Scan!A1618,Inventory!E:E,0)),"")</f>
        <v/>
      </c>
    </row>
    <row r="1619" spans="2:13" x14ac:dyDescent="0.3">
      <c r="B1619" t="str">
        <f>IF(IFERROR(VLOOKUP(TRIM(A1619),Inventory!E:E,1,0),0)=0,"X","_")</f>
        <v>_</v>
      </c>
      <c r="C1619" t="str">
        <f>IF(IFERROR(VLOOKUP(TRIM(A1619),'Full Inventory'!F:F,1,0),0)=0,"X","_")</f>
        <v>X</v>
      </c>
      <c r="D1619" t="str">
        <f t="shared" si="100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F1619" t="str">
        <f t="shared" si="101"/>
        <v>_</v>
      </c>
      <c r="K1619" t="str">
        <f t="shared" ca="1" si="102"/>
        <v>_XX_</v>
      </c>
      <c r="L1619" t="str">
        <f t="shared" ca="1" si="103"/>
        <v/>
      </c>
      <c r="M1619" t="str">
        <f>IFERROR(INDEX(Inventory!A:A,MATCH(Scan!A1619,Inventory!E:E,0)),"")</f>
        <v/>
      </c>
    </row>
    <row r="1620" spans="2:13" x14ac:dyDescent="0.3">
      <c r="B1620" t="str">
        <f>IF(IFERROR(VLOOKUP(TRIM(A1620),Inventory!E:E,1,0),0)=0,"X","_")</f>
        <v>_</v>
      </c>
      <c r="C1620" t="str">
        <f>IF(IFERROR(VLOOKUP(TRIM(A1620),'Full Inventory'!F:F,1,0),0)=0,"X","_")</f>
        <v>X</v>
      </c>
      <c r="D1620" t="str">
        <f t="shared" si="100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F1620" t="str">
        <f t="shared" si="101"/>
        <v>_</v>
      </c>
      <c r="K1620" t="str">
        <f t="shared" ca="1" si="102"/>
        <v>_XX_</v>
      </c>
      <c r="L1620" t="str">
        <f t="shared" ca="1" si="103"/>
        <v/>
      </c>
      <c r="M1620" t="str">
        <f>IFERROR(INDEX(Inventory!A:A,MATCH(Scan!A1620,Inventory!E:E,0)),"")</f>
        <v/>
      </c>
    </row>
    <row r="1621" spans="2:13" x14ac:dyDescent="0.3">
      <c r="B1621" t="str">
        <f>IF(IFERROR(VLOOKUP(TRIM(A1621),Inventory!E:E,1,0),0)=0,"X","_")</f>
        <v>_</v>
      </c>
      <c r="C1621" t="str">
        <f>IF(IFERROR(VLOOKUP(TRIM(A1621),'Full Inventory'!F:F,1,0),0)=0,"X","_")</f>
        <v>X</v>
      </c>
      <c r="D1621" t="str">
        <f t="shared" si="100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F1621" t="str">
        <f t="shared" si="101"/>
        <v>_</v>
      </c>
      <c r="K1621" t="str">
        <f t="shared" ca="1" si="102"/>
        <v>_XX_</v>
      </c>
      <c r="L1621" t="str">
        <f t="shared" ca="1" si="103"/>
        <v/>
      </c>
      <c r="M1621" t="str">
        <f>IFERROR(INDEX(Inventory!A:A,MATCH(Scan!A1621,Inventory!E:E,0)),"")</f>
        <v/>
      </c>
    </row>
    <row r="1622" spans="2:13" x14ac:dyDescent="0.3">
      <c r="B1622" t="str">
        <f>IF(IFERROR(VLOOKUP(TRIM(A1622),Inventory!E:E,1,0),0)=0,"X","_")</f>
        <v>_</v>
      </c>
      <c r="C1622" t="str">
        <f>IF(IFERROR(VLOOKUP(TRIM(A1622),'Full Inventory'!F:F,1,0),0)=0,"X","_")</f>
        <v>X</v>
      </c>
      <c r="D1622" t="str">
        <f t="shared" si="100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F1622" t="str">
        <f t="shared" si="101"/>
        <v>_</v>
      </c>
      <c r="K1622" t="str">
        <f t="shared" ca="1" si="102"/>
        <v>_XX_</v>
      </c>
      <c r="L1622" t="str">
        <f t="shared" ca="1" si="103"/>
        <v/>
      </c>
      <c r="M1622" t="str">
        <f>IFERROR(INDEX(Inventory!A:A,MATCH(Scan!A1622,Inventory!E:E,0)),"")</f>
        <v/>
      </c>
    </row>
    <row r="1623" spans="2:13" x14ac:dyDescent="0.3">
      <c r="B1623" t="str">
        <f>IF(IFERROR(VLOOKUP(TRIM(A1623),Inventory!E:E,1,0),0)=0,"X","_")</f>
        <v>_</v>
      </c>
      <c r="C1623" t="str">
        <f>IF(IFERROR(VLOOKUP(TRIM(A1623),'Full Inventory'!F:F,1,0),0)=0,"X","_")</f>
        <v>X</v>
      </c>
      <c r="D1623" t="str">
        <f t="shared" si="100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F1623" t="str">
        <f t="shared" si="101"/>
        <v>_</v>
      </c>
      <c r="K1623" t="str">
        <f t="shared" ca="1" si="102"/>
        <v>_XX_</v>
      </c>
      <c r="L1623" t="str">
        <f t="shared" ca="1" si="103"/>
        <v/>
      </c>
      <c r="M1623" t="str">
        <f>IFERROR(INDEX(Inventory!A:A,MATCH(Scan!A1623,Inventory!E:E,0)),"")</f>
        <v/>
      </c>
    </row>
    <row r="1624" spans="2:13" x14ac:dyDescent="0.3">
      <c r="B1624" t="str">
        <f>IF(IFERROR(VLOOKUP(TRIM(A1624),Inventory!E:E,1,0),0)=0,"X","_")</f>
        <v>_</v>
      </c>
      <c r="C1624" t="str">
        <f>IF(IFERROR(VLOOKUP(TRIM(A1624),'Full Inventory'!F:F,1,0),0)=0,"X","_")</f>
        <v>X</v>
      </c>
      <c r="D1624" t="str">
        <f t="shared" si="100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F1624" t="str">
        <f t="shared" si="101"/>
        <v>_</v>
      </c>
      <c r="K1624" t="str">
        <f t="shared" ca="1" si="102"/>
        <v>_XX_</v>
      </c>
      <c r="L1624" t="str">
        <f t="shared" ca="1" si="103"/>
        <v/>
      </c>
      <c r="M1624" t="str">
        <f>IFERROR(INDEX(Inventory!A:A,MATCH(Scan!A1624,Inventory!E:E,0)),"")</f>
        <v/>
      </c>
    </row>
    <row r="1625" spans="2:13" x14ac:dyDescent="0.3">
      <c r="B1625" t="str">
        <f>IF(IFERROR(VLOOKUP(TRIM(A1625),Inventory!E:E,1,0),0)=0,"X","_")</f>
        <v>_</v>
      </c>
      <c r="C1625" t="str">
        <f>IF(IFERROR(VLOOKUP(TRIM(A1625),'Full Inventory'!F:F,1,0),0)=0,"X","_")</f>
        <v>X</v>
      </c>
      <c r="D1625" t="str">
        <f t="shared" si="100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F1625" t="str">
        <f t="shared" si="101"/>
        <v>_</v>
      </c>
      <c r="K1625" t="str">
        <f t="shared" ca="1" si="102"/>
        <v>_XX_</v>
      </c>
      <c r="L1625" t="str">
        <f t="shared" ca="1" si="103"/>
        <v/>
      </c>
      <c r="M1625" t="str">
        <f>IFERROR(INDEX(Inventory!A:A,MATCH(Scan!A1625,Inventory!E:E,0)),"")</f>
        <v/>
      </c>
    </row>
    <row r="1626" spans="2:13" x14ac:dyDescent="0.3">
      <c r="B1626" t="str">
        <f>IF(IFERROR(VLOOKUP(TRIM(A1626),Inventory!E:E,1,0),0)=0,"X","_")</f>
        <v>_</v>
      </c>
      <c r="C1626" t="str">
        <f>IF(IFERROR(VLOOKUP(TRIM(A1626),'Full Inventory'!F:F,1,0),0)=0,"X","_")</f>
        <v>X</v>
      </c>
      <c r="D1626" t="str">
        <f t="shared" si="100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F1626" t="str">
        <f t="shared" si="101"/>
        <v>_</v>
      </c>
      <c r="K1626" t="str">
        <f t="shared" ca="1" si="102"/>
        <v>_XX_</v>
      </c>
      <c r="L1626" t="str">
        <f t="shared" ca="1" si="103"/>
        <v/>
      </c>
      <c r="M1626" t="str">
        <f>IFERROR(INDEX(Inventory!A:A,MATCH(Scan!A1626,Inventory!E:E,0)),"")</f>
        <v/>
      </c>
    </row>
    <row r="1627" spans="2:13" x14ac:dyDescent="0.3">
      <c r="B1627" t="str">
        <f>IF(IFERROR(VLOOKUP(TRIM(A1627),Inventory!E:E,1,0),0)=0,"X","_")</f>
        <v>_</v>
      </c>
      <c r="C1627" t="str">
        <f>IF(IFERROR(VLOOKUP(TRIM(A1627),'Full Inventory'!F:F,1,0),0)=0,"X","_")</f>
        <v>X</v>
      </c>
      <c r="D1627" t="str">
        <f t="shared" si="100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F1627" t="str">
        <f t="shared" si="101"/>
        <v>_</v>
      </c>
      <c r="K1627" t="str">
        <f t="shared" ca="1" si="102"/>
        <v>_XX_</v>
      </c>
      <c r="L1627" t="str">
        <f t="shared" ca="1" si="103"/>
        <v/>
      </c>
      <c r="M1627" t="str">
        <f>IFERROR(INDEX(Inventory!A:A,MATCH(Scan!A1627,Inventory!E:E,0)),"")</f>
        <v/>
      </c>
    </row>
    <row r="1628" spans="2:13" x14ac:dyDescent="0.3">
      <c r="B1628" t="str">
        <f>IF(IFERROR(VLOOKUP(TRIM(A1628),Inventory!E:E,1,0),0)=0,"X","_")</f>
        <v>_</v>
      </c>
      <c r="C1628" t="str">
        <f>IF(IFERROR(VLOOKUP(TRIM(A1628),'Full Inventory'!F:F,1,0),0)=0,"X","_")</f>
        <v>X</v>
      </c>
      <c r="D1628" t="str">
        <f t="shared" si="100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F1628" t="str">
        <f t="shared" si="101"/>
        <v>_</v>
      </c>
      <c r="K1628" t="str">
        <f t="shared" ca="1" si="102"/>
        <v>_XX_</v>
      </c>
      <c r="L1628" t="str">
        <f t="shared" ca="1" si="103"/>
        <v/>
      </c>
      <c r="M1628" t="str">
        <f>IFERROR(INDEX(Inventory!A:A,MATCH(Scan!A1628,Inventory!E:E,0)),"")</f>
        <v/>
      </c>
    </row>
    <row r="1629" spans="2:13" x14ac:dyDescent="0.3">
      <c r="B1629" t="str">
        <f>IF(IFERROR(VLOOKUP(TRIM(A1629),Inventory!E:E,1,0),0)=0,"X","_")</f>
        <v>_</v>
      </c>
      <c r="C1629" t="str">
        <f>IF(IFERROR(VLOOKUP(TRIM(A1629),'Full Inventory'!F:F,1,0),0)=0,"X","_")</f>
        <v>X</v>
      </c>
      <c r="D1629" t="str">
        <f t="shared" si="100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F1629" t="str">
        <f t="shared" si="101"/>
        <v>_</v>
      </c>
      <c r="K1629" t="str">
        <f t="shared" ca="1" si="102"/>
        <v>_XX_</v>
      </c>
      <c r="L1629" t="str">
        <f t="shared" ca="1" si="103"/>
        <v/>
      </c>
      <c r="M1629" t="str">
        <f>IFERROR(INDEX(Inventory!A:A,MATCH(Scan!A1629,Inventory!E:E,0)),"")</f>
        <v/>
      </c>
    </row>
    <row r="1630" spans="2:13" x14ac:dyDescent="0.3">
      <c r="B1630" t="str">
        <f>IF(IFERROR(VLOOKUP(TRIM(A1630),Inventory!E:E,1,0),0)=0,"X","_")</f>
        <v>_</v>
      </c>
      <c r="C1630" t="str">
        <f>IF(IFERROR(VLOOKUP(TRIM(A1630),'Full Inventory'!F:F,1,0),0)=0,"X","_")</f>
        <v>X</v>
      </c>
      <c r="D1630" t="str">
        <f t="shared" si="100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F1630" t="str">
        <f t="shared" si="101"/>
        <v>_</v>
      </c>
      <c r="K1630" t="str">
        <f t="shared" ca="1" si="102"/>
        <v>_XX_</v>
      </c>
      <c r="L1630" t="str">
        <f t="shared" ca="1" si="103"/>
        <v/>
      </c>
      <c r="M1630" t="str">
        <f>IFERROR(INDEX(Inventory!A:A,MATCH(Scan!A1630,Inventory!E:E,0)),"")</f>
        <v/>
      </c>
    </row>
    <row r="1631" spans="2:13" x14ac:dyDescent="0.3">
      <c r="B1631" t="str">
        <f>IF(IFERROR(VLOOKUP(TRIM(A1631),Inventory!E:E,1,0),0)=0,"X","_")</f>
        <v>_</v>
      </c>
      <c r="C1631" t="str">
        <f>IF(IFERROR(VLOOKUP(TRIM(A1631),'Full Inventory'!F:F,1,0),0)=0,"X","_")</f>
        <v>X</v>
      </c>
      <c r="D1631" t="str">
        <f t="shared" si="100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F1631" t="str">
        <f t="shared" si="101"/>
        <v>_</v>
      </c>
      <c r="K1631" t="str">
        <f t="shared" ca="1" si="102"/>
        <v>_XX_</v>
      </c>
      <c r="L1631" t="str">
        <f t="shared" ca="1" si="103"/>
        <v/>
      </c>
      <c r="M1631" t="str">
        <f>IFERROR(INDEX(Inventory!A:A,MATCH(Scan!A1631,Inventory!E:E,0)),"")</f>
        <v/>
      </c>
    </row>
    <row r="1632" spans="2:13" x14ac:dyDescent="0.3">
      <c r="B1632" t="str">
        <f>IF(IFERROR(VLOOKUP(TRIM(A1632),Inventory!E:E,1,0),0)=0,"X","_")</f>
        <v>_</v>
      </c>
      <c r="C1632" t="str">
        <f>IF(IFERROR(VLOOKUP(TRIM(A1632),'Full Inventory'!F:F,1,0),0)=0,"X","_")</f>
        <v>X</v>
      </c>
      <c r="D1632" t="str">
        <f t="shared" si="100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F1632" t="str">
        <f t="shared" si="101"/>
        <v>_</v>
      </c>
      <c r="K1632" t="str">
        <f t="shared" ca="1" si="102"/>
        <v>_XX_</v>
      </c>
      <c r="L1632" t="str">
        <f t="shared" ca="1" si="103"/>
        <v/>
      </c>
      <c r="M1632" t="str">
        <f>IFERROR(INDEX(Inventory!A:A,MATCH(Scan!A1632,Inventory!E:E,0)),"")</f>
        <v/>
      </c>
    </row>
    <row r="1633" spans="2:13" x14ac:dyDescent="0.3">
      <c r="B1633" t="str">
        <f>IF(IFERROR(VLOOKUP(TRIM(A1633),Inventory!E:E,1,0),0)=0,"X","_")</f>
        <v>_</v>
      </c>
      <c r="C1633" t="str">
        <f>IF(IFERROR(VLOOKUP(TRIM(A1633),'Full Inventory'!F:F,1,0),0)=0,"X","_")</f>
        <v>X</v>
      </c>
      <c r="D1633" t="str">
        <f t="shared" si="100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F1633" t="str">
        <f t="shared" si="101"/>
        <v>_</v>
      </c>
      <c r="K1633" t="str">
        <f t="shared" ca="1" si="102"/>
        <v>_XX_</v>
      </c>
      <c r="L1633" t="str">
        <f t="shared" ca="1" si="103"/>
        <v/>
      </c>
      <c r="M1633" t="str">
        <f>IFERROR(INDEX(Inventory!A:A,MATCH(Scan!A1633,Inventory!E:E,0)),"")</f>
        <v/>
      </c>
    </row>
    <row r="1634" spans="2:13" x14ac:dyDescent="0.3">
      <c r="B1634" t="str">
        <f>IF(IFERROR(VLOOKUP(TRIM(A1634),Inventory!E:E,1,0),0)=0,"X","_")</f>
        <v>_</v>
      </c>
      <c r="C1634" t="str">
        <f>IF(IFERROR(VLOOKUP(TRIM(A1634),'Full Inventory'!F:F,1,0),0)=0,"X","_")</f>
        <v>X</v>
      </c>
      <c r="D1634" t="str">
        <f t="shared" si="100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F1634" t="str">
        <f t="shared" si="101"/>
        <v>_</v>
      </c>
      <c r="K1634" t="str">
        <f t="shared" ca="1" si="102"/>
        <v>_XX_</v>
      </c>
      <c r="L1634" t="str">
        <f t="shared" ca="1" si="103"/>
        <v/>
      </c>
      <c r="M1634" t="str">
        <f>IFERROR(INDEX(Inventory!A:A,MATCH(Scan!A1634,Inventory!E:E,0)),"")</f>
        <v/>
      </c>
    </row>
    <row r="1635" spans="2:13" x14ac:dyDescent="0.3">
      <c r="B1635" t="str">
        <f>IF(IFERROR(VLOOKUP(TRIM(A1635),Inventory!E:E,1,0),0)=0,"X","_")</f>
        <v>_</v>
      </c>
      <c r="C1635" t="str">
        <f>IF(IFERROR(VLOOKUP(TRIM(A1635),'Full Inventory'!F:F,1,0),0)=0,"X","_")</f>
        <v>X</v>
      </c>
      <c r="D1635" t="str">
        <f t="shared" si="100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F1635" t="str">
        <f t="shared" si="101"/>
        <v>_</v>
      </c>
      <c r="K1635" t="str">
        <f t="shared" ca="1" si="102"/>
        <v>_XX_</v>
      </c>
      <c r="L1635" t="str">
        <f t="shared" ca="1" si="103"/>
        <v/>
      </c>
      <c r="M1635" t="str">
        <f>IFERROR(INDEX(Inventory!A:A,MATCH(Scan!A1635,Inventory!E:E,0)),"")</f>
        <v/>
      </c>
    </row>
    <row r="1636" spans="2:13" x14ac:dyDescent="0.3">
      <c r="B1636" t="str">
        <f>IF(IFERROR(VLOOKUP(TRIM(A1636),Inventory!E:E,1,0),0)=0,"X","_")</f>
        <v>_</v>
      </c>
      <c r="C1636" t="str">
        <f>IF(IFERROR(VLOOKUP(TRIM(A1636),'Full Inventory'!F:F,1,0),0)=0,"X","_")</f>
        <v>X</v>
      </c>
      <c r="D1636" t="str">
        <f t="shared" si="100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F1636" t="str">
        <f t="shared" si="101"/>
        <v>_</v>
      </c>
      <c r="K1636" t="str">
        <f t="shared" ca="1" si="102"/>
        <v>_XX_</v>
      </c>
      <c r="L1636" t="str">
        <f t="shared" ca="1" si="103"/>
        <v/>
      </c>
      <c r="M1636" t="str">
        <f>IFERROR(INDEX(Inventory!A:A,MATCH(Scan!A1636,Inventory!E:E,0)),"")</f>
        <v/>
      </c>
    </row>
    <row r="1637" spans="2:13" x14ac:dyDescent="0.3">
      <c r="B1637" t="str">
        <f>IF(IFERROR(VLOOKUP(TRIM(A1637),Inventory!E:E,1,0),0)=0,"X","_")</f>
        <v>_</v>
      </c>
      <c r="C1637" t="str">
        <f>IF(IFERROR(VLOOKUP(TRIM(A1637),'Full Inventory'!F:F,1,0),0)=0,"X","_")</f>
        <v>X</v>
      </c>
      <c r="D1637" t="str">
        <f t="shared" si="100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F1637" t="str">
        <f t="shared" si="101"/>
        <v>_</v>
      </c>
      <c r="K1637" t="str">
        <f t="shared" ca="1" si="102"/>
        <v>_XX_</v>
      </c>
      <c r="L1637" t="str">
        <f t="shared" ca="1" si="103"/>
        <v/>
      </c>
      <c r="M1637" t="str">
        <f>IFERROR(INDEX(Inventory!A:A,MATCH(Scan!A1637,Inventory!E:E,0)),"")</f>
        <v/>
      </c>
    </row>
    <row r="1638" spans="2:13" x14ac:dyDescent="0.3">
      <c r="B1638" t="str">
        <f>IF(IFERROR(VLOOKUP(TRIM(A1638),Inventory!E:E,1,0),0)=0,"X","_")</f>
        <v>_</v>
      </c>
      <c r="C1638" t="str">
        <f>IF(IFERROR(VLOOKUP(TRIM(A1638),'Full Inventory'!F:F,1,0),0)=0,"X","_")</f>
        <v>X</v>
      </c>
      <c r="D1638" t="str">
        <f t="shared" si="100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F1638" t="str">
        <f t="shared" si="101"/>
        <v>_</v>
      </c>
      <c r="K1638" t="str">
        <f t="shared" ca="1" si="102"/>
        <v>_XX_</v>
      </c>
      <c r="L1638" t="str">
        <f t="shared" ca="1" si="103"/>
        <v/>
      </c>
      <c r="M1638" t="str">
        <f>IFERROR(INDEX(Inventory!A:A,MATCH(Scan!A1638,Inventory!E:E,0)),"")</f>
        <v/>
      </c>
    </row>
    <row r="1639" spans="2:13" x14ac:dyDescent="0.3">
      <c r="B1639" t="str">
        <f>IF(IFERROR(VLOOKUP(TRIM(A1639),Inventory!E:E,1,0),0)=0,"X","_")</f>
        <v>_</v>
      </c>
      <c r="C1639" t="str">
        <f>IF(IFERROR(VLOOKUP(TRIM(A1639),'Full Inventory'!F:F,1,0),0)=0,"X","_")</f>
        <v>X</v>
      </c>
      <c r="D1639" t="str">
        <f t="shared" si="100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F1639" t="str">
        <f t="shared" si="101"/>
        <v>_</v>
      </c>
      <c r="K1639" t="str">
        <f t="shared" ca="1" si="102"/>
        <v>_XX_</v>
      </c>
      <c r="L1639" t="str">
        <f t="shared" ca="1" si="103"/>
        <v/>
      </c>
      <c r="M1639" t="str">
        <f>IFERROR(INDEX(Inventory!A:A,MATCH(Scan!A1639,Inventory!E:E,0)),"")</f>
        <v/>
      </c>
    </row>
    <row r="1640" spans="2:13" x14ac:dyDescent="0.3">
      <c r="B1640" t="str">
        <f>IF(IFERROR(VLOOKUP(TRIM(A1640),Inventory!E:E,1,0),0)=0,"X","_")</f>
        <v>_</v>
      </c>
      <c r="C1640" t="str">
        <f>IF(IFERROR(VLOOKUP(TRIM(A1640),'Full Inventory'!F:F,1,0),0)=0,"X","_")</f>
        <v>X</v>
      </c>
      <c r="D1640" t="str">
        <f t="shared" si="100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F1640" t="str">
        <f t="shared" si="101"/>
        <v>_</v>
      </c>
      <c r="K1640" t="str">
        <f t="shared" ca="1" si="102"/>
        <v>_XX_</v>
      </c>
      <c r="L1640" t="str">
        <f t="shared" ca="1" si="103"/>
        <v/>
      </c>
      <c r="M1640" t="str">
        <f>IFERROR(INDEX(Inventory!A:A,MATCH(Scan!A1640,Inventory!E:E,0)),"")</f>
        <v/>
      </c>
    </row>
    <row r="1641" spans="2:13" x14ac:dyDescent="0.3">
      <c r="B1641" t="str">
        <f>IF(IFERROR(VLOOKUP(TRIM(A1641),Inventory!E:E,1,0),0)=0,"X","_")</f>
        <v>_</v>
      </c>
      <c r="C1641" t="str">
        <f>IF(IFERROR(VLOOKUP(TRIM(A1641),'Full Inventory'!F:F,1,0),0)=0,"X","_")</f>
        <v>X</v>
      </c>
      <c r="D1641" t="str">
        <f t="shared" si="100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F1641" t="str">
        <f t="shared" si="101"/>
        <v>_</v>
      </c>
      <c r="K1641" t="str">
        <f t="shared" ca="1" si="102"/>
        <v>_XX_</v>
      </c>
      <c r="L1641" t="str">
        <f t="shared" ca="1" si="103"/>
        <v/>
      </c>
      <c r="M1641" t="str">
        <f>IFERROR(INDEX(Inventory!A:A,MATCH(Scan!A1641,Inventory!E:E,0)),"")</f>
        <v/>
      </c>
    </row>
    <row r="1642" spans="2:13" x14ac:dyDescent="0.3">
      <c r="B1642" t="str">
        <f>IF(IFERROR(VLOOKUP(TRIM(A1642),Inventory!E:E,1,0),0)=0,"X","_")</f>
        <v>_</v>
      </c>
      <c r="C1642" t="str">
        <f>IF(IFERROR(VLOOKUP(TRIM(A1642),'Full Inventory'!F:F,1,0),0)=0,"X","_")</f>
        <v>X</v>
      </c>
      <c r="D1642" t="str">
        <f t="shared" si="100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F1642" t="str">
        <f t="shared" si="101"/>
        <v>_</v>
      </c>
      <c r="K1642" t="str">
        <f t="shared" ca="1" si="102"/>
        <v>_XX_</v>
      </c>
      <c r="L1642" t="str">
        <f t="shared" ca="1" si="103"/>
        <v/>
      </c>
      <c r="M1642" t="str">
        <f>IFERROR(INDEX(Inventory!A:A,MATCH(Scan!A1642,Inventory!E:E,0)),"")</f>
        <v/>
      </c>
    </row>
    <row r="1643" spans="2:13" x14ac:dyDescent="0.3">
      <c r="B1643" t="str">
        <f>IF(IFERROR(VLOOKUP(TRIM(A1643),Inventory!E:E,1,0),0)=0,"X","_")</f>
        <v>_</v>
      </c>
      <c r="C1643" t="str">
        <f>IF(IFERROR(VLOOKUP(TRIM(A1643),'Full Inventory'!F:F,1,0),0)=0,"X","_")</f>
        <v>X</v>
      </c>
      <c r="D1643" t="str">
        <f t="shared" si="100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F1643" t="str">
        <f t="shared" si="101"/>
        <v>_</v>
      </c>
      <c r="K1643" t="str">
        <f t="shared" ca="1" si="102"/>
        <v>_XX_</v>
      </c>
      <c r="L1643" t="str">
        <f t="shared" ca="1" si="103"/>
        <v/>
      </c>
      <c r="M1643" t="str">
        <f>IFERROR(INDEX(Inventory!A:A,MATCH(Scan!A1643,Inventory!E:E,0)),"")</f>
        <v/>
      </c>
    </row>
    <row r="1644" spans="2:13" x14ac:dyDescent="0.3">
      <c r="B1644" t="str">
        <f>IF(IFERROR(VLOOKUP(TRIM(A1644),Inventory!E:E,1,0),0)=0,"X","_")</f>
        <v>_</v>
      </c>
      <c r="C1644" t="str">
        <f>IF(IFERROR(VLOOKUP(TRIM(A1644),'Full Inventory'!F:F,1,0),0)=0,"X","_")</f>
        <v>X</v>
      </c>
      <c r="D1644" t="str">
        <f t="shared" si="100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F1644" t="str">
        <f t="shared" si="101"/>
        <v>_</v>
      </c>
      <c r="K1644" t="str">
        <f t="shared" ca="1" si="102"/>
        <v>_XX_</v>
      </c>
      <c r="L1644" t="str">
        <f t="shared" ca="1" si="103"/>
        <v/>
      </c>
      <c r="M1644" t="str">
        <f>IFERROR(INDEX(Inventory!A:A,MATCH(Scan!A1644,Inventory!E:E,0)),"")</f>
        <v/>
      </c>
    </row>
    <row r="1645" spans="2:13" x14ac:dyDescent="0.3">
      <c r="B1645" t="str">
        <f>IF(IFERROR(VLOOKUP(TRIM(A1645),Inventory!E:E,1,0),0)=0,"X","_")</f>
        <v>_</v>
      </c>
      <c r="C1645" t="str">
        <f>IF(IFERROR(VLOOKUP(TRIM(A1645),'Full Inventory'!F:F,1,0),0)=0,"X","_")</f>
        <v>X</v>
      </c>
      <c r="D1645" t="str">
        <f t="shared" si="100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F1645" t="str">
        <f t="shared" si="101"/>
        <v>_</v>
      </c>
      <c r="K1645" t="str">
        <f t="shared" ca="1" si="102"/>
        <v>_XX_</v>
      </c>
      <c r="L1645" t="str">
        <f t="shared" ca="1" si="103"/>
        <v/>
      </c>
      <c r="M1645" t="str">
        <f>IFERROR(INDEX(Inventory!A:A,MATCH(Scan!A1645,Inventory!E:E,0)),"")</f>
        <v/>
      </c>
    </row>
    <row r="1646" spans="2:13" x14ac:dyDescent="0.3">
      <c r="B1646" t="str">
        <f>IF(IFERROR(VLOOKUP(TRIM(A1646),Inventory!E:E,1,0),0)=0,"X","_")</f>
        <v>_</v>
      </c>
      <c r="C1646" t="str">
        <f>IF(IFERROR(VLOOKUP(TRIM(A1646),'Full Inventory'!F:F,1,0),0)=0,"X","_")</f>
        <v>X</v>
      </c>
      <c r="D1646" t="str">
        <f t="shared" si="100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F1646" t="str">
        <f t="shared" si="101"/>
        <v>_</v>
      </c>
      <c r="K1646" t="str">
        <f t="shared" ca="1" si="102"/>
        <v>_XX_</v>
      </c>
      <c r="L1646" t="str">
        <f t="shared" ca="1" si="103"/>
        <v/>
      </c>
      <c r="M1646" t="str">
        <f>IFERROR(INDEX(Inventory!A:A,MATCH(Scan!A1646,Inventory!E:E,0)),"")</f>
        <v/>
      </c>
    </row>
    <row r="1647" spans="2:13" x14ac:dyDescent="0.3">
      <c r="B1647" t="str">
        <f>IF(IFERROR(VLOOKUP(TRIM(A1647),Inventory!E:E,1,0),0)=0,"X","_")</f>
        <v>_</v>
      </c>
      <c r="C1647" t="str">
        <f>IF(IFERROR(VLOOKUP(TRIM(A1647),'Full Inventory'!F:F,1,0),0)=0,"X","_")</f>
        <v>X</v>
      </c>
      <c r="D1647" t="str">
        <f t="shared" si="100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F1647" t="str">
        <f t="shared" si="101"/>
        <v>_</v>
      </c>
      <c r="K1647" t="str">
        <f t="shared" ca="1" si="102"/>
        <v>_XX_</v>
      </c>
      <c r="L1647" t="str">
        <f t="shared" ca="1" si="103"/>
        <v/>
      </c>
      <c r="M1647" t="str">
        <f>IFERROR(INDEX(Inventory!A:A,MATCH(Scan!A1647,Inventory!E:E,0)),"")</f>
        <v/>
      </c>
    </row>
    <row r="1648" spans="2:13" x14ac:dyDescent="0.3">
      <c r="B1648" t="str">
        <f>IF(IFERROR(VLOOKUP(TRIM(A1648),Inventory!E:E,1,0),0)=0,"X","_")</f>
        <v>_</v>
      </c>
      <c r="C1648" t="str">
        <f>IF(IFERROR(VLOOKUP(TRIM(A1648),'Full Inventory'!F:F,1,0),0)=0,"X","_")</f>
        <v>X</v>
      </c>
      <c r="D1648" t="str">
        <f t="shared" si="100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F1648" t="str">
        <f t="shared" si="101"/>
        <v>_</v>
      </c>
      <c r="K1648" t="str">
        <f t="shared" ca="1" si="102"/>
        <v>_XX_</v>
      </c>
      <c r="L1648" t="str">
        <f t="shared" ca="1" si="103"/>
        <v/>
      </c>
      <c r="M1648" t="str">
        <f>IFERROR(INDEX(Inventory!A:A,MATCH(Scan!A1648,Inventory!E:E,0)),"")</f>
        <v/>
      </c>
    </row>
    <row r="1649" spans="2:13" x14ac:dyDescent="0.3">
      <c r="B1649" t="str">
        <f>IF(IFERROR(VLOOKUP(TRIM(A1649),Inventory!E:E,1,0),0)=0,"X","_")</f>
        <v>_</v>
      </c>
      <c r="C1649" t="str">
        <f>IF(IFERROR(VLOOKUP(TRIM(A1649),'Full Inventory'!F:F,1,0),0)=0,"X","_")</f>
        <v>X</v>
      </c>
      <c r="D1649" t="str">
        <f t="shared" si="100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F1649" t="str">
        <f t="shared" si="101"/>
        <v>_</v>
      </c>
      <c r="K1649" t="str">
        <f t="shared" ca="1" si="102"/>
        <v>_XX_</v>
      </c>
      <c r="L1649" t="str">
        <f t="shared" ca="1" si="103"/>
        <v/>
      </c>
      <c r="M1649" t="str">
        <f>IFERROR(INDEX(Inventory!A:A,MATCH(Scan!A1649,Inventory!E:E,0)),"")</f>
        <v/>
      </c>
    </row>
    <row r="1650" spans="2:13" x14ac:dyDescent="0.3">
      <c r="B1650" t="str">
        <f>IF(IFERROR(VLOOKUP(TRIM(A1650),Inventory!E:E,1,0),0)=0,"X","_")</f>
        <v>_</v>
      </c>
      <c r="C1650" t="str">
        <f>IF(IFERROR(VLOOKUP(TRIM(A1650),'Full Inventory'!F:F,1,0),0)=0,"X","_")</f>
        <v>X</v>
      </c>
      <c r="D1650" t="str">
        <f t="shared" si="100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F1650" t="str">
        <f t="shared" si="101"/>
        <v>_</v>
      </c>
      <c r="K1650" t="str">
        <f t="shared" ca="1" si="102"/>
        <v>_XX_</v>
      </c>
      <c r="L1650" t="str">
        <f t="shared" ca="1" si="103"/>
        <v/>
      </c>
      <c r="M1650" t="str">
        <f>IFERROR(INDEX(Inventory!A:A,MATCH(Scan!A1650,Inventory!E:E,0)),"")</f>
        <v/>
      </c>
    </row>
    <row r="1651" spans="2:13" x14ac:dyDescent="0.3">
      <c r="B1651" t="str">
        <f>IF(IFERROR(VLOOKUP(TRIM(A1651),Inventory!E:E,1,0),0)=0,"X","_")</f>
        <v>_</v>
      </c>
      <c r="C1651" t="str">
        <f>IF(IFERROR(VLOOKUP(TRIM(A1651),'Full Inventory'!F:F,1,0),0)=0,"X","_")</f>
        <v>X</v>
      </c>
      <c r="D1651" t="str">
        <f t="shared" si="100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F1651" t="str">
        <f t="shared" si="101"/>
        <v>_</v>
      </c>
      <c r="K1651" t="str">
        <f t="shared" ca="1" si="102"/>
        <v>_XX_</v>
      </c>
      <c r="L1651" t="str">
        <f t="shared" ca="1" si="103"/>
        <v/>
      </c>
      <c r="M1651" t="str">
        <f>IFERROR(INDEX(Inventory!A:A,MATCH(Scan!A1651,Inventory!E:E,0)),"")</f>
        <v/>
      </c>
    </row>
    <row r="1652" spans="2:13" x14ac:dyDescent="0.3">
      <c r="B1652" t="str">
        <f>IF(IFERROR(VLOOKUP(TRIM(A1652),Inventory!E:E,1,0),0)=0,"X","_")</f>
        <v>_</v>
      </c>
      <c r="C1652" t="str">
        <f>IF(IFERROR(VLOOKUP(TRIM(A1652),'Full Inventory'!F:F,1,0),0)=0,"X","_")</f>
        <v>X</v>
      </c>
      <c r="D1652" t="str">
        <f t="shared" si="100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F1652" t="str">
        <f t="shared" si="101"/>
        <v>_</v>
      </c>
      <c r="K1652" t="str">
        <f t="shared" ca="1" si="102"/>
        <v>_XX_</v>
      </c>
      <c r="L1652" t="str">
        <f t="shared" ca="1" si="103"/>
        <v/>
      </c>
      <c r="M1652" t="str">
        <f>IFERROR(INDEX(Inventory!A:A,MATCH(Scan!A1652,Inventory!E:E,0)),"")</f>
        <v/>
      </c>
    </row>
    <row r="1653" spans="2:13" x14ac:dyDescent="0.3">
      <c r="B1653" t="str">
        <f>IF(IFERROR(VLOOKUP(TRIM(A1653),Inventory!E:E,1,0),0)=0,"X","_")</f>
        <v>_</v>
      </c>
      <c r="C1653" t="str">
        <f>IF(IFERROR(VLOOKUP(TRIM(A1653),'Full Inventory'!F:F,1,0),0)=0,"X","_")</f>
        <v>X</v>
      </c>
      <c r="D1653" t="str">
        <f t="shared" si="100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F1653" t="str">
        <f t="shared" si="101"/>
        <v>_</v>
      </c>
      <c r="K1653" t="str">
        <f t="shared" ca="1" si="102"/>
        <v>_XX_</v>
      </c>
      <c r="L1653" t="str">
        <f t="shared" ca="1" si="103"/>
        <v/>
      </c>
      <c r="M1653" t="str">
        <f>IFERROR(INDEX(Inventory!A:A,MATCH(Scan!A1653,Inventory!E:E,0)),"")</f>
        <v/>
      </c>
    </row>
    <row r="1654" spans="2:13" x14ac:dyDescent="0.3">
      <c r="B1654" t="str">
        <f>IF(IFERROR(VLOOKUP(TRIM(A1654),Inventory!E:E,1,0),0)=0,"X","_")</f>
        <v>_</v>
      </c>
      <c r="C1654" t="str">
        <f>IF(IFERROR(VLOOKUP(TRIM(A1654),'Full Inventory'!F:F,1,0),0)=0,"X","_")</f>
        <v>X</v>
      </c>
      <c r="D1654" t="str">
        <f t="shared" si="100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F1654" t="str">
        <f t="shared" si="101"/>
        <v>_</v>
      </c>
      <c r="K1654" t="str">
        <f t="shared" ca="1" si="102"/>
        <v>_XX_</v>
      </c>
      <c r="L1654" t="str">
        <f t="shared" ca="1" si="103"/>
        <v/>
      </c>
      <c r="M1654" t="str">
        <f>IFERROR(INDEX(Inventory!A:A,MATCH(Scan!A1654,Inventory!E:E,0)),"")</f>
        <v/>
      </c>
    </row>
    <row r="1655" spans="2:13" x14ac:dyDescent="0.3">
      <c r="B1655" t="str">
        <f>IF(IFERROR(VLOOKUP(TRIM(A1655),Inventory!E:E,1,0),0)=0,"X","_")</f>
        <v>_</v>
      </c>
      <c r="C1655" t="str">
        <f>IF(IFERROR(VLOOKUP(TRIM(A1655),'Full Inventory'!F:F,1,0),0)=0,"X","_")</f>
        <v>X</v>
      </c>
      <c r="D1655" t="str">
        <f t="shared" si="100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F1655" t="str">
        <f t="shared" si="101"/>
        <v>_</v>
      </c>
      <c r="K1655" t="str">
        <f t="shared" ca="1" si="102"/>
        <v>_XX_</v>
      </c>
      <c r="L1655" t="str">
        <f t="shared" ca="1" si="103"/>
        <v/>
      </c>
      <c r="M1655" t="str">
        <f>IFERROR(INDEX(Inventory!A:A,MATCH(Scan!A1655,Inventory!E:E,0)),"")</f>
        <v/>
      </c>
    </row>
    <row r="1656" spans="2:13" x14ac:dyDescent="0.3">
      <c r="B1656" t="str">
        <f>IF(IFERROR(VLOOKUP(TRIM(A1656),Inventory!E:E,1,0),0)=0,"X","_")</f>
        <v>_</v>
      </c>
      <c r="C1656" t="str">
        <f>IF(IFERROR(VLOOKUP(TRIM(A1656),'Full Inventory'!F:F,1,0),0)=0,"X","_")</f>
        <v>X</v>
      </c>
      <c r="D1656" t="str">
        <f t="shared" si="100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F1656" t="str">
        <f t="shared" si="101"/>
        <v>_</v>
      </c>
      <c r="K1656" t="str">
        <f t="shared" ca="1" si="102"/>
        <v>_XX_</v>
      </c>
      <c r="L1656" t="str">
        <f t="shared" ca="1" si="103"/>
        <v/>
      </c>
      <c r="M1656" t="str">
        <f>IFERROR(INDEX(Inventory!A:A,MATCH(Scan!A1656,Inventory!E:E,0)),"")</f>
        <v/>
      </c>
    </row>
    <row r="1657" spans="2:13" x14ac:dyDescent="0.3">
      <c r="B1657" t="str">
        <f>IF(IFERROR(VLOOKUP(TRIM(A1657),Inventory!E:E,1,0),0)=0,"X","_")</f>
        <v>_</v>
      </c>
      <c r="C1657" t="str">
        <f>IF(IFERROR(VLOOKUP(TRIM(A1657),'Full Inventory'!F:F,1,0),0)=0,"X","_")</f>
        <v>X</v>
      </c>
      <c r="D1657" t="str">
        <f t="shared" si="100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F1657" t="str">
        <f t="shared" si="101"/>
        <v>_</v>
      </c>
      <c r="K1657" t="str">
        <f t="shared" ca="1" si="102"/>
        <v>_XX_</v>
      </c>
      <c r="L1657" t="str">
        <f t="shared" ca="1" si="103"/>
        <v/>
      </c>
      <c r="M1657" t="str">
        <f>IFERROR(INDEX(Inventory!A:A,MATCH(Scan!A1657,Inventory!E:E,0)),"")</f>
        <v/>
      </c>
    </row>
    <row r="1658" spans="2:13" x14ac:dyDescent="0.3">
      <c r="B1658" t="str">
        <f>IF(IFERROR(VLOOKUP(TRIM(A1658),Inventory!E:E,1,0),0)=0,"X","_")</f>
        <v>_</v>
      </c>
      <c r="C1658" t="str">
        <f>IF(IFERROR(VLOOKUP(TRIM(A1658),'Full Inventory'!F:F,1,0),0)=0,"X","_")</f>
        <v>X</v>
      </c>
      <c r="D1658" t="str">
        <f t="shared" si="100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F1658" t="str">
        <f t="shared" si="101"/>
        <v>_</v>
      </c>
      <c r="K1658" t="str">
        <f t="shared" ca="1" si="102"/>
        <v>_XX_</v>
      </c>
      <c r="L1658" t="str">
        <f t="shared" ca="1" si="103"/>
        <v/>
      </c>
      <c r="M1658" t="str">
        <f>IFERROR(INDEX(Inventory!A:A,MATCH(Scan!A1658,Inventory!E:E,0)),"")</f>
        <v/>
      </c>
    </row>
    <row r="1659" spans="2:13" x14ac:dyDescent="0.3">
      <c r="B1659" t="str">
        <f>IF(IFERROR(VLOOKUP(TRIM(A1659),Inventory!E:E,1,0),0)=0,"X","_")</f>
        <v>_</v>
      </c>
      <c r="C1659" t="str">
        <f>IF(IFERROR(VLOOKUP(TRIM(A1659),'Full Inventory'!F:F,1,0),0)=0,"X","_")</f>
        <v>X</v>
      </c>
      <c r="D1659" t="str">
        <f t="shared" si="100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F1659" t="str">
        <f t="shared" si="101"/>
        <v>_</v>
      </c>
      <c r="K1659" t="str">
        <f t="shared" ca="1" si="102"/>
        <v>_XX_</v>
      </c>
      <c r="L1659" t="str">
        <f t="shared" ca="1" si="103"/>
        <v/>
      </c>
      <c r="M1659" t="str">
        <f>IFERROR(INDEX(Inventory!A:A,MATCH(Scan!A1659,Inventory!E:E,0)),"")</f>
        <v/>
      </c>
    </row>
    <row r="1660" spans="2:13" x14ac:dyDescent="0.3">
      <c r="B1660" t="str">
        <f>IF(IFERROR(VLOOKUP(TRIM(A1660),Inventory!E:E,1,0),0)=0,"X","_")</f>
        <v>_</v>
      </c>
      <c r="C1660" t="str">
        <f>IF(IFERROR(VLOOKUP(TRIM(A1660),'Full Inventory'!F:F,1,0),0)=0,"X","_")</f>
        <v>X</v>
      </c>
      <c r="D1660" t="str">
        <f t="shared" si="100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F1660" t="str">
        <f t="shared" si="101"/>
        <v>_</v>
      </c>
      <c r="K1660" t="str">
        <f t="shared" ca="1" si="102"/>
        <v>_XX_</v>
      </c>
      <c r="L1660" t="str">
        <f t="shared" ca="1" si="103"/>
        <v/>
      </c>
      <c r="M1660" t="str">
        <f>IFERROR(INDEX(Inventory!A:A,MATCH(Scan!A1660,Inventory!E:E,0)),"")</f>
        <v/>
      </c>
    </row>
    <row r="1661" spans="2:13" x14ac:dyDescent="0.3">
      <c r="B1661" t="str">
        <f>IF(IFERROR(VLOOKUP(TRIM(A1661),Inventory!E:E,1,0),0)=0,"X","_")</f>
        <v>_</v>
      </c>
      <c r="C1661" t="str">
        <f>IF(IFERROR(VLOOKUP(TRIM(A1661),'Full Inventory'!F:F,1,0),0)=0,"X","_")</f>
        <v>X</v>
      </c>
      <c r="D1661" t="str">
        <f t="shared" si="100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F1661" t="str">
        <f t="shared" si="101"/>
        <v>_</v>
      </c>
      <c r="K1661" t="str">
        <f t="shared" ca="1" si="102"/>
        <v>_XX_</v>
      </c>
      <c r="L1661" t="str">
        <f t="shared" ca="1" si="103"/>
        <v/>
      </c>
      <c r="M1661" t="str">
        <f>IFERROR(INDEX(Inventory!A:A,MATCH(Scan!A1661,Inventory!E:E,0)),"")</f>
        <v/>
      </c>
    </row>
    <row r="1662" spans="2:13" x14ac:dyDescent="0.3">
      <c r="B1662" t="str">
        <f>IF(IFERROR(VLOOKUP(TRIM(A1662),Inventory!E:E,1,0),0)=0,"X","_")</f>
        <v>_</v>
      </c>
      <c r="C1662" t="str">
        <f>IF(IFERROR(VLOOKUP(TRIM(A1662),'Full Inventory'!F:F,1,0),0)=0,"X","_")</f>
        <v>X</v>
      </c>
      <c r="D1662" t="str">
        <f t="shared" si="100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F1662" t="str">
        <f t="shared" si="101"/>
        <v>_</v>
      </c>
      <c r="K1662" t="str">
        <f t="shared" ca="1" si="102"/>
        <v>_XX_</v>
      </c>
      <c r="L1662" t="str">
        <f t="shared" ca="1" si="103"/>
        <v/>
      </c>
      <c r="M1662" t="str">
        <f>IFERROR(INDEX(Inventory!A:A,MATCH(Scan!A1662,Inventory!E:E,0)),"")</f>
        <v/>
      </c>
    </row>
    <row r="1663" spans="2:13" x14ac:dyDescent="0.3">
      <c r="B1663" t="str">
        <f>IF(IFERROR(VLOOKUP(TRIM(A1663),Inventory!E:E,1,0),0)=0,"X","_")</f>
        <v>_</v>
      </c>
      <c r="C1663" t="str">
        <f>IF(IFERROR(VLOOKUP(TRIM(A1663),'Full Inventory'!F:F,1,0),0)=0,"X","_")</f>
        <v>X</v>
      </c>
      <c r="D1663" t="str">
        <f t="shared" si="100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F1663" t="str">
        <f t="shared" si="101"/>
        <v>_</v>
      </c>
      <c r="K1663" t="str">
        <f t="shared" ca="1" si="102"/>
        <v>_XX_</v>
      </c>
      <c r="L1663" t="str">
        <f t="shared" ca="1" si="103"/>
        <v/>
      </c>
      <c r="M1663" t="str">
        <f>IFERROR(INDEX(Inventory!A:A,MATCH(Scan!A1663,Inventory!E:E,0)),"")</f>
        <v/>
      </c>
    </row>
    <row r="1664" spans="2:13" x14ac:dyDescent="0.3">
      <c r="B1664" t="str">
        <f>IF(IFERROR(VLOOKUP(TRIM(A1664),Inventory!E:E,1,0),0)=0,"X","_")</f>
        <v>_</v>
      </c>
      <c r="C1664" t="str">
        <f>IF(IFERROR(VLOOKUP(TRIM(A1664),'Full Inventory'!F:F,1,0),0)=0,"X","_")</f>
        <v>X</v>
      </c>
      <c r="D1664" t="str">
        <f t="shared" si="100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F1664" t="str">
        <f t="shared" si="101"/>
        <v>_</v>
      </c>
      <c r="K1664" t="str">
        <f t="shared" ca="1" si="102"/>
        <v>_XX_</v>
      </c>
      <c r="L1664" t="str">
        <f t="shared" ca="1" si="103"/>
        <v/>
      </c>
      <c r="M1664" t="str">
        <f>IFERROR(INDEX(Inventory!A:A,MATCH(Scan!A1664,Inventory!E:E,0)),"")</f>
        <v/>
      </c>
    </row>
    <row r="1665" spans="2:13" x14ac:dyDescent="0.3">
      <c r="B1665" t="str">
        <f>IF(IFERROR(VLOOKUP(TRIM(A1665),Inventory!E:E,1,0),0)=0,"X","_")</f>
        <v>_</v>
      </c>
      <c r="C1665" t="str">
        <f>IF(IFERROR(VLOOKUP(TRIM(A1665),'Full Inventory'!F:F,1,0),0)=0,"X","_")</f>
        <v>X</v>
      </c>
      <c r="D1665" t="str">
        <f t="shared" si="100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F1665" t="str">
        <f t="shared" si="101"/>
        <v>_</v>
      </c>
      <c r="K1665" t="str">
        <f t="shared" ca="1" si="102"/>
        <v>_XX_</v>
      </c>
      <c r="L1665" t="str">
        <f t="shared" ca="1" si="103"/>
        <v/>
      </c>
      <c r="M1665" t="str">
        <f>IFERROR(INDEX(Inventory!A:A,MATCH(Scan!A1665,Inventory!E:E,0)),"")</f>
        <v/>
      </c>
    </row>
    <row r="1666" spans="2:13" x14ac:dyDescent="0.3">
      <c r="B1666" t="str">
        <f>IF(IFERROR(VLOOKUP(TRIM(A1666),Inventory!E:E,1,0),0)=0,"X","_")</f>
        <v>_</v>
      </c>
      <c r="C1666" t="str">
        <f>IF(IFERROR(VLOOKUP(TRIM(A1666),'Full Inventory'!F:F,1,0),0)=0,"X","_")</f>
        <v>X</v>
      </c>
      <c r="D1666" t="str">
        <f t="shared" ref="D1666:D1729" si="104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F1666" t="str">
        <f t="shared" si="101"/>
        <v>_</v>
      </c>
      <c r="K1666" t="str">
        <f t="shared" ca="1" si="102"/>
        <v>_XX_</v>
      </c>
      <c r="L1666" t="str">
        <f t="shared" ca="1" si="103"/>
        <v/>
      </c>
      <c r="M1666" t="str">
        <f>IFERROR(INDEX(Inventory!A:A,MATCH(Scan!A1666,Inventory!E:E,0)),"")</f>
        <v/>
      </c>
    </row>
    <row r="1667" spans="2:13" x14ac:dyDescent="0.3">
      <c r="B1667" t="str">
        <f>IF(IFERROR(VLOOKUP(TRIM(A1667),Inventory!E:E,1,0),0)=0,"X","_")</f>
        <v>_</v>
      </c>
      <c r="C1667" t="str">
        <f>IF(IFERROR(VLOOKUP(TRIM(A1667),'Full Inventory'!F:F,1,0),0)=0,"X","_")</f>
        <v>X</v>
      </c>
      <c r="D1667" t="str">
        <f t="shared" si="104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F1667" t="str">
        <f t="shared" ref="F1667:F1730" si="105">IF(IFERROR(SEARCH("ö",A1667),0)&gt;0,"X","_")</f>
        <v>_</v>
      </c>
      <c r="K1667" t="str">
        <f t="shared" ref="K1667:K1730" ca="1" si="106">B1667&amp;C1667&amp;D1667&amp;E1667</f>
        <v>_XX_</v>
      </c>
      <c r="L1667" t="str">
        <f t="shared" ref="L1667:L1730" ca="1" si="107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3">
      <c r="B1668" t="str">
        <f>IF(IFERROR(VLOOKUP(TRIM(A1668),Inventory!E:E,1,0),0)=0,"X","_")</f>
        <v>_</v>
      </c>
      <c r="C1668" t="str">
        <f>IF(IFERROR(VLOOKUP(TRIM(A1668),'Full Inventory'!F:F,1,0),0)=0,"X","_")</f>
        <v>X</v>
      </c>
      <c r="D1668" t="str">
        <f t="shared" si="104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F1668" t="str">
        <f t="shared" si="105"/>
        <v>_</v>
      </c>
      <c r="K1668" t="str">
        <f t="shared" ca="1" si="106"/>
        <v>_XX_</v>
      </c>
      <c r="L1668" t="str">
        <f t="shared" ca="1" si="107"/>
        <v/>
      </c>
      <c r="M1668" t="str">
        <f>IFERROR(INDEX(Inventory!A:A,MATCH(Scan!A1668,Inventory!E:E,0)),"")</f>
        <v/>
      </c>
    </row>
    <row r="1669" spans="2:13" x14ac:dyDescent="0.3">
      <c r="B1669" t="str">
        <f>IF(IFERROR(VLOOKUP(TRIM(A1669),Inventory!E:E,1,0),0)=0,"X","_")</f>
        <v>_</v>
      </c>
      <c r="C1669" t="str">
        <f>IF(IFERROR(VLOOKUP(TRIM(A1669),'Full Inventory'!F:F,1,0),0)=0,"X","_")</f>
        <v>X</v>
      </c>
      <c r="D1669" t="str">
        <f t="shared" si="104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F1669" t="str">
        <f t="shared" si="105"/>
        <v>_</v>
      </c>
      <c r="K1669" t="str">
        <f t="shared" ca="1" si="106"/>
        <v>_XX_</v>
      </c>
      <c r="L1669" t="str">
        <f t="shared" ca="1" si="107"/>
        <v/>
      </c>
      <c r="M1669" t="str">
        <f>IFERROR(INDEX(Inventory!A:A,MATCH(Scan!A1669,Inventory!E:E,0)),"")</f>
        <v/>
      </c>
    </row>
    <row r="1670" spans="2:13" x14ac:dyDescent="0.3">
      <c r="B1670" t="str">
        <f>IF(IFERROR(VLOOKUP(TRIM(A1670),Inventory!E:E,1,0),0)=0,"X","_")</f>
        <v>_</v>
      </c>
      <c r="C1670" t="str">
        <f>IF(IFERROR(VLOOKUP(TRIM(A1670),'Full Inventory'!F:F,1,0),0)=0,"X","_")</f>
        <v>X</v>
      </c>
      <c r="D1670" t="str">
        <f t="shared" si="104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F1670" t="str">
        <f t="shared" si="105"/>
        <v>_</v>
      </c>
      <c r="K1670" t="str">
        <f t="shared" ca="1" si="106"/>
        <v>_XX_</v>
      </c>
      <c r="L1670" t="str">
        <f t="shared" ca="1" si="107"/>
        <v/>
      </c>
      <c r="M1670" t="str">
        <f>IFERROR(INDEX(Inventory!A:A,MATCH(Scan!A1670,Inventory!E:E,0)),"")</f>
        <v/>
      </c>
    </row>
    <row r="1671" spans="2:13" x14ac:dyDescent="0.3">
      <c r="B1671" t="str">
        <f>IF(IFERROR(VLOOKUP(TRIM(A1671),Inventory!E:E,1,0),0)=0,"X","_")</f>
        <v>_</v>
      </c>
      <c r="C1671" t="str">
        <f>IF(IFERROR(VLOOKUP(TRIM(A1671),'Full Inventory'!F:F,1,0),0)=0,"X","_")</f>
        <v>X</v>
      </c>
      <c r="D1671" t="str">
        <f t="shared" si="104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F1671" t="str">
        <f t="shared" si="105"/>
        <v>_</v>
      </c>
      <c r="K1671" t="str">
        <f t="shared" ca="1" si="106"/>
        <v>_XX_</v>
      </c>
      <c r="L1671" t="str">
        <f t="shared" ca="1" si="107"/>
        <v/>
      </c>
      <c r="M1671" t="str">
        <f>IFERROR(INDEX(Inventory!A:A,MATCH(Scan!A1671,Inventory!E:E,0)),"")</f>
        <v/>
      </c>
    </row>
    <row r="1672" spans="2:13" x14ac:dyDescent="0.3">
      <c r="B1672" t="str">
        <f>IF(IFERROR(VLOOKUP(TRIM(A1672),Inventory!E:E,1,0),0)=0,"X","_")</f>
        <v>_</v>
      </c>
      <c r="C1672" t="str">
        <f>IF(IFERROR(VLOOKUP(TRIM(A1672),'Full Inventory'!F:F,1,0),0)=0,"X","_")</f>
        <v>X</v>
      </c>
      <c r="D1672" t="str">
        <f t="shared" si="104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F1672" t="str">
        <f t="shared" si="105"/>
        <v>_</v>
      </c>
      <c r="K1672" t="str">
        <f t="shared" ca="1" si="106"/>
        <v>_XX_</v>
      </c>
      <c r="L1672" t="str">
        <f t="shared" ca="1" si="107"/>
        <v/>
      </c>
      <c r="M1672" t="str">
        <f>IFERROR(INDEX(Inventory!A:A,MATCH(Scan!A1672,Inventory!E:E,0)),"")</f>
        <v/>
      </c>
    </row>
    <row r="1673" spans="2:13" x14ac:dyDescent="0.3">
      <c r="B1673" t="str">
        <f>IF(IFERROR(VLOOKUP(TRIM(A1673),Inventory!E:E,1,0),0)=0,"X","_")</f>
        <v>_</v>
      </c>
      <c r="C1673" t="str">
        <f>IF(IFERROR(VLOOKUP(TRIM(A1673),'Full Inventory'!F:F,1,0),0)=0,"X","_")</f>
        <v>X</v>
      </c>
      <c r="D1673" t="str">
        <f t="shared" si="104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F1673" t="str">
        <f t="shared" si="105"/>
        <v>_</v>
      </c>
      <c r="K1673" t="str">
        <f t="shared" ca="1" si="106"/>
        <v>_XX_</v>
      </c>
      <c r="L1673" t="str">
        <f t="shared" ca="1" si="107"/>
        <v/>
      </c>
      <c r="M1673" t="str">
        <f>IFERROR(INDEX(Inventory!A:A,MATCH(Scan!A1673,Inventory!E:E,0)),"")</f>
        <v/>
      </c>
    </row>
    <row r="1674" spans="2:13" x14ac:dyDescent="0.3">
      <c r="B1674" t="str">
        <f>IF(IFERROR(VLOOKUP(TRIM(A1674),Inventory!E:E,1,0),0)=0,"X","_")</f>
        <v>_</v>
      </c>
      <c r="C1674" t="str">
        <f>IF(IFERROR(VLOOKUP(TRIM(A1674),'Full Inventory'!F:F,1,0),0)=0,"X","_")</f>
        <v>X</v>
      </c>
      <c r="D1674" t="str">
        <f t="shared" si="104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F1674" t="str">
        <f t="shared" si="105"/>
        <v>_</v>
      </c>
      <c r="K1674" t="str">
        <f t="shared" ca="1" si="106"/>
        <v>_XX_</v>
      </c>
      <c r="L1674" t="str">
        <f t="shared" ca="1" si="107"/>
        <v/>
      </c>
      <c r="M1674" t="str">
        <f>IFERROR(INDEX(Inventory!A:A,MATCH(Scan!A1674,Inventory!E:E,0)),"")</f>
        <v/>
      </c>
    </row>
    <row r="1675" spans="2:13" x14ac:dyDescent="0.3">
      <c r="B1675" t="str">
        <f>IF(IFERROR(VLOOKUP(TRIM(A1675),Inventory!E:E,1,0),0)=0,"X","_")</f>
        <v>_</v>
      </c>
      <c r="C1675" t="str">
        <f>IF(IFERROR(VLOOKUP(TRIM(A1675),'Full Inventory'!F:F,1,0),0)=0,"X","_")</f>
        <v>X</v>
      </c>
      <c r="D1675" t="str">
        <f t="shared" si="104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F1675" t="str">
        <f t="shared" si="105"/>
        <v>_</v>
      </c>
      <c r="K1675" t="str">
        <f t="shared" ca="1" si="106"/>
        <v>_XX_</v>
      </c>
      <c r="L1675" t="str">
        <f t="shared" ca="1" si="107"/>
        <v/>
      </c>
      <c r="M1675" t="str">
        <f>IFERROR(INDEX(Inventory!A:A,MATCH(Scan!A1675,Inventory!E:E,0)),"")</f>
        <v/>
      </c>
    </row>
    <row r="1676" spans="2:13" x14ac:dyDescent="0.3">
      <c r="B1676" t="str">
        <f>IF(IFERROR(VLOOKUP(TRIM(A1676),Inventory!E:E,1,0),0)=0,"X","_")</f>
        <v>_</v>
      </c>
      <c r="C1676" t="str">
        <f>IF(IFERROR(VLOOKUP(TRIM(A1676),'Full Inventory'!F:F,1,0),0)=0,"X","_")</f>
        <v>X</v>
      </c>
      <c r="D1676" t="str">
        <f t="shared" si="104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F1676" t="str">
        <f t="shared" si="105"/>
        <v>_</v>
      </c>
      <c r="K1676" t="str">
        <f t="shared" ca="1" si="106"/>
        <v>_XX_</v>
      </c>
      <c r="L1676" t="str">
        <f t="shared" ca="1" si="107"/>
        <v/>
      </c>
      <c r="M1676" t="str">
        <f>IFERROR(INDEX(Inventory!A:A,MATCH(Scan!A1676,Inventory!E:E,0)),"")</f>
        <v/>
      </c>
    </row>
    <row r="1677" spans="2:13" x14ac:dyDescent="0.3">
      <c r="B1677" t="str">
        <f>IF(IFERROR(VLOOKUP(TRIM(A1677),Inventory!E:E,1,0),0)=0,"X","_")</f>
        <v>_</v>
      </c>
      <c r="C1677" t="str">
        <f>IF(IFERROR(VLOOKUP(TRIM(A1677),'Full Inventory'!F:F,1,0),0)=0,"X","_")</f>
        <v>X</v>
      </c>
      <c r="D1677" t="str">
        <f t="shared" si="104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F1677" t="str">
        <f t="shared" si="105"/>
        <v>_</v>
      </c>
      <c r="K1677" t="str">
        <f t="shared" ca="1" si="106"/>
        <v>_XX_</v>
      </c>
      <c r="L1677" t="str">
        <f t="shared" ca="1" si="107"/>
        <v/>
      </c>
      <c r="M1677" t="str">
        <f>IFERROR(INDEX(Inventory!A:A,MATCH(Scan!A1677,Inventory!E:E,0)),"")</f>
        <v/>
      </c>
    </row>
    <row r="1678" spans="2:13" x14ac:dyDescent="0.3">
      <c r="B1678" t="str">
        <f>IF(IFERROR(VLOOKUP(TRIM(A1678),Inventory!E:E,1,0),0)=0,"X","_")</f>
        <v>_</v>
      </c>
      <c r="C1678" t="str">
        <f>IF(IFERROR(VLOOKUP(TRIM(A1678),'Full Inventory'!F:F,1,0),0)=0,"X","_")</f>
        <v>X</v>
      </c>
      <c r="D1678" t="str">
        <f t="shared" si="104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F1678" t="str">
        <f t="shared" si="105"/>
        <v>_</v>
      </c>
      <c r="K1678" t="str">
        <f t="shared" ca="1" si="106"/>
        <v>_XX_</v>
      </c>
      <c r="L1678" t="str">
        <f t="shared" ca="1" si="107"/>
        <v/>
      </c>
      <c r="M1678" t="str">
        <f>IFERROR(INDEX(Inventory!A:A,MATCH(Scan!A1678,Inventory!E:E,0)),"")</f>
        <v/>
      </c>
    </row>
    <row r="1679" spans="2:13" x14ac:dyDescent="0.3">
      <c r="B1679" t="str">
        <f>IF(IFERROR(VLOOKUP(TRIM(A1679),Inventory!E:E,1,0),0)=0,"X","_")</f>
        <v>_</v>
      </c>
      <c r="C1679" t="str">
        <f>IF(IFERROR(VLOOKUP(TRIM(A1679),'Full Inventory'!F:F,1,0),0)=0,"X","_")</f>
        <v>X</v>
      </c>
      <c r="D1679" t="str">
        <f t="shared" si="104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F1679" t="str">
        <f t="shared" si="105"/>
        <v>_</v>
      </c>
      <c r="K1679" t="str">
        <f t="shared" ca="1" si="106"/>
        <v>_XX_</v>
      </c>
      <c r="L1679" t="str">
        <f t="shared" ca="1" si="107"/>
        <v/>
      </c>
      <c r="M1679" t="str">
        <f>IFERROR(INDEX(Inventory!A:A,MATCH(Scan!A1679,Inventory!E:E,0)),"")</f>
        <v/>
      </c>
    </row>
    <row r="1680" spans="2:13" x14ac:dyDescent="0.3">
      <c r="B1680" t="str">
        <f>IF(IFERROR(VLOOKUP(TRIM(A1680),Inventory!E:E,1,0),0)=0,"X","_")</f>
        <v>_</v>
      </c>
      <c r="C1680" t="str">
        <f>IF(IFERROR(VLOOKUP(TRIM(A1680),'Full Inventory'!F:F,1,0),0)=0,"X","_")</f>
        <v>X</v>
      </c>
      <c r="D1680" t="str">
        <f t="shared" si="104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F1680" t="str">
        <f t="shared" si="105"/>
        <v>_</v>
      </c>
      <c r="K1680" t="str">
        <f t="shared" ca="1" si="106"/>
        <v>_XX_</v>
      </c>
      <c r="L1680" t="str">
        <f t="shared" ca="1" si="107"/>
        <v/>
      </c>
      <c r="M1680" t="str">
        <f>IFERROR(INDEX(Inventory!A:A,MATCH(Scan!A1680,Inventory!E:E,0)),"")</f>
        <v/>
      </c>
    </row>
    <row r="1681" spans="2:13" x14ac:dyDescent="0.3">
      <c r="B1681" t="str">
        <f>IF(IFERROR(VLOOKUP(TRIM(A1681),Inventory!E:E,1,0),0)=0,"X","_")</f>
        <v>_</v>
      </c>
      <c r="C1681" t="str">
        <f>IF(IFERROR(VLOOKUP(TRIM(A1681),'Full Inventory'!F:F,1,0),0)=0,"X","_")</f>
        <v>X</v>
      </c>
      <c r="D1681" t="str">
        <f t="shared" si="104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F1681" t="str">
        <f t="shared" si="105"/>
        <v>_</v>
      </c>
      <c r="K1681" t="str">
        <f t="shared" ca="1" si="106"/>
        <v>_XX_</v>
      </c>
      <c r="L1681" t="str">
        <f t="shared" ca="1" si="107"/>
        <v/>
      </c>
      <c r="M1681" t="str">
        <f>IFERROR(INDEX(Inventory!A:A,MATCH(Scan!A1681,Inventory!E:E,0)),"")</f>
        <v/>
      </c>
    </row>
    <row r="1682" spans="2:13" x14ac:dyDescent="0.3">
      <c r="B1682" t="str">
        <f>IF(IFERROR(VLOOKUP(TRIM(A1682),Inventory!E:E,1,0),0)=0,"X","_")</f>
        <v>_</v>
      </c>
      <c r="C1682" t="str">
        <f>IF(IFERROR(VLOOKUP(TRIM(A1682),'Full Inventory'!F:F,1,0),0)=0,"X","_")</f>
        <v>X</v>
      </c>
      <c r="D1682" t="str">
        <f t="shared" si="104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F1682" t="str">
        <f t="shared" si="105"/>
        <v>_</v>
      </c>
      <c r="K1682" t="str">
        <f t="shared" ca="1" si="106"/>
        <v>_XX_</v>
      </c>
      <c r="L1682" t="str">
        <f t="shared" ca="1" si="107"/>
        <v/>
      </c>
      <c r="M1682" t="str">
        <f>IFERROR(INDEX(Inventory!A:A,MATCH(Scan!A1682,Inventory!E:E,0)),"")</f>
        <v/>
      </c>
    </row>
    <row r="1683" spans="2:13" x14ac:dyDescent="0.3">
      <c r="B1683" t="str">
        <f>IF(IFERROR(VLOOKUP(TRIM(A1683),Inventory!E:E,1,0),0)=0,"X","_")</f>
        <v>_</v>
      </c>
      <c r="C1683" t="str">
        <f>IF(IFERROR(VLOOKUP(TRIM(A1683),'Full Inventory'!F:F,1,0),0)=0,"X","_")</f>
        <v>X</v>
      </c>
      <c r="D1683" t="str">
        <f t="shared" si="104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F1683" t="str">
        <f t="shared" si="105"/>
        <v>_</v>
      </c>
      <c r="K1683" t="str">
        <f t="shared" ca="1" si="106"/>
        <v>_XX_</v>
      </c>
      <c r="L1683" t="str">
        <f t="shared" ca="1" si="107"/>
        <v/>
      </c>
      <c r="M1683" t="str">
        <f>IFERROR(INDEX(Inventory!A:A,MATCH(Scan!A1683,Inventory!E:E,0)),"")</f>
        <v/>
      </c>
    </row>
    <row r="1684" spans="2:13" x14ac:dyDescent="0.3">
      <c r="B1684" t="str">
        <f>IF(IFERROR(VLOOKUP(TRIM(A1684),Inventory!E:E,1,0),0)=0,"X","_")</f>
        <v>_</v>
      </c>
      <c r="C1684" t="str">
        <f>IF(IFERROR(VLOOKUP(TRIM(A1684),'Full Inventory'!F:F,1,0),0)=0,"X","_")</f>
        <v>X</v>
      </c>
      <c r="D1684" t="str">
        <f t="shared" si="104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F1684" t="str">
        <f t="shared" si="105"/>
        <v>_</v>
      </c>
      <c r="K1684" t="str">
        <f t="shared" ca="1" si="106"/>
        <v>_XX_</v>
      </c>
      <c r="L1684" t="str">
        <f t="shared" ca="1" si="107"/>
        <v/>
      </c>
      <c r="M1684" t="str">
        <f>IFERROR(INDEX(Inventory!A:A,MATCH(Scan!A1684,Inventory!E:E,0)),"")</f>
        <v/>
      </c>
    </row>
    <row r="1685" spans="2:13" x14ac:dyDescent="0.3">
      <c r="B1685" t="str">
        <f>IF(IFERROR(VLOOKUP(TRIM(A1685),Inventory!E:E,1,0),0)=0,"X","_")</f>
        <v>_</v>
      </c>
      <c r="C1685" t="str">
        <f>IF(IFERROR(VLOOKUP(TRIM(A1685),'Full Inventory'!F:F,1,0),0)=0,"X","_")</f>
        <v>X</v>
      </c>
      <c r="D1685" t="str">
        <f t="shared" si="104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F1685" t="str">
        <f t="shared" si="105"/>
        <v>_</v>
      </c>
      <c r="K1685" t="str">
        <f t="shared" ca="1" si="106"/>
        <v>_XX_</v>
      </c>
      <c r="L1685" t="str">
        <f t="shared" ca="1" si="107"/>
        <v/>
      </c>
      <c r="M1685" t="str">
        <f>IFERROR(INDEX(Inventory!A:A,MATCH(Scan!A1685,Inventory!E:E,0)),"")</f>
        <v/>
      </c>
    </row>
    <row r="1686" spans="2:13" x14ac:dyDescent="0.3">
      <c r="B1686" t="str">
        <f>IF(IFERROR(VLOOKUP(TRIM(A1686),Inventory!E:E,1,0),0)=0,"X","_")</f>
        <v>_</v>
      </c>
      <c r="C1686" t="str">
        <f>IF(IFERROR(VLOOKUP(TRIM(A1686),'Full Inventory'!F:F,1,0),0)=0,"X","_")</f>
        <v>X</v>
      </c>
      <c r="D1686" t="str">
        <f t="shared" si="104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F1686" t="str">
        <f t="shared" si="105"/>
        <v>_</v>
      </c>
      <c r="K1686" t="str">
        <f t="shared" ca="1" si="106"/>
        <v>_XX_</v>
      </c>
      <c r="L1686" t="str">
        <f t="shared" ca="1" si="107"/>
        <v/>
      </c>
      <c r="M1686" t="str">
        <f>IFERROR(INDEX(Inventory!A:A,MATCH(Scan!A1686,Inventory!E:E,0)),"")</f>
        <v/>
      </c>
    </row>
    <row r="1687" spans="2:13" x14ac:dyDescent="0.3">
      <c r="B1687" t="str">
        <f>IF(IFERROR(VLOOKUP(TRIM(A1687),Inventory!E:E,1,0),0)=0,"X","_")</f>
        <v>_</v>
      </c>
      <c r="C1687" t="str">
        <f>IF(IFERROR(VLOOKUP(TRIM(A1687),'Full Inventory'!F:F,1,0),0)=0,"X","_")</f>
        <v>X</v>
      </c>
      <c r="D1687" t="str">
        <f t="shared" si="104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F1687" t="str">
        <f t="shared" si="105"/>
        <v>_</v>
      </c>
      <c r="K1687" t="str">
        <f t="shared" ca="1" si="106"/>
        <v>_XX_</v>
      </c>
      <c r="L1687" t="str">
        <f t="shared" ca="1" si="107"/>
        <v/>
      </c>
      <c r="M1687" t="str">
        <f>IFERROR(INDEX(Inventory!A:A,MATCH(Scan!A1687,Inventory!E:E,0)),"")</f>
        <v/>
      </c>
    </row>
    <row r="1688" spans="2:13" x14ac:dyDescent="0.3">
      <c r="B1688" t="str">
        <f>IF(IFERROR(VLOOKUP(TRIM(A1688),Inventory!E:E,1,0),0)=0,"X","_")</f>
        <v>_</v>
      </c>
      <c r="C1688" t="str">
        <f>IF(IFERROR(VLOOKUP(TRIM(A1688),'Full Inventory'!F:F,1,0),0)=0,"X","_")</f>
        <v>X</v>
      </c>
      <c r="D1688" t="str">
        <f t="shared" si="104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F1688" t="str">
        <f t="shared" si="105"/>
        <v>_</v>
      </c>
      <c r="K1688" t="str">
        <f t="shared" ca="1" si="106"/>
        <v>_XX_</v>
      </c>
      <c r="L1688" t="str">
        <f t="shared" ca="1" si="107"/>
        <v/>
      </c>
      <c r="M1688" t="str">
        <f>IFERROR(INDEX(Inventory!A:A,MATCH(Scan!A1688,Inventory!E:E,0)),"")</f>
        <v/>
      </c>
    </row>
    <row r="1689" spans="2:13" x14ac:dyDescent="0.3">
      <c r="B1689" t="str">
        <f>IF(IFERROR(VLOOKUP(TRIM(A1689),Inventory!E:E,1,0),0)=0,"X","_")</f>
        <v>_</v>
      </c>
      <c r="C1689" t="str">
        <f>IF(IFERROR(VLOOKUP(TRIM(A1689),'Full Inventory'!F:F,1,0),0)=0,"X","_")</f>
        <v>X</v>
      </c>
      <c r="D1689" t="str">
        <f t="shared" si="104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F1689" t="str">
        <f t="shared" si="105"/>
        <v>_</v>
      </c>
      <c r="K1689" t="str">
        <f t="shared" ca="1" si="106"/>
        <v>_XX_</v>
      </c>
      <c r="L1689" t="str">
        <f t="shared" ca="1" si="107"/>
        <v/>
      </c>
      <c r="M1689" t="str">
        <f>IFERROR(INDEX(Inventory!A:A,MATCH(Scan!A1689,Inventory!E:E,0)),"")</f>
        <v/>
      </c>
    </row>
    <row r="1690" spans="2:13" x14ac:dyDescent="0.3">
      <c r="B1690" t="str">
        <f>IF(IFERROR(VLOOKUP(TRIM(A1690),Inventory!E:E,1,0),0)=0,"X","_")</f>
        <v>_</v>
      </c>
      <c r="C1690" t="str">
        <f>IF(IFERROR(VLOOKUP(TRIM(A1690),'Full Inventory'!F:F,1,0),0)=0,"X","_")</f>
        <v>X</v>
      </c>
      <c r="D1690" t="str">
        <f t="shared" si="104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F1690" t="str">
        <f t="shared" si="105"/>
        <v>_</v>
      </c>
      <c r="K1690" t="str">
        <f t="shared" ca="1" si="106"/>
        <v>_XX_</v>
      </c>
      <c r="L1690" t="str">
        <f t="shared" ca="1" si="107"/>
        <v/>
      </c>
      <c r="M1690" t="str">
        <f>IFERROR(INDEX(Inventory!A:A,MATCH(Scan!A1690,Inventory!E:E,0)),"")</f>
        <v/>
      </c>
    </row>
    <row r="1691" spans="2:13" x14ac:dyDescent="0.3">
      <c r="B1691" t="str">
        <f>IF(IFERROR(VLOOKUP(TRIM(A1691),Inventory!E:E,1,0),0)=0,"X","_")</f>
        <v>_</v>
      </c>
      <c r="C1691" t="str">
        <f>IF(IFERROR(VLOOKUP(TRIM(A1691),'Full Inventory'!F:F,1,0),0)=0,"X","_")</f>
        <v>X</v>
      </c>
      <c r="D1691" t="str">
        <f t="shared" si="104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F1691" t="str">
        <f t="shared" si="105"/>
        <v>_</v>
      </c>
      <c r="K1691" t="str">
        <f t="shared" ca="1" si="106"/>
        <v>_XX_</v>
      </c>
      <c r="L1691" t="str">
        <f t="shared" ca="1" si="107"/>
        <v/>
      </c>
      <c r="M1691" t="str">
        <f>IFERROR(INDEX(Inventory!A:A,MATCH(Scan!A1691,Inventory!E:E,0)),"")</f>
        <v/>
      </c>
    </row>
    <row r="1692" spans="2:13" x14ac:dyDescent="0.3">
      <c r="B1692" t="str">
        <f>IF(IFERROR(VLOOKUP(TRIM(A1692),Inventory!E:E,1,0),0)=0,"X","_")</f>
        <v>_</v>
      </c>
      <c r="C1692" t="str">
        <f>IF(IFERROR(VLOOKUP(TRIM(A1692),'Full Inventory'!F:F,1,0),0)=0,"X","_")</f>
        <v>X</v>
      </c>
      <c r="D1692" t="str">
        <f t="shared" si="104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F1692" t="str">
        <f t="shared" si="105"/>
        <v>_</v>
      </c>
      <c r="K1692" t="str">
        <f t="shared" ca="1" si="106"/>
        <v>_XX_</v>
      </c>
      <c r="L1692" t="str">
        <f t="shared" ca="1" si="107"/>
        <v/>
      </c>
      <c r="M1692" t="str">
        <f>IFERROR(INDEX(Inventory!A:A,MATCH(Scan!A1692,Inventory!E:E,0)),"")</f>
        <v/>
      </c>
    </row>
    <row r="1693" spans="2:13" x14ac:dyDescent="0.3">
      <c r="B1693" t="str">
        <f>IF(IFERROR(VLOOKUP(TRIM(A1693),Inventory!E:E,1,0),0)=0,"X","_")</f>
        <v>_</v>
      </c>
      <c r="C1693" t="str">
        <f>IF(IFERROR(VLOOKUP(TRIM(A1693),'Full Inventory'!F:F,1,0),0)=0,"X","_")</f>
        <v>X</v>
      </c>
      <c r="D1693" t="str">
        <f t="shared" si="104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F1693" t="str">
        <f t="shared" si="105"/>
        <v>_</v>
      </c>
      <c r="K1693" t="str">
        <f t="shared" ca="1" si="106"/>
        <v>_XX_</v>
      </c>
      <c r="L1693" t="str">
        <f t="shared" ca="1" si="107"/>
        <v/>
      </c>
      <c r="M1693" t="str">
        <f>IFERROR(INDEX(Inventory!A:A,MATCH(Scan!A1693,Inventory!E:E,0)),"")</f>
        <v/>
      </c>
    </row>
    <row r="1694" spans="2:13" x14ac:dyDescent="0.3">
      <c r="B1694" t="str">
        <f>IF(IFERROR(VLOOKUP(TRIM(A1694),Inventory!E:E,1,0),0)=0,"X","_")</f>
        <v>_</v>
      </c>
      <c r="C1694" t="str">
        <f>IF(IFERROR(VLOOKUP(TRIM(A1694),'Full Inventory'!F:F,1,0),0)=0,"X","_")</f>
        <v>X</v>
      </c>
      <c r="D1694" t="str">
        <f t="shared" si="104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F1694" t="str">
        <f t="shared" si="105"/>
        <v>_</v>
      </c>
      <c r="K1694" t="str">
        <f t="shared" ca="1" si="106"/>
        <v>_XX_</v>
      </c>
      <c r="L1694" t="str">
        <f t="shared" ca="1" si="107"/>
        <v/>
      </c>
      <c r="M1694" t="str">
        <f>IFERROR(INDEX(Inventory!A:A,MATCH(Scan!A1694,Inventory!E:E,0)),"")</f>
        <v/>
      </c>
    </row>
    <row r="1695" spans="2:13" x14ac:dyDescent="0.3">
      <c r="B1695" t="str">
        <f>IF(IFERROR(VLOOKUP(TRIM(A1695),Inventory!E:E,1,0),0)=0,"X","_")</f>
        <v>_</v>
      </c>
      <c r="C1695" t="str">
        <f>IF(IFERROR(VLOOKUP(TRIM(A1695),'Full Inventory'!F:F,1,0),0)=0,"X","_")</f>
        <v>X</v>
      </c>
      <c r="D1695" t="str">
        <f t="shared" si="104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F1695" t="str">
        <f t="shared" si="105"/>
        <v>_</v>
      </c>
      <c r="K1695" t="str">
        <f t="shared" ca="1" si="106"/>
        <v>_XX_</v>
      </c>
      <c r="L1695" t="str">
        <f t="shared" ca="1" si="107"/>
        <v/>
      </c>
      <c r="M1695" t="str">
        <f>IFERROR(INDEX(Inventory!A:A,MATCH(Scan!A1695,Inventory!E:E,0)),"")</f>
        <v/>
      </c>
    </row>
    <row r="1696" spans="2:13" x14ac:dyDescent="0.3">
      <c r="B1696" t="str">
        <f>IF(IFERROR(VLOOKUP(TRIM(A1696),Inventory!E:E,1,0),0)=0,"X","_")</f>
        <v>_</v>
      </c>
      <c r="C1696" t="str">
        <f>IF(IFERROR(VLOOKUP(TRIM(A1696),'Full Inventory'!F:F,1,0),0)=0,"X","_")</f>
        <v>X</v>
      </c>
      <c r="D1696" t="str">
        <f t="shared" si="104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F1696" t="str">
        <f t="shared" si="105"/>
        <v>_</v>
      </c>
      <c r="K1696" t="str">
        <f t="shared" ca="1" si="106"/>
        <v>_XX_</v>
      </c>
      <c r="L1696" t="str">
        <f t="shared" ca="1" si="107"/>
        <v/>
      </c>
      <c r="M1696" t="str">
        <f>IFERROR(INDEX(Inventory!A:A,MATCH(Scan!A1696,Inventory!E:E,0)),"")</f>
        <v/>
      </c>
    </row>
    <row r="1697" spans="2:13" x14ac:dyDescent="0.3">
      <c r="B1697" t="str">
        <f>IF(IFERROR(VLOOKUP(TRIM(A1697),Inventory!E:E,1,0),0)=0,"X","_")</f>
        <v>_</v>
      </c>
      <c r="C1697" t="str">
        <f>IF(IFERROR(VLOOKUP(TRIM(A1697),'Full Inventory'!F:F,1,0),0)=0,"X","_")</f>
        <v>X</v>
      </c>
      <c r="D1697" t="str">
        <f t="shared" si="104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F1697" t="str">
        <f t="shared" si="105"/>
        <v>_</v>
      </c>
      <c r="K1697" t="str">
        <f t="shared" ca="1" si="106"/>
        <v>_XX_</v>
      </c>
      <c r="L1697" t="str">
        <f t="shared" ca="1" si="107"/>
        <v/>
      </c>
      <c r="M1697" t="str">
        <f>IFERROR(INDEX(Inventory!A:A,MATCH(Scan!A1697,Inventory!E:E,0)),"")</f>
        <v/>
      </c>
    </row>
    <row r="1698" spans="2:13" x14ac:dyDescent="0.3">
      <c r="B1698" t="str">
        <f>IF(IFERROR(VLOOKUP(TRIM(A1698),Inventory!E:E,1,0),0)=0,"X","_")</f>
        <v>_</v>
      </c>
      <c r="C1698" t="str">
        <f>IF(IFERROR(VLOOKUP(TRIM(A1698),'Full Inventory'!F:F,1,0),0)=0,"X","_")</f>
        <v>X</v>
      </c>
      <c r="D1698" t="str">
        <f t="shared" si="104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F1698" t="str">
        <f t="shared" si="105"/>
        <v>_</v>
      </c>
      <c r="K1698" t="str">
        <f t="shared" ca="1" si="106"/>
        <v>_XX_</v>
      </c>
      <c r="L1698" t="str">
        <f t="shared" ca="1" si="107"/>
        <v/>
      </c>
      <c r="M1698" t="str">
        <f>IFERROR(INDEX(Inventory!A:A,MATCH(Scan!A1698,Inventory!E:E,0)),"")</f>
        <v/>
      </c>
    </row>
    <row r="1699" spans="2:13" x14ac:dyDescent="0.3">
      <c r="B1699" t="str">
        <f>IF(IFERROR(VLOOKUP(TRIM(A1699),Inventory!E:E,1,0),0)=0,"X","_")</f>
        <v>_</v>
      </c>
      <c r="C1699" t="str">
        <f>IF(IFERROR(VLOOKUP(TRIM(A1699),'Full Inventory'!F:F,1,0),0)=0,"X","_")</f>
        <v>X</v>
      </c>
      <c r="D1699" t="str">
        <f t="shared" si="104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F1699" t="str">
        <f t="shared" si="105"/>
        <v>_</v>
      </c>
      <c r="K1699" t="str">
        <f t="shared" ca="1" si="106"/>
        <v>_XX_</v>
      </c>
      <c r="L1699" t="str">
        <f t="shared" ca="1" si="107"/>
        <v/>
      </c>
      <c r="M1699" t="str">
        <f>IFERROR(INDEX(Inventory!A:A,MATCH(Scan!A1699,Inventory!E:E,0)),"")</f>
        <v/>
      </c>
    </row>
    <row r="1700" spans="2:13" x14ac:dyDescent="0.3">
      <c r="B1700" t="str">
        <f>IF(IFERROR(VLOOKUP(TRIM(A1700),Inventory!E:E,1,0),0)=0,"X","_")</f>
        <v>_</v>
      </c>
      <c r="C1700" t="str">
        <f>IF(IFERROR(VLOOKUP(TRIM(A1700),'Full Inventory'!F:F,1,0),0)=0,"X","_")</f>
        <v>X</v>
      </c>
      <c r="D1700" t="str">
        <f t="shared" si="104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F1700" t="str">
        <f t="shared" si="105"/>
        <v>_</v>
      </c>
      <c r="K1700" t="str">
        <f t="shared" ca="1" si="106"/>
        <v>_XX_</v>
      </c>
      <c r="L1700" t="str">
        <f t="shared" ca="1" si="107"/>
        <v/>
      </c>
      <c r="M1700" t="str">
        <f>IFERROR(INDEX(Inventory!A:A,MATCH(Scan!A1700,Inventory!E:E,0)),"")</f>
        <v/>
      </c>
    </row>
    <row r="1701" spans="2:13" x14ac:dyDescent="0.3">
      <c r="B1701" t="str">
        <f>IF(IFERROR(VLOOKUP(TRIM(A1701),Inventory!E:E,1,0),0)=0,"X","_")</f>
        <v>_</v>
      </c>
      <c r="C1701" t="str">
        <f>IF(IFERROR(VLOOKUP(TRIM(A1701),'Full Inventory'!F:F,1,0),0)=0,"X","_")</f>
        <v>X</v>
      </c>
      <c r="D1701" t="str">
        <f t="shared" si="104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F1701" t="str">
        <f t="shared" si="105"/>
        <v>_</v>
      </c>
      <c r="K1701" t="str">
        <f t="shared" ca="1" si="106"/>
        <v>_XX_</v>
      </c>
      <c r="L1701" t="str">
        <f t="shared" ca="1" si="107"/>
        <v/>
      </c>
      <c r="M1701" t="str">
        <f>IFERROR(INDEX(Inventory!A:A,MATCH(Scan!A1701,Inventory!E:E,0)),"")</f>
        <v/>
      </c>
    </row>
    <row r="1702" spans="2:13" x14ac:dyDescent="0.3">
      <c r="B1702" t="str">
        <f>IF(IFERROR(VLOOKUP(TRIM(A1702),Inventory!E:E,1,0),0)=0,"X","_")</f>
        <v>_</v>
      </c>
      <c r="C1702" t="str">
        <f>IF(IFERROR(VLOOKUP(TRIM(A1702),'Full Inventory'!F:F,1,0),0)=0,"X","_")</f>
        <v>X</v>
      </c>
      <c r="D1702" t="str">
        <f t="shared" si="104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F1702" t="str">
        <f t="shared" si="105"/>
        <v>_</v>
      </c>
      <c r="K1702" t="str">
        <f t="shared" ca="1" si="106"/>
        <v>_XX_</v>
      </c>
      <c r="L1702" t="str">
        <f t="shared" ca="1" si="107"/>
        <v/>
      </c>
      <c r="M1702" t="str">
        <f>IFERROR(INDEX(Inventory!A:A,MATCH(Scan!A1702,Inventory!E:E,0)),"")</f>
        <v/>
      </c>
    </row>
    <row r="1703" spans="2:13" x14ac:dyDescent="0.3">
      <c r="B1703" t="str">
        <f>IF(IFERROR(VLOOKUP(TRIM(A1703),Inventory!E:E,1,0),0)=0,"X","_")</f>
        <v>_</v>
      </c>
      <c r="C1703" t="str">
        <f>IF(IFERROR(VLOOKUP(TRIM(A1703),'Full Inventory'!F:F,1,0),0)=0,"X","_")</f>
        <v>X</v>
      </c>
      <c r="D1703" t="str">
        <f t="shared" si="104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F1703" t="str">
        <f t="shared" si="105"/>
        <v>_</v>
      </c>
      <c r="K1703" t="str">
        <f t="shared" ca="1" si="106"/>
        <v>_XX_</v>
      </c>
      <c r="L1703" t="str">
        <f t="shared" ca="1" si="107"/>
        <v/>
      </c>
      <c r="M1703" t="str">
        <f>IFERROR(INDEX(Inventory!A:A,MATCH(Scan!A1703,Inventory!E:E,0)),"")</f>
        <v/>
      </c>
    </row>
    <row r="1704" spans="2:13" x14ac:dyDescent="0.3">
      <c r="B1704" t="str">
        <f>IF(IFERROR(VLOOKUP(TRIM(A1704),Inventory!E:E,1,0),0)=0,"X","_")</f>
        <v>_</v>
      </c>
      <c r="C1704" t="str">
        <f>IF(IFERROR(VLOOKUP(TRIM(A1704),'Full Inventory'!F:F,1,0),0)=0,"X","_")</f>
        <v>X</v>
      </c>
      <c r="D1704" t="str">
        <f t="shared" si="104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F1704" t="str">
        <f t="shared" si="105"/>
        <v>_</v>
      </c>
      <c r="K1704" t="str">
        <f t="shared" ca="1" si="106"/>
        <v>_XX_</v>
      </c>
      <c r="L1704" t="str">
        <f t="shared" ca="1" si="107"/>
        <v/>
      </c>
      <c r="M1704" t="str">
        <f>IFERROR(INDEX(Inventory!A:A,MATCH(Scan!A1704,Inventory!E:E,0)),"")</f>
        <v/>
      </c>
    </row>
    <row r="1705" spans="2:13" x14ac:dyDescent="0.3">
      <c r="B1705" t="str">
        <f>IF(IFERROR(VLOOKUP(TRIM(A1705),Inventory!E:E,1,0),0)=0,"X","_")</f>
        <v>_</v>
      </c>
      <c r="C1705" t="str">
        <f>IF(IFERROR(VLOOKUP(TRIM(A1705),'Full Inventory'!F:F,1,0),0)=0,"X","_")</f>
        <v>X</v>
      </c>
      <c r="D1705" t="str">
        <f t="shared" si="104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F1705" t="str">
        <f t="shared" si="105"/>
        <v>_</v>
      </c>
      <c r="K1705" t="str">
        <f t="shared" ca="1" si="106"/>
        <v>_XX_</v>
      </c>
      <c r="L1705" t="str">
        <f t="shared" ca="1" si="107"/>
        <v/>
      </c>
      <c r="M1705" t="str">
        <f>IFERROR(INDEX(Inventory!A:A,MATCH(Scan!A1705,Inventory!E:E,0)),"")</f>
        <v/>
      </c>
    </row>
    <row r="1706" spans="2:13" x14ac:dyDescent="0.3">
      <c r="B1706" t="str">
        <f>IF(IFERROR(VLOOKUP(TRIM(A1706),Inventory!E:E,1,0),0)=0,"X","_")</f>
        <v>_</v>
      </c>
      <c r="C1706" t="str">
        <f>IF(IFERROR(VLOOKUP(TRIM(A1706),'Full Inventory'!F:F,1,0),0)=0,"X","_")</f>
        <v>X</v>
      </c>
      <c r="D1706" t="str">
        <f t="shared" si="104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F1706" t="str">
        <f t="shared" si="105"/>
        <v>_</v>
      </c>
      <c r="K1706" t="str">
        <f t="shared" ca="1" si="106"/>
        <v>_XX_</v>
      </c>
      <c r="L1706" t="str">
        <f t="shared" ca="1" si="107"/>
        <v/>
      </c>
      <c r="M1706" t="str">
        <f>IFERROR(INDEX(Inventory!A:A,MATCH(Scan!A1706,Inventory!E:E,0)),"")</f>
        <v/>
      </c>
    </row>
    <row r="1707" spans="2:13" x14ac:dyDescent="0.3">
      <c r="B1707" t="str">
        <f>IF(IFERROR(VLOOKUP(TRIM(A1707),Inventory!E:E,1,0),0)=0,"X","_")</f>
        <v>_</v>
      </c>
      <c r="C1707" t="str">
        <f>IF(IFERROR(VLOOKUP(TRIM(A1707),'Full Inventory'!F:F,1,0),0)=0,"X","_")</f>
        <v>X</v>
      </c>
      <c r="D1707" t="str">
        <f t="shared" si="104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F1707" t="str">
        <f t="shared" si="105"/>
        <v>_</v>
      </c>
      <c r="K1707" t="str">
        <f t="shared" ca="1" si="106"/>
        <v>_XX_</v>
      </c>
      <c r="L1707" t="str">
        <f t="shared" ca="1" si="107"/>
        <v/>
      </c>
      <c r="M1707" t="str">
        <f>IFERROR(INDEX(Inventory!A:A,MATCH(Scan!A1707,Inventory!E:E,0)),"")</f>
        <v/>
      </c>
    </row>
    <row r="1708" spans="2:13" x14ac:dyDescent="0.3">
      <c r="B1708" t="str">
        <f>IF(IFERROR(VLOOKUP(TRIM(A1708),Inventory!E:E,1,0),0)=0,"X","_")</f>
        <v>_</v>
      </c>
      <c r="C1708" t="str">
        <f>IF(IFERROR(VLOOKUP(TRIM(A1708),'Full Inventory'!F:F,1,0),0)=0,"X","_")</f>
        <v>X</v>
      </c>
      <c r="D1708" t="str">
        <f t="shared" si="104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F1708" t="str">
        <f t="shared" si="105"/>
        <v>_</v>
      </c>
      <c r="K1708" t="str">
        <f t="shared" ca="1" si="106"/>
        <v>_XX_</v>
      </c>
      <c r="L1708" t="str">
        <f t="shared" ca="1" si="107"/>
        <v/>
      </c>
      <c r="M1708" t="str">
        <f>IFERROR(INDEX(Inventory!A:A,MATCH(Scan!A1708,Inventory!E:E,0)),"")</f>
        <v/>
      </c>
    </row>
    <row r="1709" spans="2:13" x14ac:dyDescent="0.3">
      <c r="B1709" t="str">
        <f>IF(IFERROR(VLOOKUP(TRIM(A1709),Inventory!E:E,1,0),0)=0,"X","_")</f>
        <v>_</v>
      </c>
      <c r="C1709" t="str">
        <f>IF(IFERROR(VLOOKUP(TRIM(A1709),'Full Inventory'!F:F,1,0),0)=0,"X","_")</f>
        <v>X</v>
      </c>
      <c r="D1709" t="str">
        <f t="shared" si="104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F1709" t="str">
        <f t="shared" si="105"/>
        <v>_</v>
      </c>
      <c r="K1709" t="str">
        <f t="shared" ca="1" si="106"/>
        <v>_XX_</v>
      </c>
      <c r="L1709" t="str">
        <f t="shared" ca="1" si="107"/>
        <v/>
      </c>
      <c r="M1709" t="str">
        <f>IFERROR(INDEX(Inventory!A:A,MATCH(Scan!A1709,Inventory!E:E,0)),"")</f>
        <v/>
      </c>
    </row>
    <row r="1710" spans="2:13" x14ac:dyDescent="0.3">
      <c r="B1710" t="str">
        <f>IF(IFERROR(VLOOKUP(TRIM(A1710),Inventory!E:E,1,0),0)=0,"X","_")</f>
        <v>_</v>
      </c>
      <c r="C1710" t="str">
        <f>IF(IFERROR(VLOOKUP(TRIM(A1710),'Full Inventory'!F:F,1,0),0)=0,"X","_")</f>
        <v>X</v>
      </c>
      <c r="D1710" t="str">
        <f t="shared" si="104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F1710" t="str">
        <f t="shared" si="105"/>
        <v>_</v>
      </c>
      <c r="K1710" t="str">
        <f t="shared" ca="1" si="106"/>
        <v>_XX_</v>
      </c>
      <c r="L1710" t="str">
        <f t="shared" ca="1" si="107"/>
        <v/>
      </c>
      <c r="M1710" t="str">
        <f>IFERROR(INDEX(Inventory!A:A,MATCH(Scan!A1710,Inventory!E:E,0)),"")</f>
        <v/>
      </c>
    </row>
    <row r="1711" spans="2:13" x14ac:dyDescent="0.3">
      <c r="B1711" t="str">
        <f>IF(IFERROR(VLOOKUP(TRIM(A1711),Inventory!E:E,1,0),0)=0,"X","_")</f>
        <v>_</v>
      </c>
      <c r="C1711" t="str">
        <f>IF(IFERROR(VLOOKUP(TRIM(A1711),'Full Inventory'!F:F,1,0),0)=0,"X","_")</f>
        <v>X</v>
      </c>
      <c r="D1711" t="str">
        <f t="shared" si="104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F1711" t="str">
        <f t="shared" si="105"/>
        <v>_</v>
      </c>
      <c r="K1711" t="str">
        <f t="shared" ca="1" si="106"/>
        <v>_XX_</v>
      </c>
      <c r="L1711" t="str">
        <f t="shared" ca="1" si="107"/>
        <v/>
      </c>
      <c r="M1711" t="str">
        <f>IFERROR(INDEX(Inventory!A:A,MATCH(Scan!A1711,Inventory!E:E,0)),"")</f>
        <v/>
      </c>
    </row>
    <row r="1712" spans="2:13" x14ac:dyDescent="0.3">
      <c r="B1712" t="str">
        <f>IF(IFERROR(VLOOKUP(TRIM(A1712),Inventory!E:E,1,0),0)=0,"X","_")</f>
        <v>_</v>
      </c>
      <c r="C1712" t="str">
        <f>IF(IFERROR(VLOOKUP(TRIM(A1712),'Full Inventory'!F:F,1,0),0)=0,"X","_")</f>
        <v>X</v>
      </c>
      <c r="D1712" t="str">
        <f t="shared" si="104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F1712" t="str">
        <f t="shared" si="105"/>
        <v>_</v>
      </c>
      <c r="K1712" t="str">
        <f t="shared" ca="1" si="106"/>
        <v>_XX_</v>
      </c>
      <c r="L1712" t="str">
        <f t="shared" ca="1" si="107"/>
        <v/>
      </c>
      <c r="M1712" t="str">
        <f>IFERROR(INDEX(Inventory!A:A,MATCH(Scan!A1712,Inventory!E:E,0)),"")</f>
        <v/>
      </c>
    </row>
    <row r="1713" spans="2:13" x14ac:dyDescent="0.3">
      <c r="B1713" t="str">
        <f>IF(IFERROR(VLOOKUP(TRIM(A1713),Inventory!E:E,1,0),0)=0,"X","_")</f>
        <v>_</v>
      </c>
      <c r="C1713" t="str">
        <f>IF(IFERROR(VLOOKUP(TRIM(A1713),'Full Inventory'!F:F,1,0),0)=0,"X","_")</f>
        <v>X</v>
      </c>
      <c r="D1713" t="str">
        <f t="shared" si="104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F1713" t="str">
        <f t="shared" si="105"/>
        <v>_</v>
      </c>
      <c r="K1713" t="str">
        <f t="shared" ca="1" si="106"/>
        <v>_XX_</v>
      </c>
      <c r="L1713" t="str">
        <f t="shared" ca="1" si="107"/>
        <v/>
      </c>
      <c r="M1713" t="str">
        <f>IFERROR(INDEX(Inventory!A:A,MATCH(Scan!A1713,Inventory!E:E,0)),"")</f>
        <v/>
      </c>
    </row>
    <row r="1714" spans="2:13" x14ac:dyDescent="0.3">
      <c r="B1714" t="str">
        <f>IF(IFERROR(VLOOKUP(TRIM(A1714),Inventory!E:E,1,0),0)=0,"X","_")</f>
        <v>_</v>
      </c>
      <c r="C1714" t="str">
        <f>IF(IFERROR(VLOOKUP(TRIM(A1714),'Full Inventory'!F:F,1,0),0)=0,"X","_")</f>
        <v>X</v>
      </c>
      <c r="D1714" t="str">
        <f t="shared" si="104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F1714" t="str">
        <f t="shared" si="105"/>
        <v>_</v>
      </c>
      <c r="K1714" t="str">
        <f t="shared" ca="1" si="106"/>
        <v>_XX_</v>
      </c>
      <c r="L1714" t="str">
        <f t="shared" ca="1" si="107"/>
        <v/>
      </c>
      <c r="M1714" t="str">
        <f>IFERROR(INDEX(Inventory!A:A,MATCH(Scan!A1714,Inventory!E:E,0)),"")</f>
        <v/>
      </c>
    </row>
    <row r="1715" spans="2:13" x14ac:dyDescent="0.3">
      <c r="B1715" t="str">
        <f>IF(IFERROR(VLOOKUP(TRIM(A1715),Inventory!E:E,1,0),0)=0,"X","_")</f>
        <v>_</v>
      </c>
      <c r="C1715" t="str">
        <f>IF(IFERROR(VLOOKUP(TRIM(A1715),'Full Inventory'!F:F,1,0),0)=0,"X","_")</f>
        <v>X</v>
      </c>
      <c r="D1715" t="str">
        <f t="shared" si="104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F1715" t="str">
        <f t="shared" si="105"/>
        <v>_</v>
      </c>
      <c r="K1715" t="str">
        <f t="shared" ca="1" si="106"/>
        <v>_XX_</v>
      </c>
      <c r="L1715" t="str">
        <f t="shared" ca="1" si="107"/>
        <v/>
      </c>
      <c r="M1715" t="str">
        <f>IFERROR(INDEX(Inventory!A:A,MATCH(Scan!A1715,Inventory!E:E,0)),"")</f>
        <v/>
      </c>
    </row>
    <row r="1716" spans="2:13" x14ac:dyDescent="0.3">
      <c r="B1716" t="str">
        <f>IF(IFERROR(VLOOKUP(TRIM(A1716),Inventory!E:E,1,0),0)=0,"X","_")</f>
        <v>_</v>
      </c>
      <c r="C1716" t="str">
        <f>IF(IFERROR(VLOOKUP(TRIM(A1716),'Full Inventory'!F:F,1,0),0)=0,"X","_")</f>
        <v>X</v>
      </c>
      <c r="D1716" t="str">
        <f t="shared" si="104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F1716" t="str">
        <f t="shared" si="105"/>
        <v>_</v>
      </c>
      <c r="K1716" t="str">
        <f t="shared" ca="1" si="106"/>
        <v>_XX_</v>
      </c>
      <c r="L1716" t="str">
        <f t="shared" ca="1" si="107"/>
        <v/>
      </c>
      <c r="M1716" t="str">
        <f>IFERROR(INDEX(Inventory!A:A,MATCH(Scan!A1716,Inventory!E:E,0)),"")</f>
        <v/>
      </c>
    </row>
    <row r="1717" spans="2:13" x14ac:dyDescent="0.3">
      <c r="B1717" t="str">
        <f>IF(IFERROR(VLOOKUP(TRIM(A1717),Inventory!E:E,1,0),0)=0,"X","_")</f>
        <v>_</v>
      </c>
      <c r="C1717" t="str">
        <f>IF(IFERROR(VLOOKUP(TRIM(A1717),'Full Inventory'!F:F,1,0),0)=0,"X","_")</f>
        <v>X</v>
      </c>
      <c r="D1717" t="str">
        <f t="shared" si="104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F1717" t="str">
        <f t="shared" si="105"/>
        <v>_</v>
      </c>
      <c r="K1717" t="str">
        <f t="shared" ca="1" si="106"/>
        <v>_XX_</v>
      </c>
      <c r="L1717" t="str">
        <f t="shared" ca="1" si="107"/>
        <v/>
      </c>
      <c r="M1717" t="str">
        <f>IFERROR(INDEX(Inventory!A:A,MATCH(Scan!A1717,Inventory!E:E,0)),"")</f>
        <v/>
      </c>
    </row>
    <row r="1718" spans="2:13" x14ac:dyDescent="0.3">
      <c r="B1718" t="str">
        <f>IF(IFERROR(VLOOKUP(TRIM(A1718),Inventory!E:E,1,0),0)=0,"X","_")</f>
        <v>_</v>
      </c>
      <c r="C1718" t="str">
        <f>IF(IFERROR(VLOOKUP(TRIM(A1718),'Full Inventory'!F:F,1,0),0)=0,"X","_")</f>
        <v>X</v>
      </c>
      <c r="D1718" t="str">
        <f t="shared" si="104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F1718" t="str">
        <f t="shared" si="105"/>
        <v>_</v>
      </c>
      <c r="K1718" t="str">
        <f t="shared" ca="1" si="106"/>
        <v>_XX_</v>
      </c>
      <c r="L1718" t="str">
        <f t="shared" ca="1" si="107"/>
        <v/>
      </c>
      <c r="M1718" t="str">
        <f>IFERROR(INDEX(Inventory!A:A,MATCH(Scan!A1718,Inventory!E:E,0)),"")</f>
        <v/>
      </c>
    </row>
    <row r="1719" spans="2:13" x14ac:dyDescent="0.3">
      <c r="B1719" t="str">
        <f>IF(IFERROR(VLOOKUP(TRIM(A1719),Inventory!E:E,1,0),0)=0,"X","_")</f>
        <v>_</v>
      </c>
      <c r="C1719" t="str">
        <f>IF(IFERROR(VLOOKUP(TRIM(A1719),'Full Inventory'!F:F,1,0),0)=0,"X","_")</f>
        <v>X</v>
      </c>
      <c r="D1719" t="str">
        <f t="shared" si="104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F1719" t="str">
        <f t="shared" si="105"/>
        <v>_</v>
      </c>
      <c r="K1719" t="str">
        <f t="shared" ca="1" si="106"/>
        <v>_XX_</v>
      </c>
      <c r="L1719" t="str">
        <f t="shared" ca="1" si="107"/>
        <v/>
      </c>
      <c r="M1719" t="str">
        <f>IFERROR(INDEX(Inventory!A:A,MATCH(Scan!A1719,Inventory!E:E,0)),"")</f>
        <v/>
      </c>
    </row>
    <row r="1720" spans="2:13" x14ac:dyDescent="0.3">
      <c r="B1720" t="str">
        <f>IF(IFERROR(VLOOKUP(TRIM(A1720),Inventory!E:E,1,0),0)=0,"X","_")</f>
        <v>_</v>
      </c>
      <c r="C1720" t="str">
        <f>IF(IFERROR(VLOOKUP(TRIM(A1720),'Full Inventory'!F:F,1,0),0)=0,"X","_")</f>
        <v>X</v>
      </c>
      <c r="D1720" t="str">
        <f t="shared" si="104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F1720" t="str">
        <f t="shared" si="105"/>
        <v>_</v>
      </c>
      <c r="K1720" t="str">
        <f t="shared" ca="1" si="106"/>
        <v>_XX_</v>
      </c>
      <c r="L1720" t="str">
        <f t="shared" ca="1" si="107"/>
        <v/>
      </c>
      <c r="M1720" t="str">
        <f>IFERROR(INDEX(Inventory!A:A,MATCH(Scan!A1720,Inventory!E:E,0)),"")</f>
        <v/>
      </c>
    </row>
    <row r="1721" spans="2:13" x14ac:dyDescent="0.3">
      <c r="B1721" t="str">
        <f>IF(IFERROR(VLOOKUP(TRIM(A1721),Inventory!E:E,1,0),0)=0,"X","_")</f>
        <v>_</v>
      </c>
      <c r="C1721" t="str">
        <f>IF(IFERROR(VLOOKUP(TRIM(A1721),'Full Inventory'!F:F,1,0),0)=0,"X","_")</f>
        <v>X</v>
      </c>
      <c r="D1721" t="str">
        <f t="shared" si="104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F1721" t="str">
        <f t="shared" si="105"/>
        <v>_</v>
      </c>
      <c r="K1721" t="str">
        <f t="shared" ca="1" si="106"/>
        <v>_XX_</v>
      </c>
      <c r="L1721" t="str">
        <f t="shared" ca="1" si="107"/>
        <v/>
      </c>
      <c r="M1721" t="str">
        <f>IFERROR(INDEX(Inventory!A:A,MATCH(Scan!A1721,Inventory!E:E,0)),"")</f>
        <v/>
      </c>
    </row>
    <row r="1722" spans="2:13" x14ac:dyDescent="0.3">
      <c r="B1722" t="str">
        <f>IF(IFERROR(VLOOKUP(TRIM(A1722),Inventory!E:E,1,0),0)=0,"X","_")</f>
        <v>_</v>
      </c>
      <c r="C1722" t="str">
        <f>IF(IFERROR(VLOOKUP(TRIM(A1722),'Full Inventory'!F:F,1,0),0)=0,"X","_")</f>
        <v>X</v>
      </c>
      <c r="D1722" t="str">
        <f t="shared" si="104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F1722" t="str">
        <f t="shared" si="105"/>
        <v>_</v>
      </c>
      <c r="K1722" t="str">
        <f t="shared" ca="1" si="106"/>
        <v>_XX_</v>
      </c>
      <c r="L1722" t="str">
        <f t="shared" ca="1" si="107"/>
        <v/>
      </c>
      <c r="M1722" t="str">
        <f>IFERROR(INDEX(Inventory!A:A,MATCH(Scan!A1722,Inventory!E:E,0)),"")</f>
        <v/>
      </c>
    </row>
    <row r="1723" spans="2:13" x14ac:dyDescent="0.3">
      <c r="B1723" t="str">
        <f>IF(IFERROR(VLOOKUP(TRIM(A1723),Inventory!E:E,1,0),0)=0,"X","_")</f>
        <v>_</v>
      </c>
      <c r="C1723" t="str">
        <f>IF(IFERROR(VLOOKUP(TRIM(A1723),'Full Inventory'!F:F,1,0),0)=0,"X","_")</f>
        <v>X</v>
      </c>
      <c r="D1723" t="str">
        <f t="shared" si="104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F1723" t="str">
        <f t="shared" si="105"/>
        <v>_</v>
      </c>
      <c r="K1723" t="str">
        <f t="shared" ca="1" si="106"/>
        <v>_XX_</v>
      </c>
      <c r="L1723" t="str">
        <f t="shared" ca="1" si="107"/>
        <v/>
      </c>
      <c r="M1723" t="str">
        <f>IFERROR(INDEX(Inventory!A:A,MATCH(Scan!A1723,Inventory!E:E,0)),"")</f>
        <v/>
      </c>
    </row>
    <row r="1724" spans="2:13" x14ac:dyDescent="0.3">
      <c r="B1724" t="str">
        <f>IF(IFERROR(VLOOKUP(TRIM(A1724),Inventory!E:E,1,0),0)=0,"X","_")</f>
        <v>_</v>
      </c>
      <c r="C1724" t="str">
        <f>IF(IFERROR(VLOOKUP(TRIM(A1724),'Full Inventory'!F:F,1,0),0)=0,"X","_")</f>
        <v>X</v>
      </c>
      <c r="D1724" t="str">
        <f t="shared" si="104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F1724" t="str">
        <f t="shared" si="105"/>
        <v>_</v>
      </c>
      <c r="K1724" t="str">
        <f t="shared" ca="1" si="106"/>
        <v>_XX_</v>
      </c>
      <c r="L1724" t="str">
        <f t="shared" ca="1" si="107"/>
        <v/>
      </c>
      <c r="M1724" t="str">
        <f>IFERROR(INDEX(Inventory!A:A,MATCH(Scan!A1724,Inventory!E:E,0)),"")</f>
        <v/>
      </c>
    </row>
    <row r="1725" spans="2:13" x14ac:dyDescent="0.3">
      <c r="B1725" t="str">
        <f>IF(IFERROR(VLOOKUP(TRIM(A1725),Inventory!E:E,1,0),0)=0,"X","_")</f>
        <v>_</v>
      </c>
      <c r="C1725" t="str">
        <f>IF(IFERROR(VLOOKUP(TRIM(A1725),'Full Inventory'!F:F,1,0),0)=0,"X","_")</f>
        <v>X</v>
      </c>
      <c r="D1725" t="str">
        <f t="shared" si="104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F1725" t="str">
        <f t="shared" si="105"/>
        <v>_</v>
      </c>
      <c r="K1725" t="str">
        <f t="shared" ca="1" si="106"/>
        <v>_XX_</v>
      </c>
      <c r="L1725" t="str">
        <f t="shared" ca="1" si="107"/>
        <v/>
      </c>
      <c r="M1725" t="str">
        <f>IFERROR(INDEX(Inventory!A:A,MATCH(Scan!A1725,Inventory!E:E,0)),"")</f>
        <v/>
      </c>
    </row>
    <row r="1726" spans="2:13" x14ac:dyDescent="0.3">
      <c r="B1726" t="str">
        <f>IF(IFERROR(VLOOKUP(TRIM(A1726),Inventory!E:E,1,0),0)=0,"X","_")</f>
        <v>_</v>
      </c>
      <c r="C1726" t="str">
        <f>IF(IFERROR(VLOOKUP(TRIM(A1726),'Full Inventory'!F:F,1,0),0)=0,"X","_")</f>
        <v>X</v>
      </c>
      <c r="D1726" t="str">
        <f t="shared" si="104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F1726" t="str">
        <f t="shared" si="105"/>
        <v>_</v>
      </c>
      <c r="K1726" t="str">
        <f t="shared" ca="1" si="106"/>
        <v>_XX_</v>
      </c>
      <c r="L1726" t="str">
        <f t="shared" ca="1" si="107"/>
        <v/>
      </c>
      <c r="M1726" t="str">
        <f>IFERROR(INDEX(Inventory!A:A,MATCH(Scan!A1726,Inventory!E:E,0)),"")</f>
        <v/>
      </c>
    </row>
    <row r="1727" spans="2:13" x14ac:dyDescent="0.3">
      <c r="B1727" t="str">
        <f>IF(IFERROR(VLOOKUP(TRIM(A1727),Inventory!E:E,1,0),0)=0,"X","_")</f>
        <v>_</v>
      </c>
      <c r="C1727" t="str">
        <f>IF(IFERROR(VLOOKUP(TRIM(A1727),'Full Inventory'!F:F,1,0),0)=0,"X","_")</f>
        <v>X</v>
      </c>
      <c r="D1727" t="str">
        <f t="shared" si="104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F1727" t="str">
        <f t="shared" si="105"/>
        <v>_</v>
      </c>
      <c r="K1727" t="str">
        <f t="shared" ca="1" si="106"/>
        <v>_XX_</v>
      </c>
      <c r="L1727" t="str">
        <f t="shared" ca="1" si="107"/>
        <v/>
      </c>
      <c r="M1727" t="str">
        <f>IFERROR(INDEX(Inventory!A:A,MATCH(Scan!A1727,Inventory!E:E,0)),"")</f>
        <v/>
      </c>
    </row>
    <row r="1728" spans="2:13" x14ac:dyDescent="0.3">
      <c r="B1728" t="str">
        <f>IF(IFERROR(VLOOKUP(TRIM(A1728),Inventory!E:E,1,0),0)=0,"X","_")</f>
        <v>_</v>
      </c>
      <c r="C1728" t="str">
        <f>IF(IFERROR(VLOOKUP(TRIM(A1728),'Full Inventory'!F:F,1,0),0)=0,"X","_")</f>
        <v>X</v>
      </c>
      <c r="D1728" t="str">
        <f t="shared" si="104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F1728" t="str">
        <f t="shared" si="105"/>
        <v>_</v>
      </c>
      <c r="K1728" t="str">
        <f t="shared" ca="1" si="106"/>
        <v>_XX_</v>
      </c>
      <c r="L1728" t="str">
        <f t="shared" ca="1" si="107"/>
        <v/>
      </c>
      <c r="M1728" t="str">
        <f>IFERROR(INDEX(Inventory!A:A,MATCH(Scan!A1728,Inventory!E:E,0)),"")</f>
        <v/>
      </c>
    </row>
    <row r="1729" spans="2:13" x14ac:dyDescent="0.3">
      <c r="B1729" t="str">
        <f>IF(IFERROR(VLOOKUP(TRIM(A1729),Inventory!E:E,1,0),0)=0,"X","_")</f>
        <v>_</v>
      </c>
      <c r="C1729" t="str">
        <f>IF(IFERROR(VLOOKUP(TRIM(A1729),'Full Inventory'!F:F,1,0),0)=0,"X","_")</f>
        <v>X</v>
      </c>
      <c r="D1729" t="str">
        <f t="shared" si="104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F1729" t="str">
        <f t="shared" si="105"/>
        <v>_</v>
      </c>
      <c r="K1729" t="str">
        <f t="shared" ca="1" si="106"/>
        <v>_XX_</v>
      </c>
      <c r="L1729" t="str">
        <f t="shared" ca="1" si="107"/>
        <v/>
      </c>
      <c r="M1729" t="str">
        <f>IFERROR(INDEX(Inventory!A:A,MATCH(Scan!A1729,Inventory!E:E,0)),"")</f>
        <v/>
      </c>
    </row>
    <row r="1730" spans="2:13" x14ac:dyDescent="0.3">
      <c r="B1730" t="str">
        <f>IF(IFERROR(VLOOKUP(TRIM(A1730),Inventory!E:E,1,0),0)=0,"X","_")</f>
        <v>_</v>
      </c>
      <c r="C1730" t="str">
        <f>IF(IFERROR(VLOOKUP(TRIM(A1730),'Full Inventory'!F:F,1,0),0)=0,"X","_")</f>
        <v>X</v>
      </c>
      <c r="D1730" t="str">
        <f t="shared" ref="D1730:D1793" si="108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F1730" t="str">
        <f t="shared" si="105"/>
        <v>_</v>
      </c>
      <c r="K1730" t="str">
        <f t="shared" ca="1" si="106"/>
        <v>_XX_</v>
      </c>
      <c r="L1730" t="str">
        <f t="shared" ca="1" si="107"/>
        <v/>
      </c>
      <c r="M1730" t="str">
        <f>IFERROR(INDEX(Inventory!A:A,MATCH(Scan!A1730,Inventory!E:E,0)),"")</f>
        <v/>
      </c>
    </row>
    <row r="1731" spans="2:13" x14ac:dyDescent="0.3">
      <c r="B1731" t="str">
        <f>IF(IFERROR(VLOOKUP(TRIM(A1731),Inventory!E:E,1,0),0)=0,"X","_")</f>
        <v>_</v>
      </c>
      <c r="C1731" t="str">
        <f>IF(IFERROR(VLOOKUP(TRIM(A1731),'Full Inventory'!F:F,1,0),0)=0,"X","_")</f>
        <v>X</v>
      </c>
      <c r="D1731" t="str">
        <f t="shared" si="108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F1731" t="str">
        <f t="shared" ref="F1731:F1794" si="109">IF(IFERROR(SEARCH("ö",A1731),0)&gt;0,"X","_")</f>
        <v>_</v>
      </c>
      <c r="K1731" t="str">
        <f t="shared" ref="K1731:K1794" ca="1" si="110">B1731&amp;C1731&amp;D1731&amp;E1731</f>
        <v>_XX_</v>
      </c>
      <c r="L1731" t="str">
        <f t="shared" ref="L1731:L1794" ca="1" si="111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3">
      <c r="B1732" t="str">
        <f>IF(IFERROR(VLOOKUP(TRIM(A1732),Inventory!E:E,1,0),0)=0,"X","_")</f>
        <v>_</v>
      </c>
      <c r="C1732" t="str">
        <f>IF(IFERROR(VLOOKUP(TRIM(A1732),'Full Inventory'!F:F,1,0),0)=0,"X","_")</f>
        <v>X</v>
      </c>
      <c r="D1732" t="str">
        <f t="shared" si="108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F1732" t="str">
        <f t="shared" si="109"/>
        <v>_</v>
      </c>
      <c r="K1732" t="str">
        <f t="shared" ca="1" si="110"/>
        <v>_XX_</v>
      </c>
      <c r="L1732" t="str">
        <f t="shared" ca="1" si="111"/>
        <v/>
      </c>
      <c r="M1732" t="str">
        <f>IFERROR(INDEX(Inventory!A:A,MATCH(Scan!A1732,Inventory!E:E,0)),"")</f>
        <v/>
      </c>
    </row>
    <row r="1733" spans="2:13" x14ac:dyDescent="0.3">
      <c r="B1733" t="str">
        <f>IF(IFERROR(VLOOKUP(TRIM(A1733),Inventory!E:E,1,0),0)=0,"X","_")</f>
        <v>_</v>
      </c>
      <c r="C1733" t="str">
        <f>IF(IFERROR(VLOOKUP(TRIM(A1733),'Full Inventory'!F:F,1,0),0)=0,"X","_")</f>
        <v>X</v>
      </c>
      <c r="D1733" t="str">
        <f t="shared" si="108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F1733" t="str">
        <f t="shared" si="109"/>
        <v>_</v>
      </c>
      <c r="K1733" t="str">
        <f t="shared" ca="1" si="110"/>
        <v>_XX_</v>
      </c>
      <c r="L1733" t="str">
        <f t="shared" ca="1" si="111"/>
        <v/>
      </c>
      <c r="M1733" t="str">
        <f>IFERROR(INDEX(Inventory!A:A,MATCH(Scan!A1733,Inventory!E:E,0)),"")</f>
        <v/>
      </c>
    </row>
    <row r="1734" spans="2:13" x14ac:dyDescent="0.3">
      <c r="B1734" t="str">
        <f>IF(IFERROR(VLOOKUP(TRIM(A1734),Inventory!E:E,1,0),0)=0,"X","_")</f>
        <v>_</v>
      </c>
      <c r="C1734" t="str">
        <f>IF(IFERROR(VLOOKUP(TRIM(A1734),'Full Inventory'!F:F,1,0),0)=0,"X","_")</f>
        <v>X</v>
      </c>
      <c r="D1734" t="str">
        <f t="shared" si="108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F1734" t="str">
        <f t="shared" si="109"/>
        <v>_</v>
      </c>
      <c r="K1734" t="str">
        <f t="shared" ca="1" si="110"/>
        <v>_XX_</v>
      </c>
      <c r="L1734" t="str">
        <f t="shared" ca="1" si="111"/>
        <v/>
      </c>
      <c r="M1734" t="str">
        <f>IFERROR(INDEX(Inventory!A:A,MATCH(Scan!A1734,Inventory!E:E,0)),"")</f>
        <v/>
      </c>
    </row>
    <row r="1735" spans="2:13" x14ac:dyDescent="0.3">
      <c r="B1735" t="str">
        <f>IF(IFERROR(VLOOKUP(TRIM(A1735),Inventory!E:E,1,0),0)=0,"X","_")</f>
        <v>_</v>
      </c>
      <c r="C1735" t="str">
        <f>IF(IFERROR(VLOOKUP(TRIM(A1735),'Full Inventory'!F:F,1,0),0)=0,"X","_")</f>
        <v>X</v>
      </c>
      <c r="D1735" t="str">
        <f t="shared" si="108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F1735" t="str">
        <f t="shared" si="109"/>
        <v>_</v>
      </c>
      <c r="K1735" t="str">
        <f t="shared" ca="1" si="110"/>
        <v>_XX_</v>
      </c>
      <c r="L1735" t="str">
        <f t="shared" ca="1" si="111"/>
        <v/>
      </c>
      <c r="M1735" t="str">
        <f>IFERROR(INDEX(Inventory!A:A,MATCH(Scan!A1735,Inventory!E:E,0)),"")</f>
        <v/>
      </c>
    </row>
    <row r="1736" spans="2:13" x14ac:dyDescent="0.3">
      <c r="B1736" t="str">
        <f>IF(IFERROR(VLOOKUP(TRIM(A1736),Inventory!E:E,1,0),0)=0,"X","_")</f>
        <v>_</v>
      </c>
      <c r="C1736" t="str">
        <f>IF(IFERROR(VLOOKUP(TRIM(A1736),'Full Inventory'!F:F,1,0),0)=0,"X","_")</f>
        <v>X</v>
      </c>
      <c r="D1736" t="str">
        <f t="shared" si="108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F1736" t="str">
        <f t="shared" si="109"/>
        <v>_</v>
      </c>
      <c r="K1736" t="str">
        <f t="shared" ca="1" si="110"/>
        <v>_XX_</v>
      </c>
      <c r="L1736" t="str">
        <f t="shared" ca="1" si="111"/>
        <v/>
      </c>
      <c r="M1736" t="str">
        <f>IFERROR(INDEX(Inventory!A:A,MATCH(Scan!A1736,Inventory!E:E,0)),"")</f>
        <v/>
      </c>
    </row>
    <row r="1737" spans="2:13" x14ac:dyDescent="0.3">
      <c r="B1737" t="str">
        <f>IF(IFERROR(VLOOKUP(TRIM(A1737),Inventory!E:E,1,0),0)=0,"X","_")</f>
        <v>_</v>
      </c>
      <c r="C1737" t="str">
        <f>IF(IFERROR(VLOOKUP(TRIM(A1737),'Full Inventory'!F:F,1,0),0)=0,"X","_")</f>
        <v>X</v>
      </c>
      <c r="D1737" t="str">
        <f t="shared" si="108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F1737" t="str">
        <f t="shared" si="109"/>
        <v>_</v>
      </c>
      <c r="K1737" t="str">
        <f t="shared" ca="1" si="110"/>
        <v>_XX_</v>
      </c>
      <c r="L1737" t="str">
        <f t="shared" ca="1" si="111"/>
        <v/>
      </c>
      <c r="M1737" t="str">
        <f>IFERROR(INDEX(Inventory!A:A,MATCH(Scan!A1737,Inventory!E:E,0)),"")</f>
        <v/>
      </c>
    </row>
    <row r="1738" spans="2:13" x14ac:dyDescent="0.3">
      <c r="B1738" t="str">
        <f>IF(IFERROR(VLOOKUP(TRIM(A1738),Inventory!E:E,1,0),0)=0,"X","_")</f>
        <v>_</v>
      </c>
      <c r="C1738" t="str">
        <f>IF(IFERROR(VLOOKUP(TRIM(A1738),'Full Inventory'!F:F,1,0),0)=0,"X","_")</f>
        <v>X</v>
      </c>
      <c r="D1738" t="str">
        <f t="shared" si="108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F1738" t="str">
        <f t="shared" si="109"/>
        <v>_</v>
      </c>
      <c r="K1738" t="str">
        <f t="shared" ca="1" si="110"/>
        <v>_XX_</v>
      </c>
      <c r="L1738" t="str">
        <f t="shared" ca="1" si="111"/>
        <v/>
      </c>
      <c r="M1738" t="str">
        <f>IFERROR(INDEX(Inventory!A:A,MATCH(Scan!A1738,Inventory!E:E,0)),"")</f>
        <v/>
      </c>
    </row>
    <row r="1739" spans="2:13" x14ac:dyDescent="0.3">
      <c r="B1739" t="str">
        <f>IF(IFERROR(VLOOKUP(TRIM(A1739),Inventory!E:E,1,0),0)=0,"X","_")</f>
        <v>_</v>
      </c>
      <c r="C1739" t="str">
        <f>IF(IFERROR(VLOOKUP(TRIM(A1739),'Full Inventory'!F:F,1,0),0)=0,"X","_")</f>
        <v>X</v>
      </c>
      <c r="D1739" t="str">
        <f t="shared" si="108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F1739" t="str">
        <f t="shared" si="109"/>
        <v>_</v>
      </c>
      <c r="K1739" t="str">
        <f t="shared" ca="1" si="110"/>
        <v>_XX_</v>
      </c>
      <c r="L1739" t="str">
        <f t="shared" ca="1" si="111"/>
        <v/>
      </c>
      <c r="M1739" t="str">
        <f>IFERROR(INDEX(Inventory!A:A,MATCH(Scan!A1739,Inventory!E:E,0)),"")</f>
        <v/>
      </c>
    </row>
    <row r="1740" spans="2:13" x14ac:dyDescent="0.3">
      <c r="B1740" t="str">
        <f>IF(IFERROR(VLOOKUP(TRIM(A1740),Inventory!E:E,1,0),0)=0,"X","_")</f>
        <v>_</v>
      </c>
      <c r="C1740" t="str">
        <f>IF(IFERROR(VLOOKUP(TRIM(A1740),'Full Inventory'!F:F,1,0),0)=0,"X","_")</f>
        <v>X</v>
      </c>
      <c r="D1740" t="str">
        <f t="shared" si="108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F1740" t="str">
        <f t="shared" si="109"/>
        <v>_</v>
      </c>
      <c r="K1740" t="str">
        <f t="shared" ca="1" si="110"/>
        <v>_XX_</v>
      </c>
      <c r="L1740" t="str">
        <f t="shared" ca="1" si="111"/>
        <v/>
      </c>
      <c r="M1740" t="str">
        <f>IFERROR(INDEX(Inventory!A:A,MATCH(Scan!A1740,Inventory!E:E,0)),"")</f>
        <v/>
      </c>
    </row>
    <row r="1741" spans="2:13" x14ac:dyDescent="0.3">
      <c r="B1741" t="str">
        <f>IF(IFERROR(VLOOKUP(TRIM(A1741),Inventory!E:E,1,0),0)=0,"X","_")</f>
        <v>_</v>
      </c>
      <c r="C1741" t="str">
        <f>IF(IFERROR(VLOOKUP(TRIM(A1741),'Full Inventory'!F:F,1,0),0)=0,"X","_")</f>
        <v>X</v>
      </c>
      <c r="D1741" t="str">
        <f t="shared" si="108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F1741" t="str">
        <f t="shared" si="109"/>
        <v>_</v>
      </c>
      <c r="K1741" t="str">
        <f t="shared" ca="1" si="110"/>
        <v>_XX_</v>
      </c>
      <c r="L1741" t="str">
        <f t="shared" ca="1" si="111"/>
        <v/>
      </c>
      <c r="M1741" t="str">
        <f>IFERROR(INDEX(Inventory!A:A,MATCH(Scan!A1741,Inventory!E:E,0)),"")</f>
        <v/>
      </c>
    </row>
    <row r="1742" spans="2:13" x14ac:dyDescent="0.3">
      <c r="B1742" t="str">
        <f>IF(IFERROR(VLOOKUP(TRIM(A1742),Inventory!E:E,1,0),0)=0,"X","_")</f>
        <v>_</v>
      </c>
      <c r="C1742" t="str">
        <f>IF(IFERROR(VLOOKUP(TRIM(A1742),'Full Inventory'!F:F,1,0),0)=0,"X","_")</f>
        <v>X</v>
      </c>
      <c r="D1742" t="str">
        <f t="shared" si="108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F1742" t="str">
        <f t="shared" si="109"/>
        <v>_</v>
      </c>
      <c r="K1742" t="str">
        <f t="shared" ca="1" si="110"/>
        <v>_XX_</v>
      </c>
      <c r="L1742" t="str">
        <f t="shared" ca="1" si="111"/>
        <v/>
      </c>
      <c r="M1742" t="str">
        <f>IFERROR(INDEX(Inventory!A:A,MATCH(Scan!A1742,Inventory!E:E,0)),"")</f>
        <v/>
      </c>
    </row>
    <row r="1743" spans="2:13" x14ac:dyDescent="0.3">
      <c r="B1743" t="str">
        <f>IF(IFERROR(VLOOKUP(TRIM(A1743),Inventory!E:E,1,0),0)=0,"X","_")</f>
        <v>_</v>
      </c>
      <c r="C1743" t="str">
        <f>IF(IFERROR(VLOOKUP(TRIM(A1743),'Full Inventory'!F:F,1,0),0)=0,"X","_")</f>
        <v>X</v>
      </c>
      <c r="D1743" t="str">
        <f t="shared" si="108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F1743" t="str">
        <f t="shared" si="109"/>
        <v>_</v>
      </c>
      <c r="K1743" t="str">
        <f t="shared" ca="1" si="110"/>
        <v>_XX_</v>
      </c>
      <c r="L1743" t="str">
        <f t="shared" ca="1" si="111"/>
        <v/>
      </c>
      <c r="M1743" t="str">
        <f>IFERROR(INDEX(Inventory!A:A,MATCH(Scan!A1743,Inventory!E:E,0)),"")</f>
        <v/>
      </c>
    </row>
    <row r="1744" spans="2:13" x14ac:dyDescent="0.3">
      <c r="B1744" t="str">
        <f>IF(IFERROR(VLOOKUP(TRIM(A1744),Inventory!E:E,1,0),0)=0,"X","_")</f>
        <v>_</v>
      </c>
      <c r="C1744" t="str">
        <f>IF(IFERROR(VLOOKUP(TRIM(A1744),'Full Inventory'!F:F,1,0),0)=0,"X","_")</f>
        <v>X</v>
      </c>
      <c r="D1744" t="str">
        <f t="shared" si="108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F1744" t="str">
        <f t="shared" si="109"/>
        <v>_</v>
      </c>
      <c r="K1744" t="str">
        <f t="shared" ca="1" si="110"/>
        <v>_XX_</v>
      </c>
      <c r="L1744" t="str">
        <f t="shared" ca="1" si="111"/>
        <v/>
      </c>
      <c r="M1744" t="str">
        <f>IFERROR(INDEX(Inventory!A:A,MATCH(Scan!A1744,Inventory!E:E,0)),"")</f>
        <v/>
      </c>
    </row>
    <row r="1745" spans="2:13" x14ac:dyDescent="0.3">
      <c r="B1745" t="str">
        <f>IF(IFERROR(VLOOKUP(TRIM(A1745),Inventory!E:E,1,0),0)=0,"X","_")</f>
        <v>_</v>
      </c>
      <c r="C1745" t="str">
        <f>IF(IFERROR(VLOOKUP(TRIM(A1745),'Full Inventory'!F:F,1,0),0)=0,"X","_")</f>
        <v>X</v>
      </c>
      <c r="D1745" t="str">
        <f t="shared" si="108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F1745" t="str">
        <f t="shared" si="109"/>
        <v>_</v>
      </c>
      <c r="K1745" t="str">
        <f t="shared" ca="1" si="110"/>
        <v>_XX_</v>
      </c>
      <c r="L1745" t="str">
        <f t="shared" ca="1" si="111"/>
        <v/>
      </c>
      <c r="M1745" t="str">
        <f>IFERROR(INDEX(Inventory!A:A,MATCH(Scan!A1745,Inventory!E:E,0)),"")</f>
        <v/>
      </c>
    </row>
    <row r="1746" spans="2:13" x14ac:dyDescent="0.3">
      <c r="B1746" t="str">
        <f>IF(IFERROR(VLOOKUP(TRIM(A1746),Inventory!E:E,1,0),0)=0,"X","_")</f>
        <v>_</v>
      </c>
      <c r="C1746" t="str">
        <f>IF(IFERROR(VLOOKUP(TRIM(A1746),'Full Inventory'!F:F,1,0),0)=0,"X","_")</f>
        <v>X</v>
      </c>
      <c r="D1746" t="str">
        <f t="shared" si="108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F1746" t="str">
        <f t="shared" si="109"/>
        <v>_</v>
      </c>
      <c r="K1746" t="str">
        <f t="shared" ca="1" si="110"/>
        <v>_XX_</v>
      </c>
      <c r="L1746" t="str">
        <f t="shared" ca="1" si="111"/>
        <v/>
      </c>
      <c r="M1746" t="str">
        <f>IFERROR(INDEX(Inventory!A:A,MATCH(Scan!A1746,Inventory!E:E,0)),"")</f>
        <v/>
      </c>
    </row>
    <row r="1747" spans="2:13" x14ac:dyDescent="0.3">
      <c r="B1747" t="str">
        <f>IF(IFERROR(VLOOKUP(TRIM(A1747),Inventory!E:E,1,0),0)=0,"X","_")</f>
        <v>_</v>
      </c>
      <c r="C1747" t="str">
        <f>IF(IFERROR(VLOOKUP(TRIM(A1747),'Full Inventory'!F:F,1,0),0)=0,"X","_")</f>
        <v>X</v>
      </c>
      <c r="D1747" t="str">
        <f t="shared" si="108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F1747" t="str">
        <f t="shared" si="109"/>
        <v>_</v>
      </c>
      <c r="K1747" t="str">
        <f t="shared" ca="1" si="110"/>
        <v>_XX_</v>
      </c>
      <c r="L1747" t="str">
        <f t="shared" ca="1" si="111"/>
        <v/>
      </c>
      <c r="M1747" t="str">
        <f>IFERROR(INDEX(Inventory!A:A,MATCH(Scan!A1747,Inventory!E:E,0)),"")</f>
        <v/>
      </c>
    </row>
    <row r="1748" spans="2:13" x14ac:dyDescent="0.3">
      <c r="B1748" t="str">
        <f>IF(IFERROR(VLOOKUP(TRIM(A1748),Inventory!E:E,1,0),0)=0,"X","_")</f>
        <v>_</v>
      </c>
      <c r="C1748" t="str">
        <f>IF(IFERROR(VLOOKUP(TRIM(A1748),'Full Inventory'!F:F,1,0),0)=0,"X","_")</f>
        <v>X</v>
      </c>
      <c r="D1748" t="str">
        <f t="shared" si="108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F1748" t="str">
        <f t="shared" si="109"/>
        <v>_</v>
      </c>
      <c r="K1748" t="str">
        <f t="shared" ca="1" si="110"/>
        <v>_XX_</v>
      </c>
      <c r="L1748" t="str">
        <f t="shared" ca="1" si="111"/>
        <v/>
      </c>
      <c r="M1748" t="str">
        <f>IFERROR(INDEX(Inventory!A:A,MATCH(Scan!A1748,Inventory!E:E,0)),"")</f>
        <v/>
      </c>
    </row>
    <row r="1749" spans="2:13" x14ac:dyDescent="0.3">
      <c r="B1749" t="str">
        <f>IF(IFERROR(VLOOKUP(TRIM(A1749),Inventory!E:E,1,0),0)=0,"X","_")</f>
        <v>_</v>
      </c>
      <c r="C1749" t="str">
        <f>IF(IFERROR(VLOOKUP(TRIM(A1749),'Full Inventory'!F:F,1,0),0)=0,"X","_")</f>
        <v>X</v>
      </c>
      <c r="D1749" t="str">
        <f t="shared" si="108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F1749" t="str">
        <f t="shared" si="109"/>
        <v>_</v>
      </c>
      <c r="K1749" t="str">
        <f t="shared" ca="1" si="110"/>
        <v>_XX_</v>
      </c>
      <c r="L1749" t="str">
        <f t="shared" ca="1" si="111"/>
        <v/>
      </c>
      <c r="M1749" t="str">
        <f>IFERROR(INDEX(Inventory!A:A,MATCH(Scan!A1749,Inventory!E:E,0)),"")</f>
        <v/>
      </c>
    </row>
    <row r="1750" spans="2:13" x14ac:dyDescent="0.3">
      <c r="B1750" t="str">
        <f>IF(IFERROR(VLOOKUP(TRIM(A1750),Inventory!E:E,1,0),0)=0,"X","_")</f>
        <v>_</v>
      </c>
      <c r="C1750" t="str">
        <f>IF(IFERROR(VLOOKUP(TRIM(A1750),'Full Inventory'!F:F,1,0),0)=0,"X","_")</f>
        <v>X</v>
      </c>
      <c r="D1750" t="str">
        <f t="shared" si="108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F1750" t="str">
        <f t="shared" si="109"/>
        <v>_</v>
      </c>
      <c r="K1750" t="str">
        <f t="shared" ca="1" si="110"/>
        <v>_XX_</v>
      </c>
      <c r="L1750" t="str">
        <f t="shared" ca="1" si="111"/>
        <v/>
      </c>
      <c r="M1750" t="str">
        <f>IFERROR(INDEX(Inventory!A:A,MATCH(Scan!A1750,Inventory!E:E,0)),"")</f>
        <v/>
      </c>
    </row>
    <row r="1751" spans="2:13" x14ac:dyDescent="0.3">
      <c r="B1751" t="str">
        <f>IF(IFERROR(VLOOKUP(TRIM(A1751),Inventory!E:E,1,0),0)=0,"X","_")</f>
        <v>_</v>
      </c>
      <c r="C1751" t="str">
        <f>IF(IFERROR(VLOOKUP(TRIM(A1751),'Full Inventory'!F:F,1,0),0)=0,"X","_")</f>
        <v>X</v>
      </c>
      <c r="D1751" t="str">
        <f t="shared" si="108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F1751" t="str">
        <f t="shared" si="109"/>
        <v>_</v>
      </c>
      <c r="K1751" t="str">
        <f t="shared" ca="1" si="110"/>
        <v>_XX_</v>
      </c>
      <c r="L1751" t="str">
        <f t="shared" ca="1" si="111"/>
        <v/>
      </c>
      <c r="M1751" t="str">
        <f>IFERROR(INDEX(Inventory!A:A,MATCH(Scan!A1751,Inventory!E:E,0)),"")</f>
        <v/>
      </c>
    </row>
    <row r="1752" spans="2:13" x14ac:dyDescent="0.3">
      <c r="B1752" t="str">
        <f>IF(IFERROR(VLOOKUP(TRIM(A1752),Inventory!E:E,1,0),0)=0,"X","_")</f>
        <v>_</v>
      </c>
      <c r="C1752" t="str">
        <f>IF(IFERROR(VLOOKUP(TRIM(A1752),'Full Inventory'!F:F,1,0),0)=0,"X","_")</f>
        <v>X</v>
      </c>
      <c r="D1752" t="str">
        <f t="shared" si="108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F1752" t="str">
        <f t="shared" si="109"/>
        <v>_</v>
      </c>
      <c r="K1752" t="str">
        <f t="shared" ca="1" si="110"/>
        <v>_XX_</v>
      </c>
      <c r="L1752" t="str">
        <f t="shared" ca="1" si="111"/>
        <v/>
      </c>
      <c r="M1752" t="str">
        <f>IFERROR(INDEX(Inventory!A:A,MATCH(Scan!A1752,Inventory!E:E,0)),"")</f>
        <v/>
      </c>
    </row>
    <row r="1753" spans="2:13" x14ac:dyDescent="0.3">
      <c r="B1753" t="str">
        <f>IF(IFERROR(VLOOKUP(TRIM(A1753),Inventory!E:E,1,0),0)=0,"X","_")</f>
        <v>_</v>
      </c>
      <c r="C1753" t="str">
        <f>IF(IFERROR(VLOOKUP(TRIM(A1753),'Full Inventory'!F:F,1,0),0)=0,"X","_")</f>
        <v>X</v>
      </c>
      <c r="D1753" t="str">
        <f t="shared" si="108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F1753" t="str">
        <f t="shared" si="109"/>
        <v>_</v>
      </c>
      <c r="K1753" t="str">
        <f t="shared" ca="1" si="110"/>
        <v>_XX_</v>
      </c>
      <c r="L1753" t="str">
        <f t="shared" ca="1" si="111"/>
        <v/>
      </c>
      <c r="M1753" t="str">
        <f>IFERROR(INDEX(Inventory!A:A,MATCH(Scan!A1753,Inventory!E:E,0)),"")</f>
        <v/>
      </c>
    </row>
    <row r="1754" spans="2:13" x14ac:dyDescent="0.3">
      <c r="B1754" t="str">
        <f>IF(IFERROR(VLOOKUP(TRIM(A1754),Inventory!E:E,1,0),0)=0,"X","_")</f>
        <v>_</v>
      </c>
      <c r="C1754" t="str">
        <f>IF(IFERROR(VLOOKUP(TRIM(A1754),'Full Inventory'!F:F,1,0),0)=0,"X","_")</f>
        <v>X</v>
      </c>
      <c r="D1754" t="str">
        <f t="shared" si="108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F1754" t="str">
        <f t="shared" si="109"/>
        <v>_</v>
      </c>
      <c r="K1754" t="str">
        <f t="shared" ca="1" si="110"/>
        <v>_XX_</v>
      </c>
      <c r="L1754" t="str">
        <f t="shared" ca="1" si="111"/>
        <v/>
      </c>
      <c r="M1754" t="str">
        <f>IFERROR(INDEX(Inventory!A:A,MATCH(Scan!A1754,Inventory!E:E,0)),"")</f>
        <v/>
      </c>
    </row>
    <row r="1755" spans="2:13" x14ac:dyDescent="0.3">
      <c r="B1755" t="str">
        <f>IF(IFERROR(VLOOKUP(TRIM(A1755),Inventory!E:E,1,0),0)=0,"X","_")</f>
        <v>_</v>
      </c>
      <c r="C1755" t="str">
        <f>IF(IFERROR(VLOOKUP(TRIM(A1755),'Full Inventory'!F:F,1,0),0)=0,"X","_")</f>
        <v>X</v>
      </c>
      <c r="D1755" t="str">
        <f t="shared" si="108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F1755" t="str">
        <f t="shared" si="109"/>
        <v>_</v>
      </c>
      <c r="K1755" t="str">
        <f t="shared" ca="1" si="110"/>
        <v>_XX_</v>
      </c>
      <c r="L1755" t="str">
        <f t="shared" ca="1" si="111"/>
        <v/>
      </c>
      <c r="M1755" t="str">
        <f>IFERROR(INDEX(Inventory!A:A,MATCH(Scan!A1755,Inventory!E:E,0)),"")</f>
        <v/>
      </c>
    </row>
    <row r="1756" spans="2:13" x14ac:dyDescent="0.3">
      <c r="B1756" t="str">
        <f>IF(IFERROR(VLOOKUP(TRIM(A1756),Inventory!E:E,1,0),0)=0,"X","_")</f>
        <v>_</v>
      </c>
      <c r="C1756" t="str">
        <f>IF(IFERROR(VLOOKUP(TRIM(A1756),'Full Inventory'!F:F,1,0),0)=0,"X","_")</f>
        <v>X</v>
      </c>
      <c r="D1756" t="str">
        <f t="shared" si="108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F1756" t="str">
        <f t="shared" si="109"/>
        <v>_</v>
      </c>
      <c r="K1756" t="str">
        <f t="shared" ca="1" si="110"/>
        <v>_XX_</v>
      </c>
      <c r="L1756" t="str">
        <f t="shared" ca="1" si="111"/>
        <v/>
      </c>
      <c r="M1756" t="str">
        <f>IFERROR(INDEX(Inventory!A:A,MATCH(Scan!A1756,Inventory!E:E,0)),"")</f>
        <v/>
      </c>
    </row>
    <row r="1757" spans="2:13" x14ac:dyDescent="0.3">
      <c r="B1757" t="str">
        <f>IF(IFERROR(VLOOKUP(TRIM(A1757),Inventory!E:E,1,0),0)=0,"X","_")</f>
        <v>_</v>
      </c>
      <c r="C1757" t="str">
        <f>IF(IFERROR(VLOOKUP(TRIM(A1757),'Full Inventory'!F:F,1,0),0)=0,"X","_")</f>
        <v>X</v>
      </c>
      <c r="D1757" t="str">
        <f t="shared" si="108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F1757" t="str">
        <f t="shared" si="109"/>
        <v>_</v>
      </c>
      <c r="K1757" t="str">
        <f t="shared" ca="1" si="110"/>
        <v>_XX_</v>
      </c>
      <c r="L1757" t="str">
        <f t="shared" ca="1" si="111"/>
        <v/>
      </c>
      <c r="M1757" t="str">
        <f>IFERROR(INDEX(Inventory!A:A,MATCH(Scan!A1757,Inventory!E:E,0)),"")</f>
        <v/>
      </c>
    </row>
    <row r="1758" spans="2:13" x14ac:dyDescent="0.3">
      <c r="B1758" t="str">
        <f>IF(IFERROR(VLOOKUP(TRIM(A1758),Inventory!E:E,1,0),0)=0,"X","_")</f>
        <v>_</v>
      </c>
      <c r="C1758" t="str">
        <f>IF(IFERROR(VLOOKUP(TRIM(A1758),'Full Inventory'!F:F,1,0),0)=0,"X","_")</f>
        <v>X</v>
      </c>
      <c r="D1758" t="str">
        <f t="shared" si="108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F1758" t="str">
        <f t="shared" si="109"/>
        <v>_</v>
      </c>
      <c r="K1758" t="str">
        <f t="shared" ca="1" si="110"/>
        <v>_XX_</v>
      </c>
      <c r="L1758" t="str">
        <f t="shared" ca="1" si="111"/>
        <v/>
      </c>
      <c r="M1758" t="str">
        <f>IFERROR(INDEX(Inventory!A:A,MATCH(Scan!A1758,Inventory!E:E,0)),"")</f>
        <v/>
      </c>
    </row>
    <row r="1759" spans="2:13" x14ac:dyDescent="0.3">
      <c r="B1759" t="str">
        <f>IF(IFERROR(VLOOKUP(TRIM(A1759),Inventory!E:E,1,0),0)=0,"X","_")</f>
        <v>_</v>
      </c>
      <c r="C1759" t="str">
        <f>IF(IFERROR(VLOOKUP(TRIM(A1759),'Full Inventory'!F:F,1,0),0)=0,"X","_")</f>
        <v>X</v>
      </c>
      <c r="D1759" t="str">
        <f t="shared" si="108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F1759" t="str">
        <f t="shared" si="109"/>
        <v>_</v>
      </c>
      <c r="K1759" t="str">
        <f t="shared" ca="1" si="110"/>
        <v>_XX_</v>
      </c>
      <c r="L1759" t="str">
        <f t="shared" ca="1" si="111"/>
        <v/>
      </c>
      <c r="M1759" t="str">
        <f>IFERROR(INDEX(Inventory!A:A,MATCH(Scan!A1759,Inventory!E:E,0)),"")</f>
        <v/>
      </c>
    </row>
    <row r="1760" spans="2:13" x14ac:dyDescent="0.3">
      <c r="B1760" t="str">
        <f>IF(IFERROR(VLOOKUP(TRIM(A1760),Inventory!E:E,1,0),0)=0,"X","_")</f>
        <v>_</v>
      </c>
      <c r="C1760" t="str">
        <f>IF(IFERROR(VLOOKUP(TRIM(A1760),'Full Inventory'!F:F,1,0),0)=0,"X","_")</f>
        <v>X</v>
      </c>
      <c r="D1760" t="str">
        <f t="shared" si="108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F1760" t="str">
        <f t="shared" si="109"/>
        <v>_</v>
      </c>
      <c r="K1760" t="str">
        <f t="shared" ca="1" si="110"/>
        <v>_XX_</v>
      </c>
      <c r="L1760" t="str">
        <f t="shared" ca="1" si="111"/>
        <v/>
      </c>
      <c r="M1760" t="str">
        <f>IFERROR(INDEX(Inventory!A:A,MATCH(Scan!A1760,Inventory!E:E,0)),"")</f>
        <v/>
      </c>
    </row>
    <row r="1761" spans="2:13" x14ac:dyDescent="0.3">
      <c r="B1761" t="str">
        <f>IF(IFERROR(VLOOKUP(TRIM(A1761),Inventory!E:E,1,0),0)=0,"X","_")</f>
        <v>_</v>
      </c>
      <c r="C1761" t="str">
        <f>IF(IFERROR(VLOOKUP(TRIM(A1761),'Full Inventory'!F:F,1,0),0)=0,"X","_")</f>
        <v>X</v>
      </c>
      <c r="D1761" t="str">
        <f t="shared" si="108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F1761" t="str">
        <f t="shared" si="109"/>
        <v>_</v>
      </c>
      <c r="K1761" t="str">
        <f t="shared" ca="1" si="110"/>
        <v>_XX_</v>
      </c>
      <c r="L1761" t="str">
        <f t="shared" ca="1" si="111"/>
        <v/>
      </c>
      <c r="M1761" t="str">
        <f>IFERROR(INDEX(Inventory!A:A,MATCH(Scan!A1761,Inventory!E:E,0)),"")</f>
        <v/>
      </c>
    </row>
    <row r="1762" spans="2:13" x14ac:dyDescent="0.3">
      <c r="B1762" t="str">
        <f>IF(IFERROR(VLOOKUP(TRIM(A1762),Inventory!E:E,1,0),0)=0,"X","_")</f>
        <v>_</v>
      </c>
      <c r="C1762" t="str">
        <f>IF(IFERROR(VLOOKUP(TRIM(A1762),'Full Inventory'!F:F,1,0),0)=0,"X","_")</f>
        <v>X</v>
      </c>
      <c r="D1762" t="str">
        <f t="shared" si="108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F1762" t="str">
        <f t="shared" si="109"/>
        <v>_</v>
      </c>
      <c r="K1762" t="str">
        <f t="shared" ca="1" si="110"/>
        <v>_XX_</v>
      </c>
      <c r="L1762" t="str">
        <f t="shared" ca="1" si="111"/>
        <v/>
      </c>
      <c r="M1762" t="str">
        <f>IFERROR(INDEX(Inventory!A:A,MATCH(Scan!A1762,Inventory!E:E,0)),"")</f>
        <v/>
      </c>
    </row>
    <row r="1763" spans="2:13" x14ac:dyDescent="0.3">
      <c r="B1763" t="str">
        <f>IF(IFERROR(VLOOKUP(TRIM(A1763),Inventory!E:E,1,0),0)=0,"X","_")</f>
        <v>_</v>
      </c>
      <c r="C1763" t="str">
        <f>IF(IFERROR(VLOOKUP(TRIM(A1763),'Full Inventory'!F:F,1,0),0)=0,"X","_")</f>
        <v>X</v>
      </c>
      <c r="D1763" t="str">
        <f t="shared" si="108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F1763" t="str">
        <f t="shared" si="109"/>
        <v>_</v>
      </c>
      <c r="K1763" t="str">
        <f t="shared" ca="1" si="110"/>
        <v>_XX_</v>
      </c>
      <c r="L1763" t="str">
        <f t="shared" ca="1" si="111"/>
        <v/>
      </c>
      <c r="M1763" t="str">
        <f>IFERROR(INDEX(Inventory!A:A,MATCH(Scan!A1763,Inventory!E:E,0)),"")</f>
        <v/>
      </c>
    </row>
    <row r="1764" spans="2:13" x14ac:dyDescent="0.3">
      <c r="B1764" t="str">
        <f>IF(IFERROR(VLOOKUP(TRIM(A1764),Inventory!E:E,1,0),0)=0,"X","_")</f>
        <v>_</v>
      </c>
      <c r="C1764" t="str">
        <f>IF(IFERROR(VLOOKUP(TRIM(A1764),'Full Inventory'!F:F,1,0),0)=0,"X","_")</f>
        <v>X</v>
      </c>
      <c r="D1764" t="str">
        <f t="shared" si="108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F1764" t="str">
        <f t="shared" si="109"/>
        <v>_</v>
      </c>
      <c r="K1764" t="str">
        <f t="shared" ca="1" si="110"/>
        <v>_XX_</v>
      </c>
      <c r="L1764" t="str">
        <f t="shared" ca="1" si="111"/>
        <v/>
      </c>
      <c r="M1764" t="str">
        <f>IFERROR(INDEX(Inventory!A:A,MATCH(Scan!A1764,Inventory!E:E,0)),"")</f>
        <v/>
      </c>
    </row>
    <row r="1765" spans="2:13" x14ac:dyDescent="0.3">
      <c r="B1765" t="str">
        <f>IF(IFERROR(VLOOKUP(TRIM(A1765),Inventory!E:E,1,0),0)=0,"X","_")</f>
        <v>_</v>
      </c>
      <c r="C1765" t="str">
        <f>IF(IFERROR(VLOOKUP(TRIM(A1765),'Full Inventory'!F:F,1,0),0)=0,"X","_")</f>
        <v>X</v>
      </c>
      <c r="D1765" t="str">
        <f t="shared" si="108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F1765" t="str">
        <f t="shared" si="109"/>
        <v>_</v>
      </c>
      <c r="K1765" t="str">
        <f t="shared" ca="1" si="110"/>
        <v>_XX_</v>
      </c>
      <c r="L1765" t="str">
        <f t="shared" ca="1" si="111"/>
        <v/>
      </c>
      <c r="M1765" t="str">
        <f>IFERROR(INDEX(Inventory!A:A,MATCH(Scan!A1765,Inventory!E:E,0)),"")</f>
        <v/>
      </c>
    </row>
    <row r="1766" spans="2:13" x14ac:dyDescent="0.3">
      <c r="B1766" t="str">
        <f>IF(IFERROR(VLOOKUP(TRIM(A1766),Inventory!E:E,1,0),0)=0,"X","_")</f>
        <v>_</v>
      </c>
      <c r="C1766" t="str">
        <f>IF(IFERROR(VLOOKUP(TRIM(A1766),'Full Inventory'!F:F,1,0),0)=0,"X","_")</f>
        <v>X</v>
      </c>
      <c r="D1766" t="str">
        <f t="shared" si="108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F1766" t="str">
        <f t="shared" si="109"/>
        <v>_</v>
      </c>
      <c r="K1766" t="str">
        <f t="shared" ca="1" si="110"/>
        <v>_XX_</v>
      </c>
      <c r="L1766" t="str">
        <f t="shared" ca="1" si="111"/>
        <v/>
      </c>
      <c r="M1766" t="str">
        <f>IFERROR(INDEX(Inventory!A:A,MATCH(Scan!A1766,Inventory!E:E,0)),"")</f>
        <v/>
      </c>
    </row>
    <row r="1767" spans="2:13" x14ac:dyDescent="0.3">
      <c r="B1767" t="str">
        <f>IF(IFERROR(VLOOKUP(TRIM(A1767),Inventory!E:E,1,0),0)=0,"X","_")</f>
        <v>_</v>
      </c>
      <c r="C1767" t="str">
        <f>IF(IFERROR(VLOOKUP(TRIM(A1767),'Full Inventory'!F:F,1,0),0)=0,"X","_")</f>
        <v>X</v>
      </c>
      <c r="D1767" t="str">
        <f t="shared" si="108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F1767" t="str">
        <f t="shared" si="109"/>
        <v>_</v>
      </c>
      <c r="K1767" t="str">
        <f t="shared" ca="1" si="110"/>
        <v>_XX_</v>
      </c>
      <c r="L1767" t="str">
        <f t="shared" ca="1" si="111"/>
        <v/>
      </c>
      <c r="M1767" t="str">
        <f>IFERROR(INDEX(Inventory!A:A,MATCH(Scan!A1767,Inventory!E:E,0)),"")</f>
        <v/>
      </c>
    </row>
    <row r="1768" spans="2:13" x14ac:dyDescent="0.3">
      <c r="B1768" t="str">
        <f>IF(IFERROR(VLOOKUP(TRIM(A1768),Inventory!E:E,1,0),0)=0,"X","_")</f>
        <v>_</v>
      </c>
      <c r="C1768" t="str">
        <f>IF(IFERROR(VLOOKUP(TRIM(A1768),'Full Inventory'!F:F,1,0),0)=0,"X","_")</f>
        <v>X</v>
      </c>
      <c r="D1768" t="str">
        <f t="shared" si="108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F1768" t="str">
        <f t="shared" si="109"/>
        <v>_</v>
      </c>
      <c r="K1768" t="str">
        <f t="shared" ca="1" si="110"/>
        <v>_XX_</v>
      </c>
      <c r="L1768" t="str">
        <f t="shared" ca="1" si="111"/>
        <v/>
      </c>
      <c r="M1768" t="str">
        <f>IFERROR(INDEX(Inventory!A:A,MATCH(Scan!A1768,Inventory!E:E,0)),"")</f>
        <v/>
      </c>
    </row>
    <row r="1769" spans="2:13" x14ac:dyDescent="0.3">
      <c r="B1769" t="str">
        <f>IF(IFERROR(VLOOKUP(TRIM(A1769),Inventory!E:E,1,0),0)=0,"X","_")</f>
        <v>_</v>
      </c>
      <c r="C1769" t="str">
        <f>IF(IFERROR(VLOOKUP(TRIM(A1769),'Full Inventory'!F:F,1,0),0)=0,"X","_")</f>
        <v>X</v>
      </c>
      <c r="D1769" t="str">
        <f t="shared" si="108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F1769" t="str">
        <f t="shared" si="109"/>
        <v>_</v>
      </c>
      <c r="K1769" t="str">
        <f t="shared" ca="1" si="110"/>
        <v>_XX_</v>
      </c>
      <c r="L1769" t="str">
        <f t="shared" ca="1" si="111"/>
        <v/>
      </c>
      <c r="M1769" t="str">
        <f>IFERROR(INDEX(Inventory!A:A,MATCH(Scan!A1769,Inventory!E:E,0)),"")</f>
        <v/>
      </c>
    </row>
    <row r="1770" spans="2:13" x14ac:dyDescent="0.3">
      <c r="B1770" t="str">
        <f>IF(IFERROR(VLOOKUP(TRIM(A1770),Inventory!E:E,1,0),0)=0,"X","_")</f>
        <v>_</v>
      </c>
      <c r="C1770" t="str">
        <f>IF(IFERROR(VLOOKUP(TRIM(A1770),'Full Inventory'!F:F,1,0),0)=0,"X","_")</f>
        <v>X</v>
      </c>
      <c r="D1770" t="str">
        <f t="shared" si="108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F1770" t="str">
        <f t="shared" si="109"/>
        <v>_</v>
      </c>
      <c r="K1770" t="str">
        <f t="shared" ca="1" si="110"/>
        <v>_XX_</v>
      </c>
      <c r="L1770" t="str">
        <f t="shared" ca="1" si="111"/>
        <v/>
      </c>
      <c r="M1770" t="str">
        <f>IFERROR(INDEX(Inventory!A:A,MATCH(Scan!A1770,Inventory!E:E,0)),"")</f>
        <v/>
      </c>
    </row>
    <row r="1771" spans="2:13" x14ac:dyDescent="0.3">
      <c r="B1771" t="str">
        <f>IF(IFERROR(VLOOKUP(TRIM(A1771),Inventory!E:E,1,0),0)=0,"X","_")</f>
        <v>_</v>
      </c>
      <c r="C1771" t="str">
        <f>IF(IFERROR(VLOOKUP(TRIM(A1771),'Full Inventory'!F:F,1,0),0)=0,"X","_")</f>
        <v>X</v>
      </c>
      <c r="D1771" t="str">
        <f t="shared" si="108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F1771" t="str">
        <f t="shared" si="109"/>
        <v>_</v>
      </c>
      <c r="K1771" t="str">
        <f t="shared" ca="1" si="110"/>
        <v>_XX_</v>
      </c>
      <c r="L1771" t="str">
        <f t="shared" ca="1" si="111"/>
        <v/>
      </c>
      <c r="M1771" t="str">
        <f>IFERROR(INDEX(Inventory!A:A,MATCH(Scan!A1771,Inventory!E:E,0)),"")</f>
        <v/>
      </c>
    </row>
    <row r="1772" spans="2:13" x14ac:dyDescent="0.3">
      <c r="B1772" t="str">
        <f>IF(IFERROR(VLOOKUP(TRIM(A1772),Inventory!E:E,1,0),0)=0,"X","_")</f>
        <v>_</v>
      </c>
      <c r="C1772" t="str">
        <f>IF(IFERROR(VLOOKUP(TRIM(A1772),'Full Inventory'!F:F,1,0),0)=0,"X","_")</f>
        <v>X</v>
      </c>
      <c r="D1772" t="str">
        <f t="shared" si="108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F1772" t="str">
        <f t="shared" si="109"/>
        <v>_</v>
      </c>
      <c r="K1772" t="str">
        <f t="shared" ca="1" si="110"/>
        <v>_XX_</v>
      </c>
      <c r="L1772" t="str">
        <f t="shared" ca="1" si="111"/>
        <v/>
      </c>
      <c r="M1772" t="str">
        <f>IFERROR(INDEX(Inventory!A:A,MATCH(Scan!A1772,Inventory!E:E,0)),"")</f>
        <v/>
      </c>
    </row>
    <row r="1773" spans="2:13" x14ac:dyDescent="0.3">
      <c r="B1773" t="str">
        <f>IF(IFERROR(VLOOKUP(TRIM(A1773),Inventory!E:E,1,0),0)=0,"X","_")</f>
        <v>_</v>
      </c>
      <c r="C1773" t="str">
        <f>IF(IFERROR(VLOOKUP(TRIM(A1773),'Full Inventory'!F:F,1,0),0)=0,"X","_")</f>
        <v>X</v>
      </c>
      <c r="D1773" t="str">
        <f t="shared" si="108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F1773" t="str">
        <f t="shared" si="109"/>
        <v>_</v>
      </c>
      <c r="K1773" t="str">
        <f t="shared" ca="1" si="110"/>
        <v>_XX_</v>
      </c>
      <c r="L1773" t="str">
        <f t="shared" ca="1" si="111"/>
        <v/>
      </c>
      <c r="M1773" t="str">
        <f>IFERROR(INDEX(Inventory!A:A,MATCH(Scan!A1773,Inventory!E:E,0)),"")</f>
        <v/>
      </c>
    </row>
    <row r="1774" spans="2:13" x14ac:dyDescent="0.3">
      <c r="B1774" t="str">
        <f>IF(IFERROR(VLOOKUP(TRIM(A1774),Inventory!E:E,1,0),0)=0,"X","_")</f>
        <v>_</v>
      </c>
      <c r="C1774" t="str">
        <f>IF(IFERROR(VLOOKUP(TRIM(A1774),'Full Inventory'!F:F,1,0),0)=0,"X","_")</f>
        <v>X</v>
      </c>
      <c r="D1774" t="str">
        <f t="shared" si="108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F1774" t="str">
        <f t="shared" si="109"/>
        <v>_</v>
      </c>
      <c r="K1774" t="str">
        <f t="shared" ca="1" si="110"/>
        <v>_XX_</v>
      </c>
      <c r="L1774" t="str">
        <f t="shared" ca="1" si="111"/>
        <v/>
      </c>
      <c r="M1774" t="str">
        <f>IFERROR(INDEX(Inventory!A:A,MATCH(Scan!A1774,Inventory!E:E,0)),"")</f>
        <v/>
      </c>
    </row>
    <row r="1775" spans="2:13" x14ac:dyDescent="0.3">
      <c r="B1775" t="str">
        <f>IF(IFERROR(VLOOKUP(TRIM(A1775),Inventory!E:E,1,0),0)=0,"X","_")</f>
        <v>_</v>
      </c>
      <c r="C1775" t="str">
        <f>IF(IFERROR(VLOOKUP(TRIM(A1775),'Full Inventory'!F:F,1,0),0)=0,"X","_")</f>
        <v>X</v>
      </c>
      <c r="D1775" t="str">
        <f t="shared" si="108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F1775" t="str">
        <f t="shared" si="109"/>
        <v>_</v>
      </c>
      <c r="K1775" t="str">
        <f t="shared" ca="1" si="110"/>
        <v>_XX_</v>
      </c>
      <c r="L1775" t="str">
        <f t="shared" ca="1" si="111"/>
        <v/>
      </c>
      <c r="M1775" t="str">
        <f>IFERROR(INDEX(Inventory!A:A,MATCH(Scan!A1775,Inventory!E:E,0)),"")</f>
        <v/>
      </c>
    </row>
    <row r="1776" spans="2:13" x14ac:dyDescent="0.3">
      <c r="B1776" t="str">
        <f>IF(IFERROR(VLOOKUP(TRIM(A1776),Inventory!E:E,1,0),0)=0,"X","_")</f>
        <v>_</v>
      </c>
      <c r="C1776" t="str">
        <f>IF(IFERROR(VLOOKUP(TRIM(A1776),'Full Inventory'!F:F,1,0),0)=0,"X","_")</f>
        <v>X</v>
      </c>
      <c r="D1776" t="str">
        <f t="shared" si="108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F1776" t="str">
        <f t="shared" si="109"/>
        <v>_</v>
      </c>
      <c r="K1776" t="str">
        <f t="shared" ca="1" si="110"/>
        <v>_XX_</v>
      </c>
      <c r="L1776" t="str">
        <f t="shared" ca="1" si="111"/>
        <v/>
      </c>
      <c r="M1776" t="str">
        <f>IFERROR(INDEX(Inventory!A:A,MATCH(Scan!A1776,Inventory!E:E,0)),"")</f>
        <v/>
      </c>
    </row>
    <row r="1777" spans="2:13" x14ac:dyDescent="0.3">
      <c r="B1777" t="str">
        <f>IF(IFERROR(VLOOKUP(TRIM(A1777),Inventory!E:E,1,0),0)=0,"X","_")</f>
        <v>_</v>
      </c>
      <c r="C1777" t="str">
        <f>IF(IFERROR(VLOOKUP(TRIM(A1777),'Full Inventory'!F:F,1,0),0)=0,"X","_")</f>
        <v>X</v>
      </c>
      <c r="D1777" t="str">
        <f t="shared" si="108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F1777" t="str">
        <f t="shared" si="109"/>
        <v>_</v>
      </c>
      <c r="K1777" t="str">
        <f t="shared" ca="1" si="110"/>
        <v>_XX_</v>
      </c>
      <c r="L1777" t="str">
        <f t="shared" ca="1" si="111"/>
        <v/>
      </c>
      <c r="M1777" t="str">
        <f>IFERROR(INDEX(Inventory!A:A,MATCH(Scan!A1777,Inventory!E:E,0)),"")</f>
        <v/>
      </c>
    </row>
    <row r="1778" spans="2:13" x14ac:dyDescent="0.3">
      <c r="B1778" t="str">
        <f>IF(IFERROR(VLOOKUP(TRIM(A1778),Inventory!E:E,1,0),0)=0,"X","_")</f>
        <v>_</v>
      </c>
      <c r="C1778" t="str">
        <f>IF(IFERROR(VLOOKUP(TRIM(A1778),'Full Inventory'!F:F,1,0),0)=0,"X","_")</f>
        <v>X</v>
      </c>
      <c r="D1778" t="str">
        <f t="shared" si="108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F1778" t="str">
        <f t="shared" si="109"/>
        <v>_</v>
      </c>
      <c r="K1778" t="str">
        <f t="shared" ca="1" si="110"/>
        <v>_XX_</v>
      </c>
      <c r="L1778" t="str">
        <f t="shared" ca="1" si="111"/>
        <v/>
      </c>
      <c r="M1778" t="str">
        <f>IFERROR(INDEX(Inventory!A:A,MATCH(Scan!A1778,Inventory!E:E,0)),"")</f>
        <v/>
      </c>
    </row>
    <row r="1779" spans="2:13" x14ac:dyDescent="0.3">
      <c r="B1779" t="str">
        <f>IF(IFERROR(VLOOKUP(TRIM(A1779),Inventory!E:E,1,0),0)=0,"X","_")</f>
        <v>_</v>
      </c>
      <c r="C1779" t="str">
        <f>IF(IFERROR(VLOOKUP(TRIM(A1779),'Full Inventory'!F:F,1,0),0)=0,"X","_")</f>
        <v>X</v>
      </c>
      <c r="D1779" t="str">
        <f t="shared" si="108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F1779" t="str">
        <f t="shared" si="109"/>
        <v>_</v>
      </c>
      <c r="K1779" t="str">
        <f t="shared" ca="1" si="110"/>
        <v>_XX_</v>
      </c>
      <c r="L1779" t="str">
        <f t="shared" ca="1" si="111"/>
        <v/>
      </c>
      <c r="M1779" t="str">
        <f>IFERROR(INDEX(Inventory!A:A,MATCH(Scan!A1779,Inventory!E:E,0)),"")</f>
        <v/>
      </c>
    </row>
    <row r="1780" spans="2:13" x14ac:dyDescent="0.3">
      <c r="B1780" t="str">
        <f>IF(IFERROR(VLOOKUP(TRIM(A1780),Inventory!E:E,1,0),0)=0,"X","_")</f>
        <v>_</v>
      </c>
      <c r="C1780" t="str">
        <f>IF(IFERROR(VLOOKUP(TRIM(A1780),'Full Inventory'!F:F,1,0),0)=0,"X","_")</f>
        <v>X</v>
      </c>
      <c r="D1780" t="str">
        <f t="shared" si="108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F1780" t="str">
        <f t="shared" si="109"/>
        <v>_</v>
      </c>
      <c r="K1780" t="str">
        <f t="shared" ca="1" si="110"/>
        <v>_XX_</v>
      </c>
      <c r="L1780" t="str">
        <f t="shared" ca="1" si="111"/>
        <v/>
      </c>
      <c r="M1780" t="str">
        <f>IFERROR(INDEX(Inventory!A:A,MATCH(Scan!A1780,Inventory!E:E,0)),"")</f>
        <v/>
      </c>
    </row>
    <row r="1781" spans="2:13" x14ac:dyDescent="0.3">
      <c r="B1781" t="str">
        <f>IF(IFERROR(VLOOKUP(TRIM(A1781),Inventory!E:E,1,0),0)=0,"X","_")</f>
        <v>_</v>
      </c>
      <c r="C1781" t="str">
        <f>IF(IFERROR(VLOOKUP(TRIM(A1781),'Full Inventory'!F:F,1,0),0)=0,"X","_")</f>
        <v>X</v>
      </c>
      <c r="D1781" t="str">
        <f t="shared" si="108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F1781" t="str">
        <f t="shared" si="109"/>
        <v>_</v>
      </c>
      <c r="K1781" t="str">
        <f t="shared" ca="1" si="110"/>
        <v>_XX_</v>
      </c>
      <c r="L1781" t="str">
        <f t="shared" ca="1" si="111"/>
        <v/>
      </c>
      <c r="M1781" t="str">
        <f>IFERROR(INDEX(Inventory!A:A,MATCH(Scan!A1781,Inventory!E:E,0)),"")</f>
        <v/>
      </c>
    </row>
    <row r="1782" spans="2:13" x14ac:dyDescent="0.3">
      <c r="B1782" t="str">
        <f>IF(IFERROR(VLOOKUP(TRIM(A1782),Inventory!E:E,1,0),0)=0,"X","_")</f>
        <v>_</v>
      </c>
      <c r="C1782" t="str">
        <f>IF(IFERROR(VLOOKUP(TRIM(A1782),'Full Inventory'!F:F,1,0),0)=0,"X","_")</f>
        <v>X</v>
      </c>
      <c r="D1782" t="str">
        <f t="shared" si="108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F1782" t="str">
        <f t="shared" si="109"/>
        <v>_</v>
      </c>
      <c r="K1782" t="str">
        <f t="shared" ca="1" si="110"/>
        <v>_XX_</v>
      </c>
      <c r="L1782" t="str">
        <f t="shared" ca="1" si="111"/>
        <v/>
      </c>
      <c r="M1782" t="str">
        <f>IFERROR(INDEX(Inventory!A:A,MATCH(Scan!A1782,Inventory!E:E,0)),"")</f>
        <v/>
      </c>
    </row>
    <row r="1783" spans="2:13" x14ac:dyDescent="0.3">
      <c r="B1783" t="str">
        <f>IF(IFERROR(VLOOKUP(TRIM(A1783),Inventory!E:E,1,0),0)=0,"X","_")</f>
        <v>_</v>
      </c>
      <c r="C1783" t="str">
        <f>IF(IFERROR(VLOOKUP(TRIM(A1783),'Full Inventory'!F:F,1,0),0)=0,"X","_")</f>
        <v>X</v>
      </c>
      <c r="D1783" t="str">
        <f t="shared" si="108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F1783" t="str">
        <f t="shared" si="109"/>
        <v>_</v>
      </c>
      <c r="K1783" t="str">
        <f t="shared" ca="1" si="110"/>
        <v>_XX_</v>
      </c>
      <c r="L1783" t="str">
        <f t="shared" ca="1" si="111"/>
        <v/>
      </c>
      <c r="M1783" t="str">
        <f>IFERROR(INDEX(Inventory!A:A,MATCH(Scan!A1783,Inventory!E:E,0)),"")</f>
        <v/>
      </c>
    </row>
    <row r="1784" spans="2:13" x14ac:dyDescent="0.3">
      <c r="B1784" t="str">
        <f>IF(IFERROR(VLOOKUP(TRIM(A1784),Inventory!E:E,1,0),0)=0,"X","_")</f>
        <v>_</v>
      </c>
      <c r="C1784" t="str">
        <f>IF(IFERROR(VLOOKUP(TRIM(A1784),'Full Inventory'!F:F,1,0),0)=0,"X","_")</f>
        <v>X</v>
      </c>
      <c r="D1784" t="str">
        <f t="shared" si="108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F1784" t="str">
        <f t="shared" si="109"/>
        <v>_</v>
      </c>
      <c r="K1784" t="str">
        <f t="shared" ca="1" si="110"/>
        <v>_XX_</v>
      </c>
      <c r="L1784" t="str">
        <f t="shared" ca="1" si="111"/>
        <v/>
      </c>
      <c r="M1784" t="str">
        <f>IFERROR(INDEX(Inventory!A:A,MATCH(Scan!A1784,Inventory!E:E,0)),"")</f>
        <v/>
      </c>
    </row>
    <row r="1785" spans="2:13" x14ac:dyDescent="0.3">
      <c r="B1785" t="str">
        <f>IF(IFERROR(VLOOKUP(TRIM(A1785),Inventory!E:E,1,0),0)=0,"X","_")</f>
        <v>_</v>
      </c>
      <c r="C1785" t="str">
        <f>IF(IFERROR(VLOOKUP(TRIM(A1785),'Full Inventory'!F:F,1,0),0)=0,"X","_")</f>
        <v>X</v>
      </c>
      <c r="D1785" t="str">
        <f t="shared" si="108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F1785" t="str">
        <f t="shared" si="109"/>
        <v>_</v>
      </c>
      <c r="K1785" t="str">
        <f t="shared" ca="1" si="110"/>
        <v>_XX_</v>
      </c>
      <c r="L1785" t="str">
        <f t="shared" ca="1" si="111"/>
        <v/>
      </c>
      <c r="M1785" t="str">
        <f>IFERROR(INDEX(Inventory!A:A,MATCH(Scan!A1785,Inventory!E:E,0)),"")</f>
        <v/>
      </c>
    </row>
    <row r="1786" spans="2:13" x14ac:dyDescent="0.3">
      <c r="B1786" t="str">
        <f>IF(IFERROR(VLOOKUP(TRIM(A1786),Inventory!E:E,1,0),0)=0,"X","_")</f>
        <v>_</v>
      </c>
      <c r="C1786" t="str">
        <f>IF(IFERROR(VLOOKUP(TRIM(A1786),'Full Inventory'!F:F,1,0),0)=0,"X","_")</f>
        <v>X</v>
      </c>
      <c r="D1786" t="str">
        <f t="shared" si="108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F1786" t="str">
        <f t="shared" si="109"/>
        <v>_</v>
      </c>
      <c r="K1786" t="str">
        <f t="shared" ca="1" si="110"/>
        <v>_XX_</v>
      </c>
      <c r="L1786" t="str">
        <f t="shared" ca="1" si="111"/>
        <v/>
      </c>
      <c r="M1786" t="str">
        <f>IFERROR(INDEX(Inventory!A:A,MATCH(Scan!A1786,Inventory!E:E,0)),"")</f>
        <v/>
      </c>
    </row>
    <row r="1787" spans="2:13" x14ac:dyDescent="0.3">
      <c r="B1787" t="str">
        <f>IF(IFERROR(VLOOKUP(TRIM(A1787),Inventory!E:E,1,0),0)=0,"X","_")</f>
        <v>_</v>
      </c>
      <c r="C1787" t="str">
        <f>IF(IFERROR(VLOOKUP(TRIM(A1787),'Full Inventory'!F:F,1,0),0)=0,"X","_")</f>
        <v>X</v>
      </c>
      <c r="D1787" t="str">
        <f t="shared" si="108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F1787" t="str">
        <f t="shared" si="109"/>
        <v>_</v>
      </c>
      <c r="K1787" t="str">
        <f t="shared" ca="1" si="110"/>
        <v>_XX_</v>
      </c>
      <c r="L1787" t="str">
        <f t="shared" ca="1" si="111"/>
        <v/>
      </c>
      <c r="M1787" t="str">
        <f>IFERROR(INDEX(Inventory!A:A,MATCH(Scan!A1787,Inventory!E:E,0)),"")</f>
        <v/>
      </c>
    </row>
    <row r="1788" spans="2:13" x14ac:dyDescent="0.3">
      <c r="B1788" t="str">
        <f>IF(IFERROR(VLOOKUP(TRIM(A1788),Inventory!E:E,1,0),0)=0,"X","_")</f>
        <v>_</v>
      </c>
      <c r="C1788" t="str">
        <f>IF(IFERROR(VLOOKUP(TRIM(A1788),'Full Inventory'!F:F,1,0),0)=0,"X","_")</f>
        <v>X</v>
      </c>
      <c r="D1788" t="str">
        <f t="shared" si="108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F1788" t="str">
        <f t="shared" si="109"/>
        <v>_</v>
      </c>
      <c r="K1788" t="str">
        <f t="shared" ca="1" si="110"/>
        <v>_XX_</v>
      </c>
      <c r="L1788" t="str">
        <f t="shared" ca="1" si="111"/>
        <v/>
      </c>
      <c r="M1788" t="str">
        <f>IFERROR(INDEX(Inventory!A:A,MATCH(Scan!A1788,Inventory!E:E,0)),"")</f>
        <v/>
      </c>
    </row>
    <row r="1789" spans="2:13" x14ac:dyDescent="0.3">
      <c r="B1789" t="str">
        <f>IF(IFERROR(VLOOKUP(TRIM(A1789),Inventory!E:E,1,0),0)=0,"X","_")</f>
        <v>_</v>
      </c>
      <c r="C1789" t="str">
        <f>IF(IFERROR(VLOOKUP(TRIM(A1789),'Full Inventory'!F:F,1,0),0)=0,"X","_")</f>
        <v>X</v>
      </c>
      <c r="D1789" t="str">
        <f t="shared" si="108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F1789" t="str">
        <f t="shared" si="109"/>
        <v>_</v>
      </c>
      <c r="K1789" t="str">
        <f t="shared" ca="1" si="110"/>
        <v>_XX_</v>
      </c>
      <c r="L1789" t="str">
        <f t="shared" ca="1" si="111"/>
        <v/>
      </c>
      <c r="M1789" t="str">
        <f>IFERROR(INDEX(Inventory!A:A,MATCH(Scan!A1789,Inventory!E:E,0)),"")</f>
        <v/>
      </c>
    </row>
    <row r="1790" spans="2:13" x14ac:dyDescent="0.3">
      <c r="B1790" t="str">
        <f>IF(IFERROR(VLOOKUP(TRIM(A1790),Inventory!E:E,1,0),0)=0,"X","_")</f>
        <v>_</v>
      </c>
      <c r="C1790" t="str">
        <f>IF(IFERROR(VLOOKUP(TRIM(A1790),'Full Inventory'!F:F,1,0),0)=0,"X","_")</f>
        <v>X</v>
      </c>
      <c r="D1790" t="str">
        <f t="shared" si="108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F1790" t="str">
        <f t="shared" si="109"/>
        <v>_</v>
      </c>
      <c r="K1790" t="str">
        <f t="shared" ca="1" si="110"/>
        <v>_XX_</v>
      </c>
      <c r="L1790" t="str">
        <f t="shared" ca="1" si="111"/>
        <v/>
      </c>
      <c r="M1790" t="str">
        <f>IFERROR(INDEX(Inventory!A:A,MATCH(Scan!A1790,Inventory!E:E,0)),"")</f>
        <v/>
      </c>
    </row>
    <row r="1791" spans="2:13" x14ac:dyDescent="0.3">
      <c r="B1791" t="str">
        <f>IF(IFERROR(VLOOKUP(TRIM(A1791),Inventory!E:E,1,0),0)=0,"X","_")</f>
        <v>_</v>
      </c>
      <c r="C1791" t="str">
        <f>IF(IFERROR(VLOOKUP(TRIM(A1791),'Full Inventory'!F:F,1,0),0)=0,"X","_")</f>
        <v>X</v>
      </c>
      <c r="D1791" t="str">
        <f t="shared" si="108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F1791" t="str">
        <f t="shared" si="109"/>
        <v>_</v>
      </c>
      <c r="K1791" t="str">
        <f t="shared" ca="1" si="110"/>
        <v>_XX_</v>
      </c>
      <c r="L1791" t="str">
        <f t="shared" ca="1" si="111"/>
        <v/>
      </c>
      <c r="M1791" t="str">
        <f>IFERROR(INDEX(Inventory!A:A,MATCH(Scan!A1791,Inventory!E:E,0)),"")</f>
        <v/>
      </c>
    </row>
    <row r="1792" spans="2:13" x14ac:dyDescent="0.3">
      <c r="B1792" t="str">
        <f>IF(IFERROR(VLOOKUP(TRIM(A1792),Inventory!E:E,1,0),0)=0,"X","_")</f>
        <v>_</v>
      </c>
      <c r="C1792" t="str">
        <f>IF(IFERROR(VLOOKUP(TRIM(A1792),'Full Inventory'!F:F,1,0),0)=0,"X","_")</f>
        <v>X</v>
      </c>
      <c r="D1792" t="str">
        <f t="shared" si="108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F1792" t="str">
        <f t="shared" si="109"/>
        <v>_</v>
      </c>
      <c r="K1792" t="str">
        <f t="shared" ca="1" si="110"/>
        <v>_XX_</v>
      </c>
      <c r="L1792" t="str">
        <f t="shared" ca="1" si="111"/>
        <v/>
      </c>
      <c r="M1792" t="str">
        <f>IFERROR(INDEX(Inventory!A:A,MATCH(Scan!A1792,Inventory!E:E,0)),"")</f>
        <v/>
      </c>
    </row>
    <row r="1793" spans="2:13" x14ac:dyDescent="0.3">
      <c r="B1793" t="str">
        <f>IF(IFERROR(VLOOKUP(TRIM(A1793),Inventory!E:E,1,0),0)=0,"X","_")</f>
        <v>_</v>
      </c>
      <c r="C1793" t="str">
        <f>IF(IFERROR(VLOOKUP(TRIM(A1793),'Full Inventory'!F:F,1,0),0)=0,"X","_")</f>
        <v>X</v>
      </c>
      <c r="D1793" t="str">
        <f t="shared" si="108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F1793" t="str">
        <f t="shared" si="109"/>
        <v>_</v>
      </c>
      <c r="K1793" t="str">
        <f t="shared" ca="1" si="110"/>
        <v>_XX_</v>
      </c>
      <c r="L1793" t="str">
        <f t="shared" ca="1" si="111"/>
        <v/>
      </c>
      <c r="M1793" t="str">
        <f>IFERROR(INDEX(Inventory!A:A,MATCH(Scan!A1793,Inventory!E:E,0)),"")</f>
        <v/>
      </c>
    </row>
    <row r="1794" spans="2:13" x14ac:dyDescent="0.3">
      <c r="B1794" t="str">
        <f>IF(IFERROR(VLOOKUP(TRIM(A1794),Inventory!E:E,1,0),0)=0,"X","_")</f>
        <v>_</v>
      </c>
      <c r="C1794" t="str">
        <f>IF(IFERROR(VLOOKUP(TRIM(A1794),'Full Inventory'!F:F,1,0),0)=0,"X","_")</f>
        <v>X</v>
      </c>
      <c r="D1794" t="str">
        <f t="shared" ref="D1794:D1857" si="112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F1794" t="str">
        <f t="shared" si="109"/>
        <v>_</v>
      </c>
      <c r="K1794" t="str">
        <f t="shared" ca="1" si="110"/>
        <v>_XX_</v>
      </c>
      <c r="L1794" t="str">
        <f t="shared" ca="1" si="111"/>
        <v/>
      </c>
      <c r="M1794" t="str">
        <f>IFERROR(INDEX(Inventory!A:A,MATCH(Scan!A1794,Inventory!E:E,0)),"")</f>
        <v/>
      </c>
    </row>
    <row r="1795" spans="2:13" x14ac:dyDescent="0.3">
      <c r="B1795" t="str">
        <f>IF(IFERROR(VLOOKUP(TRIM(A1795),Inventory!E:E,1,0),0)=0,"X","_")</f>
        <v>_</v>
      </c>
      <c r="C1795" t="str">
        <f>IF(IFERROR(VLOOKUP(TRIM(A1795),'Full Inventory'!F:F,1,0),0)=0,"X","_")</f>
        <v>X</v>
      </c>
      <c r="D1795" t="str">
        <f t="shared" si="112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F1795" t="str">
        <f t="shared" ref="F1795:F1858" si="113">IF(IFERROR(SEARCH("ö",A1795),0)&gt;0,"X","_")</f>
        <v>_</v>
      </c>
      <c r="K1795" t="str">
        <f t="shared" ref="K1795:K1858" ca="1" si="114">B1795&amp;C1795&amp;D1795&amp;E1795</f>
        <v>_XX_</v>
      </c>
      <c r="L1795" t="str">
        <f t="shared" ref="L1795:L1858" ca="1" si="115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3">
      <c r="B1796" t="str">
        <f>IF(IFERROR(VLOOKUP(TRIM(A1796),Inventory!E:E,1,0),0)=0,"X","_")</f>
        <v>_</v>
      </c>
      <c r="C1796" t="str">
        <f>IF(IFERROR(VLOOKUP(TRIM(A1796),'Full Inventory'!F:F,1,0),0)=0,"X","_")</f>
        <v>X</v>
      </c>
      <c r="D1796" t="str">
        <f t="shared" si="112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F1796" t="str">
        <f t="shared" si="113"/>
        <v>_</v>
      </c>
      <c r="K1796" t="str">
        <f t="shared" ca="1" si="114"/>
        <v>_XX_</v>
      </c>
      <c r="L1796" t="str">
        <f t="shared" ca="1" si="115"/>
        <v/>
      </c>
      <c r="M1796" t="str">
        <f>IFERROR(INDEX(Inventory!A:A,MATCH(Scan!A1796,Inventory!E:E,0)),"")</f>
        <v/>
      </c>
    </row>
    <row r="1797" spans="2:13" x14ac:dyDescent="0.3">
      <c r="B1797" t="str">
        <f>IF(IFERROR(VLOOKUP(TRIM(A1797),Inventory!E:E,1,0),0)=0,"X","_")</f>
        <v>_</v>
      </c>
      <c r="C1797" t="str">
        <f>IF(IFERROR(VLOOKUP(TRIM(A1797),'Full Inventory'!F:F,1,0),0)=0,"X","_")</f>
        <v>X</v>
      </c>
      <c r="D1797" t="str">
        <f t="shared" si="112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F1797" t="str">
        <f t="shared" si="113"/>
        <v>_</v>
      </c>
      <c r="K1797" t="str">
        <f t="shared" ca="1" si="114"/>
        <v>_XX_</v>
      </c>
      <c r="L1797" t="str">
        <f t="shared" ca="1" si="115"/>
        <v/>
      </c>
      <c r="M1797" t="str">
        <f>IFERROR(INDEX(Inventory!A:A,MATCH(Scan!A1797,Inventory!E:E,0)),"")</f>
        <v/>
      </c>
    </row>
    <row r="1798" spans="2:13" x14ac:dyDescent="0.3">
      <c r="B1798" t="str">
        <f>IF(IFERROR(VLOOKUP(TRIM(A1798),Inventory!E:E,1,0),0)=0,"X","_")</f>
        <v>_</v>
      </c>
      <c r="C1798" t="str">
        <f>IF(IFERROR(VLOOKUP(TRIM(A1798),'Full Inventory'!F:F,1,0),0)=0,"X","_")</f>
        <v>X</v>
      </c>
      <c r="D1798" t="str">
        <f t="shared" si="112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F1798" t="str">
        <f t="shared" si="113"/>
        <v>_</v>
      </c>
      <c r="K1798" t="str">
        <f t="shared" ca="1" si="114"/>
        <v>_XX_</v>
      </c>
      <c r="L1798" t="str">
        <f t="shared" ca="1" si="115"/>
        <v/>
      </c>
      <c r="M1798" t="str">
        <f>IFERROR(INDEX(Inventory!A:A,MATCH(Scan!A1798,Inventory!E:E,0)),"")</f>
        <v/>
      </c>
    </row>
    <row r="1799" spans="2:13" x14ac:dyDescent="0.3">
      <c r="B1799" t="str">
        <f>IF(IFERROR(VLOOKUP(TRIM(A1799),Inventory!E:E,1,0),0)=0,"X","_")</f>
        <v>_</v>
      </c>
      <c r="C1799" t="str">
        <f>IF(IFERROR(VLOOKUP(TRIM(A1799),'Full Inventory'!F:F,1,0),0)=0,"X","_")</f>
        <v>X</v>
      </c>
      <c r="D1799" t="str">
        <f t="shared" si="112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F1799" t="str">
        <f t="shared" si="113"/>
        <v>_</v>
      </c>
      <c r="K1799" t="str">
        <f t="shared" ca="1" si="114"/>
        <v>_XX_</v>
      </c>
      <c r="L1799" t="str">
        <f t="shared" ca="1" si="115"/>
        <v/>
      </c>
      <c r="M1799" t="str">
        <f>IFERROR(INDEX(Inventory!A:A,MATCH(Scan!A1799,Inventory!E:E,0)),"")</f>
        <v/>
      </c>
    </row>
    <row r="1800" spans="2:13" x14ac:dyDescent="0.3">
      <c r="B1800" t="str">
        <f>IF(IFERROR(VLOOKUP(TRIM(A1800),Inventory!E:E,1,0),0)=0,"X","_")</f>
        <v>_</v>
      </c>
      <c r="C1800" t="str">
        <f>IF(IFERROR(VLOOKUP(TRIM(A1800),'Full Inventory'!F:F,1,0),0)=0,"X","_")</f>
        <v>X</v>
      </c>
      <c r="D1800" t="str">
        <f t="shared" si="112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F1800" t="str">
        <f t="shared" si="113"/>
        <v>_</v>
      </c>
      <c r="K1800" t="str">
        <f t="shared" ca="1" si="114"/>
        <v>_XX_</v>
      </c>
      <c r="L1800" t="str">
        <f t="shared" ca="1" si="115"/>
        <v/>
      </c>
      <c r="M1800" t="str">
        <f>IFERROR(INDEX(Inventory!A:A,MATCH(Scan!A1800,Inventory!E:E,0)),"")</f>
        <v/>
      </c>
    </row>
    <row r="1801" spans="2:13" x14ac:dyDescent="0.3">
      <c r="B1801" t="str">
        <f>IF(IFERROR(VLOOKUP(TRIM(A1801),Inventory!E:E,1,0),0)=0,"X","_")</f>
        <v>_</v>
      </c>
      <c r="C1801" t="str">
        <f>IF(IFERROR(VLOOKUP(TRIM(A1801),'Full Inventory'!F:F,1,0),0)=0,"X","_")</f>
        <v>X</v>
      </c>
      <c r="D1801" t="str">
        <f t="shared" si="112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F1801" t="str">
        <f t="shared" si="113"/>
        <v>_</v>
      </c>
      <c r="K1801" t="str">
        <f t="shared" ca="1" si="114"/>
        <v>_XX_</v>
      </c>
      <c r="L1801" t="str">
        <f t="shared" ca="1" si="115"/>
        <v/>
      </c>
      <c r="M1801" t="str">
        <f>IFERROR(INDEX(Inventory!A:A,MATCH(Scan!A1801,Inventory!E:E,0)),"")</f>
        <v/>
      </c>
    </row>
    <row r="1802" spans="2:13" x14ac:dyDescent="0.3">
      <c r="B1802" t="str">
        <f>IF(IFERROR(VLOOKUP(TRIM(A1802),Inventory!E:E,1,0),0)=0,"X","_")</f>
        <v>_</v>
      </c>
      <c r="C1802" t="str">
        <f>IF(IFERROR(VLOOKUP(TRIM(A1802),'Full Inventory'!F:F,1,0),0)=0,"X","_")</f>
        <v>X</v>
      </c>
      <c r="D1802" t="str">
        <f t="shared" si="112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F1802" t="str">
        <f t="shared" si="113"/>
        <v>_</v>
      </c>
      <c r="K1802" t="str">
        <f t="shared" ca="1" si="114"/>
        <v>_XX_</v>
      </c>
      <c r="L1802" t="str">
        <f t="shared" ca="1" si="115"/>
        <v/>
      </c>
      <c r="M1802" t="str">
        <f>IFERROR(INDEX(Inventory!A:A,MATCH(Scan!A1802,Inventory!E:E,0)),"")</f>
        <v/>
      </c>
    </row>
    <row r="1803" spans="2:13" x14ac:dyDescent="0.3">
      <c r="B1803" t="str">
        <f>IF(IFERROR(VLOOKUP(TRIM(A1803),Inventory!E:E,1,0),0)=0,"X","_")</f>
        <v>_</v>
      </c>
      <c r="C1803" t="str">
        <f>IF(IFERROR(VLOOKUP(TRIM(A1803),'Full Inventory'!F:F,1,0),0)=0,"X","_")</f>
        <v>X</v>
      </c>
      <c r="D1803" t="str">
        <f t="shared" si="112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F1803" t="str">
        <f t="shared" si="113"/>
        <v>_</v>
      </c>
      <c r="K1803" t="str">
        <f t="shared" ca="1" si="114"/>
        <v>_XX_</v>
      </c>
      <c r="L1803" t="str">
        <f t="shared" ca="1" si="115"/>
        <v/>
      </c>
      <c r="M1803" t="str">
        <f>IFERROR(INDEX(Inventory!A:A,MATCH(Scan!A1803,Inventory!E:E,0)),"")</f>
        <v/>
      </c>
    </row>
    <row r="1804" spans="2:13" x14ac:dyDescent="0.3">
      <c r="B1804" t="str">
        <f>IF(IFERROR(VLOOKUP(TRIM(A1804),Inventory!E:E,1,0),0)=0,"X","_")</f>
        <v>_</v>
      </c>
      <c r="C1804" t="str">
        <f>IF(IFERROR(VLOOKUP(TRIM(A1804),'Full Inventory'!F:F,1,0),0)=0,"X","_")</f>
        <v>X</v>
      </c>
      <c r="D1804" t="str">
        <f t="shared" si="112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F1804" t="str">
        <f t="shared" si="113"/>
        <v>_</v>
      </c>
      <c r="K1804" t="str">
        <f t="shared" ca="1" si="114"/>
        <v>_XX_</v>
      </c>
      <c r="L1804" t="str">
        <f t="shared" ca="1" si="115"/>
        <v/>
      </c>
      <c r="M1804" t="str">
        <f>IFERROR(INDEX(Inventory!A:A,MATCH(Scan!A1804,Inventory!E:E,0)),"")</f>
        <v/>
      </c>
    </row>
    <row r="1805" spans="2:13" x14ac:dyDescent="0.3">
      <c r="B1805" t="str">
        <f>IF(IFERROR(VLOOKUP(TRIM(A1805),Inventory!E:E,1,0),0)=0,"X","_")</f>
        <v>_</v>
      </c>
      <c r="C1805" t="str">
        <f>IF(IFERROR(VLOOKUP(TRIM(A1805),'Full Inventory'!F:F,1,0),0)=0,"X","_")</f>
        <v>X</v>
      </c>
      <c r="D1805" t="str">
        <f t="shared" si="112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F1805" t="str">
        <f t="shared" si="113"/>
        <v>_</v>
      </c>
      <c r="K1805" t="str">
        <f t="shared" ca="1" si="114"/>
        <v>_XX_</v>
      </c>
      <c r="L1805" t="str">
        <f t="shared" ca="1" si="115"/>
        <v/>
      </c>
      <c r="M1805" t="str">
        <f>IFERROR(INDEX(Inventory!A:A,MATCH(Scan!A1805,Inventory!E:E,0)),"")</f>
        <v/>
      </c>
    </row>
    <row r="1806" spans="2:13" x14ac:dyDescent="0.3">
      <c r="B1806" t="str">
        <f>IF(IFERROR(VLOOKUP(TRIM(A1806),Inventory!E:E,1,0),0)=0,"X","_")</f>
        <v>_</v>
      </c>
      <c r="C1806" t="str">
        <f>IF(IFERROR(VLOOKUP(TRIM(A1806),'Full Inventory'!F:F,1,0),0)=0,"X","_")</f>
        <v>X</v>
      </c>
      <c r="D1806" t="str">
        <f t="shared" si="112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F1806" t="str">
        <f t="shared" si="113"/>
        <v>_</v>
      </c>
      <c r="K1806" t="str">
        <f t="shared" ca="1" si="114"/>
        <v>_XX_</v>
      </c>
      <c r="L1806" t="str">
        <f t="shared" ca="1" si="115"/>
        <v/>
      </c>
      <c r="M1806" t="str">
        <f>IFERROR(INDEX(Inventory!A:A,MATCH(Scan!A1806,Inventory!E:E,0)),"")</f>
        <v/>
      </c>
    </row>
    <row r="1807" spans="2:13" x14ac:dyDescent="0.3">
      <c r="B1807" t="str">
        <f>IF(IFERROR(VLOOKUP(TRIM(A1807),Inventory!E:E,1,0),0)=0,"X","_")</f>
        <v>_</v>
      </c>
      <c r="C1807" t="str">
        <f>IF(IFERROR(VLOOKUP(TRIM(A1807),'Full Inventory'!F:F,1,0),0)=0,"X","_")</f>
        <v>X</v>
      </c>
      <c r="D1807" t="str">
        <f t="shared" si="112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F1807" t="str">
        <f t="shared" si="113"/>
        <v>_</v>
      </c>
      <c r="K1807" t="str">
        <f t="shared" ca="1" si="114"/>
        <v>_XX_</v>
      </c>
      <c r="L1807" t="str">
        <f t="shared" ca="1" si="115"/>
        <v/>
      </c>
      <c r="M1807" t="str">
        <f>IFERROR(INDEX(Inventory!A:A,MATCH(Scan!A1807,Inventory!E:E,0)),"")</f>
        <v/>
      </c>
    </row>
    <row r="1808" spans="2:13" x14ac:dyDescent="0.3">
      <c r="B1808" t="str">
        <f>IF(IFERROR(VLOOKUP(TRIM(A1808),Inventory!E:E,1,0),0)=0,"X","_")</f>
        <v>_</v>
      </c>
      <c r="C1808" t="str">
        <f>IF(IFERROR(VLOOKUP(TRIM(A1808),'Full Inventory'!F:F,1,0),0)=0,"X","_")</f>
        <v>X</v>
      </c>
      <c r="D1808" t="str">
        <f t="shared" si="112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F1808" t="str">
        <f t="shared" si="113"/>
        <v>_</v>
      </c>
      <c r="K1808" t="str">
        <f t="shared" ca="1" si="114"/>
        <v>_XX_</v>
      </c>
      <c r="L1808" t="str">
        <f t="shared" ca="1" si="115"/>
        <v/>
      </c>
      <c r="M1808" t="str">
        <f>IFERROR(INDEX(Inventory!A:A,MATCH(Scan!A1808,Inventory!E:E,0)),"")</f>
        <v/>
      </c>
    </row>
    <row r="1809" spans="2:13" x14ac:dyDescent="0.3">
      <c r="B1809" t="str">
        <f>IF(IFERROR(VLOOKUP(TRIM(A1809),Inventory!E:E,1,0),0)=0,"X","_")</f>
        <v>_</v>
      </c>
      <c r="C1809" t="str">
        <f>IF(IFERROR(VLOOKUP(TRIM(A1809),'Full Inventory'!F:F,1,0),0)=0,"X","_")</f>
        <v>X</v>
      </c>
      <c r="D1809" t="str">
        <f t="shared" si="112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F1809" t="str">
        <f t="shared" si="113"/>
        <v>_</v>
      </c>
      <c r="K1809" t="str">
        <f t="shared" ca="1" si="114"/>
        <v>_XX_</v>
      </c>
      <c r="L1809" t="str">
        <f t="shared" ca="1" si="115"/>
        <v/>
      </c>
      <c r="M1809" t="str">
        <f>IFERROR(INDEX(Inventory!A:A,MATCH(Scan!A1809,Inventory!E:E,0)),"")</f>
        <v/>
      </c>
    </row>
    <row r="1810" spans="2:13" x14ac:dyDescent="0.3">
      <c r="B1810" t="str">
        <f>IF(IFERROR(VLOOKUP(TRIM(A1810),Inventory!E:E,1,0),0)=0,"X","_")</f>
        <v>_</v>
      </c>
      <c r="C1810" t="str">
        <f>IF(IFERROR(VLOOKUP(TRIM(A1810),'Full Inventory'!F:F,1,0),0)=0,"X","_")</f>
        <v>X</v>
      </c>
      <c r="D1810" t="str">
        <f t="shared" si="112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F1810" t="str">
        <f t="shared" si="113"/>
        <v>_</v>
      </c>
      <c r="K1810" t="str">
        <f t="shared" ca="1" si="114"/>
        <v>_XX_</v>
      </c>
      <c r="L1810" t="str">
        <f t="shared" ca="1" si="115"/>
        <v/>
      </c>
      <c r="M1810" t="str">
        <f>IFERROR(INDEX(Inventory!A:A,MATCH(Scan!A1810,Inventory!E:E,0)),"")</f>
        <v/>
      </c>
    </row>
    <row r="1811" spans="2:13" x14ac:dyDescent="0.3">
      <c r="B1811" t="str">
        <f>IF(IFERROR(VLOOKUP(TRIM(A1811),Inventory!E:E,1,0),0)=0,"X","_")</f>
        <v>_</v>
      </c>
      <c r="C1811" t="str">
        <f>IF(IFERROR(VLOOKUP(TRIM(A1811),'Full Inventory'!F:F,1,0),0)=0,"X","_")</f>
        <v>X</v>
      </c>
      <c r="D1811" t="str">
        <f t="shared" si="112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F1811" t="str">
        <f t="shared" si="113"/>
        <v>_</v>
      </c>
      <c r="K1811" t="str">
        <f t="shared" ca="1" si="114"/>
        <v>_XX_</v>
      </c>
      <c r="L1811" t="str">
        <f t="shared" ca="1" si="115"/>
        <v/>
      </c>
      <c r="M1811" t="str">
        <f>IFERROR(INDEX(Inventory!A:A,MATCH(Scan!A1811,Inventory!E:E,0)),"")</f>
        <v/>
      </c>
    </row>
    <row r="1812" spans="2:13" x14ac:dyDescent="0.3">
      <c r="B1812" t="str">
        <f>IF(IFERROR(VLOOKUP(TRIM(A1812),Inventory!E:E,1,0),0)=0,"X","_")</f>
        <v>_</v>
      </c>
      <c r="C1812" t="str">
        <f>IF(IFERROR(VLOOKUP(TRIM(A1812),'Full Inventory'!F:F,1,0),0)=0,"X","_")</f>
        <v>X</v>
      </c>
      <c r="D1812" t="str">
        <f t="shared" si="112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F1812" t="str">
        <f t="shared" si="113"/>
        <v>_</v>
      </c>
      <c r="K1812" t="str">
        <f t="shared" ca="1" si="114"/>
        <v>_XX_</v>
      </c>
      <c r="L1812" t="str">
        <f t="shared" ca="1" si="115"/>
        <v/>
      </c>
      <c r="M1812" t="str">
        <f>IFERROR(INDEX(Inventory!A:A,MATCH(Scan!A1812,Inventory!E:E,0)),"")</f>
        <v/>
      </c>
    </row>
    <row r="1813" spans="2:13" x14ac:dyDescent="0.3">
      <c r="B1813" t="str">
        <f>IF(IFERROR(VLOOKUP(TRIM(A1813),Inventory!E:E,1,0),0)=0,"X","_")</f>
        <v>_</v>
      </c>
      <c r="C1813" t="str">
        <f>IF(IFERROR(VLOOKUP(TRIM(A1813),'Full Inventory'!F:F,1,0),0)=0,"X","_")</f>
        <v>X</v>
      </c>
      <c r="D1813" t="str">
        <f t="shared" si="112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F1813" t="str">
        <f t="shared" si="113"/>
        <v>_</v>
      </c>
      <c r="K1813" t="str">
        <f t="shared" ca="1" si="114"/>
        <v>_XX_</v>
      </c>
      <c r="L1813" t="str">
        <f t="shared" ca="1" si="115"/>
        <v/>
      </c>
      <c r="M1813" t="str">
        <f>IFERROR(INDEX(Inventory!A:A,MATCH(Scan!A1813,Inventory!E:E,0)),"")</f>
        <v/>
      </c>
    </row>
    <row r="1814" spans="2:13" x14ac:dyDescent="0.3">
      <c r="B1814" t="str">
        <f>IF(IFERROR(VLOOKUP(TRIM(A1814),Inventory!E:E,1,0),0)=0,"X","_")</f>
        <v>_</v>
      </c>
      <c r="C1814" t="str">
        <f>IF(IFERROR(VLOOKUP(TRIM(A1814),'Full Inventory'!F:F,1,0),0)=0,"X","_")</f>
        <v>X</v>
      </c>
      <c r="D1814" t="str">
        <f t="shared" si="112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F1814" t="str">
        <f t="shared" si="113"/>
        <v>_</v>
      </c>
      <c r="K1814" t="str">
        <f t="shared" ca="1" si="114"/>
        <v>_XX_</v>
      </c>
      <c r="L1814" t="str">
        <f t="shared" ca="1" si="115"/>
        <v/>
      </c>
      <c r="M1814" t="str">
        <f>IFERROR(INDEX(Inventory!A:A,MATCH(Scan!A1814,Inventory!E:E,0)),"")</f>
        <v/>
      </c>
    </row>
    <row r="1815" spans="2:13" x14ac:dyDescent="0.3">
      <c r="B1815" t="str">
        <f>IF(IFERROR(VLOOKUP(TRIM(A1815),Inventory!E:E,1,0),0)=0,"X","_")</f>
        <v>_</v>
      </c>
      <c r="C1815" t="str">
        <f>IF(IFERROR(VLOOKUP(TRIM(A1815),'Full Inventory'!F:F,1,0),0)=0,"X","_")</f>
        <v>X</v>
      </c>
      <c r="D1815" t="str">
        <f t="shared" si="112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F1815" t="str">
        <f t="shared" si="113"/>
        <v>_</v>
      </c>
      <c r="K1815" t="str">
        <f t="shared" ca="1" si="114"/>
        <v>_XX_</v>
      </c>
      <c r="L1815" t="str">
        <f t="shared" ca="1" si="115"/>
        <v/>
      </c>
      <c r="M1815" t="str">
        <f>IFERROR(INDEX(Inventory!A:A,MATCH(Scan!A1815,Inventory!E:E,0)),"")</f>
        <v/>
      </c>
    </row>
    <row r="1816" spans="2:13" x14ac:dyDescent="0.3">
      <c r="B1816" t="str">
        <f>IF(IFERROR(VLOOKUP(TRIM(A1816),Inventory!E:E,1,0),0)=0,"X","_")</f>
        <v>_</v>
      </c>
      <c r="C1816" t="str">
        <f>IF(IFERROR(VLOOKUP(TRIM(A1816),'Full Inventory'!F:F,1,0),0)=0,"X","_")</f>
        <v>X</v>
      </c>
      <c r="D1816" t="str">
        <f t="shared" si="112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F1816" t="str">
        <f t="shared" si="113"/>
        <v>_</v>
      </c>
      <c r="K1816" t="str">
        <f t="shared" ca="1" si="114"/>
        <v>_XX_</v>
      </c>
      <c r="L1816" t="str">
        <f t="shared" ca="1" si="115"/>
        <v/>
      </c>
      <c r="M1816" t="str">
        <f>IFERROR(INDEX(Inventory!A:A,MATCH(Scan!A1816,Inventory!E:E,0)),"")</f>
        <v/>
      </c>
    </row>
    <row r="1817" spans="2:13" x14ac:dyDescent="0.3">
      <c r="B1817" t="str">
        <f>IF(IFERROR(VLOOKUP(TRIM(A1817),Inventory!E:E,1,0),0)=0,"X","_")</f>
        <v>_</v>
      </c>
      <c r="C1817" t="str">
        <f>IF(IFERROR(VLOOKUP(TRIM(A1817),'Full Inventory'!F:F,1,0),0)=0,"X","_")</f>
        <v>X</v>
      </c>
      <c r="D1817" t="str">
        <f t="shared" si="112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F1817" t="str">
        <f t="shared" si="113"/>
        <v>_</v>
      </c>
      <c r="K1817" t="str">
        <f t="shared" ca="1" si="114"/>
        <v>_XX_</v>
      </c>
      <c r="L1817" t="str">
        <f t="shared" ca="1" si="115"/>
        <v/>
      </c>
      <c r="M1817" t="str">
        <f>IFERROR(INDEX(Inventory!A:A,MATCH(Scan!A1817,Inventory!E:E,0)),"")</f>
        <v/>
      </c>
    </row>
    <row r="1818" spans="2:13" x14ac:dyDescent="0.3">
      <c r="B1818" t="str">
        <f>IF(IFERROR(VLOOKUP(TRIM(A1818),Inventory!E:E,1,0),0)=0,"X","_")</f>
        <v>_</v>
      </c>
      <c r="C1818" t="str">
        <f>IF(IFERROR(VLOOKUP(TRIM(A1818),'Full Inventory'!F:F,1,0),0)=0,"X","_")</f>
        <v>X</v>
      </c>
      <c r="D1818" t="str">
        <f t="shared" si="112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F1818" t="str">
        <f t="shared" si="113"/>
        <v>_</v>
      </c>
      <c r="K1818" t="str">
        <f t="shared" ca="1" si="114"/>
        <v>_XX_</v>
      </c>
      <c r="L1818" t="str">
        <f t="shared" ca="1" si="115"/>
        <v/>
      </c>
      <c r="M1818" t="str">
        <f>IFERROR(INDEX(Inventory!A:A,MATCH(Scan!A1818,Inventory!E:E,0)),"")</f>
        <v/>
      </c>
    </row>
    <row r="1819" spans="2:13" x14ac:dyDescent="0.3">
      <c r="B1819" t="str">
        <f>IF(IFERROR(VLOOKUP(TRIM(A1819),Inventory!E:E,1,0),0)=0,"X","_")</f>
        <v>_</v>
      </c>
      <c r="C1819" t="str">
        <f>IF(IFERROR(VLOOKUP(TRIM(A1819),'Full Inventory'!F:F,1,0),0)=0,"X","_")</f>
        <v>X</v>
      </c>
      <c r="D1819" t="str">
        <f t="shared" si="112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F1819" t="str">
        <f t="shared" si="113"/>
        <v>_</v>
      </c>
      <c r="K1819" t="str">
        <f t="shared" ca="1" si="114"/>
        <v>_XX_</v>
      </c>
      <c r="L1819" t="str">
        <f t="shared" ca="1" si="115"/>
        <v/>
      </c>
      <c r="M1819" t="str">
        <f>IFERROR(INDEX(Inventory!A:A,MATCH(Scan!A1819,Inventory!E:E,0)),"")</f>
        <v/>
      </c>
    </row>
    <row r="1820" spans="2:13" x14ac:dyDescent="0.3">
      <c r="B1820" t="str">
        <f>IF(IFERROR(VLOOKUP(TRIM(A1820),Inventory!E:E,1,0),0)=0,"X","_")</f>
        <v>_</v>
      </c>
      <c r="C1820" t="str">
        <f>IF(IFERROR(VLOOKUP(TRIM(A1820),'Full Inventory'!F:F,1,0),0)=0,"X","_")</f>
        <v>X</v>
      </c>
      <c r="D1820" t="str">
        <f t="shared" si="112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F1820" t="str">
        <f t="shared" si="113"/>
        <v>_</v>
      </c>
      <c r="K1820" t="str">
        <f t="shared" ca="1" si="114"/>
        <v>_XX_</v>
      </c>
      <c r="L1820" t="str">
        <f t="shared" ca="1" si="115"/>
        <v/>
      </c>
      <c r="M1820" t="str">
        <f>IFERROR(INDEX(Inventory!A:A,MATCH(Scan!A1820,Inventory!E:E,0)),"")</f>
        <v/>
      </c>
    </row>
    <row r="1821" spans="2:13" x14ac:dyDescent="0.3">
      <c r="B1821" t="str">
        <f>IF(IFERROR(VLOOKUP(TRIM(A1821),Inventory!E:E,1,0),0)=0,"X","_")</f>
        <v>_</v>
      </c>
      <c r="C1821" t="str">
        <f>IF(IFERROR(VLOOKUP(TRIM(A1821),'Full Inventory'!F:F,1,0),0)=0,"X","_")</f>
        <v>X</v>
      </c>
      <c r="D1821" t="str">
        <f t="shared" si="112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F1821" t="str">
        <f t="shared" si="113"/>
        <v>_</v>
      </c>
      <c r="K1821" t="str">
        <f t="shared" ca="1" si="114"/>
        <v>_XX_</v>
      </c>
      <c r="L1821" t="str">
        <f t="shared" ca="1" si="115"/>
        <v/>
      </c>
      <c r="M1821" t="str">
        <f>IFERROR(INDEX(Inventory!A:A,MATCH(Scan!A1821,Inventory!E:E,0)),"")</f>
        <v/>
      </c>
    </row>
    <row r="1822" spans="2:13" x14ac:dyDescent="0.3">
      <c r="B1822" t="str">
        <f>IF(IFERROR(VLOOKUP(TRIM(A1822),Inventory!E:E,1,0),0)=0,"X","_")</f>
        <v>_</v>
      </c>
      <c r="C1822" t="str">
        <f>IF(IFERROR(VLOOKUP(TRIM(A1822),'Full Inventory'!F:F,1,0),0)=0,"X","_")</f>
        <v>X</v>
      </c>
      <c r="D1822" t="str">
        <f t="shared" si="112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F1822" t="str">
        <f t="shared" si="113"/>
        <v>_</v>
      </c>
      <c r="K1822" t="str">
        <f t="shared" ca="1" si="114"/>
        <v>_XX_</v>
      </c>
      <c r="L1822" t="str">
        <f t="shared" ca="1" si="115"/>
        <v/>
      </c>
      <c r="M1822" t="str">
        <f>IFERROR(INDEX(Inventory!A:A,MATCH(Scan!A1822,Inventory!E:E,0)),"")</f>
        <v/>
      </c>
    </row>
    <row r="1823" spans="2:13" x14ac:dyDescent="0.3">
      <c r="B1823" t="str">
        <f>IF(IFERROR(VLOOKUP(TRIM(A1823),Inventory!E:E,1,0),0)=0,"X","_")</f>
        <v>_</v>
      </c>
      <c r="C1823" t="str">
        <f>IF(IFERROR(VLOOKUP(TRIM(A1823),'Full Inventory'!F:F,1,0),0)=0,"X","_")</f>
        <v>X</v>
      </c>
      <c r="D1823" t="str">
        <f t="shared" si="112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F1823" t="str">
        <f t="shared" si="113"/>
        <v>_</v>
      </c>
      <c r="K1823" t="str">
        <f t="shared" ca="1" si="114"/>
        <v>_XX_</v>
      </c>
      <c r="L1823" t="str">
        <f t="shared" ca="1" si="115"/>
        <v/>
      </c>
      <c r="M1823" t="str">
        <f>IFERROR(INDEX(Inventory!A:A,MATCH(Scan!A1823,Inventory!E:E,0)),"")</f>
        <v/>
      </c>
    </row>
    <row r="1824" spans="2:13" x14ac:dyDescent="0.3">
      <c r="B1824" t="str">
        <f>IF(IFERROR(VLOOKUP(TRIM(A1824),Inventory!E:E,1,0),0)=0,"X","_")</f>
        <v>_</v>
      </c>
      <c r="C1824" t="str">
        <f>IF(IFERROR(VLOOKUP(TRIM(A1824),'Full Inventory'!F:F,1,0),0)=0,"X","_")</f>
        <v>X</v>
      </c>
      <c r="D1824" t="str">
        <f t="shared" si="112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F1824" t="str">
        <f t="shared" si="113"/>
        <v>_</v>
      </c>
      <c r="K1824" t="str">
        <f t="shared" ca="1" si="114"/>
        <v>_XX_</v>
      </c>
      <c r="L1824" t="str">
        <f t="shared" ca="1" si="115"/>
        <v/>
      </c>
      <c r="M1824" t="str">
        <f>IFERROR(INDEX(Inventory!A:A,MATCH(Scan!A1824,Inventory!E:E,0)),"")</f>
        <v/>
      </c>
    </row>
    <row r="1825" spans="2:13" x14ac:dyDescent="0.3">
      <c r="B1825" t="str">
        <f>IF(IFERROR(VLOOKUP(TRIM(A1825),Inventory!E:E,1,0),0)=0,"X","_")</f>
        <v>_</v>
      </c>
      <c r="C1825" t="str">
        <f>IF(IFERROR(VLOOKUP(TRIM(A1825),'Full Inventory'!F:F,1,0),0)=0,"X","_")</f>
        <v>X</v>
      </c>
      <c r="D1825" t="str">
        <f t="shared" si="112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F1825" t="str">
        <f t="shared" si="113"/>
        <v>_</v>
      </c>
      <c r="K1825" t="str">
        <f t="shared" ca="1" si="114"/>
        <v>_XX_</v>
      </c>
      <c r="L1825" t="str">
        <f t="shared" ca="1" si="115"/>
        <v/>
      </c>
      <c r="M1825" t="str">
        <f>IFERROR(INDEX(Inventory!A:A,MATCH(Scan!A1825,Inventory!E:E,0)),"")</f>
        <v/>
      </c>
    </row>
    <row r="1826" spans="2:13" x14ac:dyDescent="0.3">
      <c r="B1826" t="str">
        <f>IF(IFERROR(VLOOKUP(TRIM(A1826),Inventory!E:E,1,0),0)=0,"X","_")</f>
        <v>_</v>
      </c>
      <c r="C1826" t="str">
        <f>IF(IFERROR(VLOOKUP(TRIM(A1826),'Full Inventory'!F:F,1,0),0)=0,"X","_")</f>
        <v>X</v>
      </c>
      <c r="D1826" t="str">
        <f t="shared" si="112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F1826" t="str">
        <f t="shared" si="113"/>
        <v>_</v>
      </c>
      <c r="K1826" t="str">
        <f t="shared" ca="1" si="114"/>
        <v>_XX_</v>
      </c>
      <c r="L1826" t="str">
        <f t="shared" ca="1" si="115"/>
        <v/>
      </c>
      <c r="M1826" t="str">
        <f>IFERROR(INDEX(Inventory!A:A,MATCH(Scan!A1826,Inventory!E:E,0)),"")</f>
        <v/>
      </c>
    </row>
    <row r="1827" spans="2:13" x14ac:dyDescent="0.3">
      <c r="B1827" t="str">
        <f>IF(IFERROR(VLOOKUP(TRIM(A1827),Inventory!E:E,1,0),0)=0,"X","_")</f>
        <v>_</v>
      </c>
      <c r="C1827" t="str">
        <f>IF(IFERROR(VLOOKUP(TRIM(A1827),'Full Inventory'!F:F,1,0),0)=0,"X","_")</f>
        <v>X</v>
      </c>
      <c r="D1827" t="str">
        <f t="shared" si="112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F1827" t="str">
        <f t="shared" si="113"/>
        <v>_</v>
      </c>
      <c r="K1827" t="str">
        <f t="shared" ca="1" si="114"/>
        <v>_XX_</v>
      </c>
      <c r="L1827" t="str">
        <f t="shared" ca="1" si="115"/>
        <v/>
      </c>
      <c r="M1827" t="str">
        <f>IFERROR(INDEX(Inventory!A:A,MATCH(Scan!A1827,Inventory!E:E,0)),"")</f>
        <v/>
      </c>
    </row>
    <row r="1828" spans="2:13" x14ac:dyDescent="0.3">
      <c r="B1828" t="str">
        <f>IF(IFERROR(VLOOKUP(TRIM(A1828),Inventory!E:E,1,0),0)=0,"X","_")</f>
        <v>_</v>
      </c>
      <c r="C1828" t="str">
        <f>IF(IFERROR(VLOOKUP(TRIM(A1828),'Full Inventory'!F:F,1,0),0)=0,"X","_")</f>
        <v>X</v>
      </c>
      <c r="D1828" t="str">
        <f t="shared" si="112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F1828" t="str">
        <f t="shared" si="113"/>
        <v>_</v>
      </c>
      <c r="K1828" t="str">
        <f t="shared" ca="1" si="114"/>
        <v>_XX_</v>
      </c>
      <c r="L1828" t="str">
        <f t="shared" ca="1" si="115"/>
        <v/>
      </c>
      <c r="M1828" t="str">
        <f>IFERROR(INDEX(Inventory!A:A,MATCH(Scan!A1828,Inventory!E:E,0)),"")</f>
        <v/>
      </c>
    </row>
    <row r="1829" spans="2:13" x14ac:dyDescent="0.3">
      <c r="B1829" t="str">
        <f>IF(IFERROR(VLOOKUP(TRIM(A1829),Inventory!E:E,1,0),0)=0,"X","_")</f>
        <v>_</v>
      </c>
      <c r="C1829" t="str">
        <f>IF(IFERROR(VLOOKUP(TRIM(A1829),'Full Inventory'!F:F,1,0),0)=0,"X","_")</f>
        <v>X</v>
      </c>
      <c r="D1829" t="str">
        <f t="shared" si="112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F1829" t="str">
        <f t="shared" si="113"/>
        <v>_</v>
      </c>
      <c r="K1829" t="str">
        <f t="shared" ca="1" si="114"/>
        <v>_XX_</v>
      </c>
      <c r="L1829" t="str">
        <f t="shared" ca="1" si="115"/>
        <v/>
      </c>
      <c r="M1829" t="str">
        <f>IFERROR(INDEX(Inventory!A:A,MATCH(Scan!A1829,Inventory!E:E,0)),"")</f>
        <v/>
      </c>
    </row>
    <row r="1830" spans="2:13" x14ac:dyDescent="0.3">
      <c r="B1830" t="str">
        <f>IF(IFERROR(VLOOKUP(TRIM(A1830),Inventory!E:E,1,0),0)=0,"X","_")</f>
        <v>_</v>
      </c>
      <c r="C1830" t="str">
        <f>IF(IFERROR(VLOOKUP(TRIM(A1830),'Full Inventory'!F:F,1,0),0)=0,"X","_")</f>
        <v>X</v>
      </c>
      <c r="D1830" t="str">
        <f t="shared" si="112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F1830" t="str">
        <f t="shared" si="113"/>
        <v>_</v>
      </c>
      <c r="K1830" t="str">
        <f t="shared" ca="1" si="114"/>
        <v>_XX_</v>
      </c>
      <c r="L1830" t="str">
        <f t="shared" ca="1" si="115"/>
        <v/>
      </c>
      <c r="M1830" t="str">
        <f>IFERROR(INDEX(Inventory!A:A,MATCH(Scan!A1830,Inventory!E:E,0)),"")</f>
        <v/>
      </c>
    </row>
    <row r="1831" spans="2:13" x14ac:dyDescent="0.3">
      <c r="B1831" t="str">
        <f>IF(IFERROR(VLOOKUP(TRIM(A1831),Inventory!E:E,1,0),0)=0,"X","_")</f>
        <v>_</v>
      </c>
      <c r="C1831" t="str">
        <f>IF(IFERROR(VLOOKUP(TRIM(A1831),'Full Inventory'!F:F,1,0),0)=0,"X","_")</f>
        <v>X</v>
      </c>
      <c r="D1831" t="str">
        <f t="shared" si="112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F1831" t="str">
        <f t="shared" si="113"/>
        <v>_</v>
      </c>
      <c r="K1831" t="str">
        <f t="shared" ca="1" si="114"/>
        <v>_XX_</v>
      </c>
      <c r="L1831" t="str">
        <f t="shared" ca="1" si="115"/>
        <v/>
      </c>
      <c r="M1831" t="str">
        <f>IFERROR(INDEX(Inventory!A:A,MATCH(Scan!A1831,Inventory!E:E,0)),"")</f>
        <v/>
      </c>
    </row>
    <row r="1832" spans="2:13" x14ac:dyDescent="0.3">
      <c r="B1832" t="str">
        <f>IF(IFERROR(VLOOKUP(TRIM(A1832),Inventory!E:E,1,0),0)=0,"X","_")</f>
        <v>_</v>
      </c>
      <c r="C1832" t="str">
        <f>IF(IFERROR(VLOOKUP(TRIM(A1832),'Full Inventory'!F:F,1,0),0)=0,"X","_")</f>
        <v>X</v>
      </c>
      <c r="D1832" t="str">
        <f t="shared" si="112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F1832" t="str">
        <f t="shared" si="113"/>
        <v>_</v>
      </c>
      <c r="K1832" t="str">
        <f t="shared" ca="1" si="114"/>
        <v>_XX_</v>
      </c>
      <c r="L1832" t="str">
        <f t="shared" ca="1" si="115"/>
        <v/>
      </c>
      <c r="M1832" t="str">
        <f>IFERROR(INDEX(Inventory!A:A,MATCH(Scan!A1832,Inventory!E:E,0)),"")</f>
        <v/>
      </c>
    </row>
    <row r="1833" spans="2:13" x14ac:dyDescent="0.3">
      <c r="B1833" t="str">
        <f>IF(IFERROR(VLOOKUP(TRIM(A1833),Inventory!E:E,1,0),0)=0,"X","_")</f>
        <v>_</v>
      </c>
      <c r="C1833" t="str">
        <f>IF(IFERROR(VLOOKUP(TRIM(A1833),'Full Inventory'!F:F,1,0),0)=0,"X","_")</f>
        <v>X</v>
      </c>
      <c r="D1833" t="str">
        <f t="shared" si="112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F1833" t="str">
        <f t="shared" si="113"/>
        <v>_</v>
      </c>
      <c r="K1833" t="str">
        <f t="shared" ca="1" si="114"/>
        <v>_XX_</v>
      </c>
      <c r="L1833" t="str">
        <f t="shared" ca="1" si="115"/>
        <v/>
      </c>
      <c r="M1833" t="str">
        <f>IFERROR(INDEX(Inventory!A:A,MATCH(Scan!A1833,Inventory!E:E,0)),"")</f>
        <v/>
      </c>
    </row>
    <row r="1834" spans="2:13" x14ac:dyDescent="0.3">
      <c r="B1834" t="str">
        <f>IF(IFERROR(VLOOKUP(TRIM(A1834),Inventory!E:E,1,0),0)=0,"X","_")</f>
        <v>_</v>
      </c>
      <c r="C1834" t="str">
        <f>IF(IFERROR(VLOOKUP(TRIM(A1834),'Full Inventory'!F:F,1,0),0)=0,"X","_")</f>
        <v>X</v>
      </c>
      <c r="D1834" t="str">
        <f t="shared" si="112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F1834" t="str">
        <f t="shared" si="113"/>
        <v>_</v>
      </c>
      <c r="K1834" t="str">
        <f t="shared" ca="1" si="114"/>
        <v>_XX_</v>
      </c>
      <c r="L1834" t="str">
        <f t="shared" ca="1" si="115"/>
        <v/>
      </c>
      <c r="M1834" t="str">
        <f>IFERROR(INDEX(Inventory!A:A,MATCH(Scan!A1834,Inventory!E:E,0)),"")</f>
        <v/>
      </c>
    </row>
    <row r="1835" spans="2:13" x14ac:dyDescent="0.3">
      <c r="B1835" t="str">
        <f>IF(IFERROR(VLOOKUP(TRIM(A1835),Inventory!E:E,1,0),0)=0,"X","_")</f>
        <v>_</v>
      </c>
      <c r="C1835" t="str">
        <f>IF(IFERROR(VLOOKUP(TRIM(A1835),'Full Inventory'!F:F,1,0),0)=0,"X","_")</f>
        <v>X</v>
      </c>
      <c r="D1835" t="str">
        <f t="shared" si="112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F1835" t="str">
        <f t="shared" si="113"/>
        <v>_</v>
      </c>
      <c r="K1835" t="str">
        <f t="shared" ca="1" si="114"/>
        <v>_XX_</v>
      </c>
      <c r="L1835" t="str">
        <f t="shared" ca="1" si="115"/>
        <v/>
      </c>
      <c r="M1835" t="str">
        <f>IFERROR(INDEX(Inventory!A:A,MATCH(Scan!A1835,Inventory!E:E,0)),"")</f>
        <v/>
      </c>
    </row>
    <row r="1836" spans="2:13" x14ac:dyDescent="0.3">
      <c r="B1836" t="str">
        <f>IF(IFERROR(VLOOKUP(TRIM(A1836),Inventory!E:E,1,0),0)=0,"X","_")</f>
        <v>_</v>
      </c>
      <c r="C1836" t="str">
        <f>IF(IFERROR(VLOOKUP(TRIM(A1836),'Full Inventory'!F:F,1,0),0)=0,"X","_")</f>
        <v>X</v>
      </c>
      <c r="D1836" t="str">
        <f t="shared" si="112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F1836" t="str">
        <f t="shared" si="113"/>
        <v>_</v>
      </c>
      <c r="K1836" t="str">
        <f t="shared" ca="1" si="114"/>
        <v>_XX_</v>
      </c>
      <c r="L1836" t="str">
        <f t="shared" ca="1" si="115"/>
        <v/>
      </c>
      <c r="M1836" t="str">
        <f>IFERROR(INDEX(Inventory!A:A,MATCH(Scan!A1836,Inventory!E:E,0)),"")</f>
        <v/>
      </c>
    </row>
    <row r="1837" spans="2:13" x14ac:dyDescent="0.3">
      <c r="B1837" t="str">
        <f>IF(IFERROR(VLOOKUP(TRIM(A1837),Inventory!E:E,1,0),0)=0,"X","_")</f>
        <v>_</v>
      </c>
      <c r="C1837" t="str">
        <f>IF(IFERROR(VLOOKUP(TRIM(A1837),'Full Inventory'!F:F,1,0),0)=0,"X","_")</f>
        <v>X</v>
      </c>
      <c r="D1837" t="str">
        <f t="shared" si="112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F1837" t="str">
        <f t="shared" si="113"/>
        <v>_</v>
      </c>
      <c r="K1837" t="str">
        <f t="shared" ca="1" si="114"/>
        <v>_XX_</v>
      </c>
      <c r="L1837" t="str">
        <f t="shared" ca="1" si="115"/>
        <v/>
      </c>
      <c r="M1837" t="str">
        <f>IFERROR(INDEX(Inventory!A:A,MATCH(Scan!A1837,Inventory!E:E,0)),"")</f>
        <v/>
      </c>
    </row>
    <row r="1838" spans="2:13" x14ac:dyDescent="0.3">
      <c r="B1838" t="str">
        <f>IF(IFERROR(VLOOKUP(TRIM(A1838),Inventory!E:E,1,0),0)=0,"X","_")</f>
        <v>_</v>
      </c>
      <c r="C1838" t="str">
        <f>IF(IFERROR(VLOOKUP(TRIM(A1838),'Full Inventory'!F:F,1,0),0)=0,"X","_")</f>
        <v>X</v>
      </c>
      <c r="D1838" t="str">
        <f t="shared" si="112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F1838" t="str">
        <f t="shared" si="113"/>
        <v>_</v>
      </c>
      <c r="K1838" t="str">
        <f t="shared" ca="1" si="114"/>
        <v>_XX_</v>
      </c>
      <c r="L1838" t="str">
        <f t="shared" ca="1" si="115"/>
        <v/>
      </c>
      <c r="M1838" t="str">
        <f>IFERROR(INDEX(Inventory!A:A,MATCH(Scan!A1838,Inventory!E:E,0)),"")</f>
        <v/>
      </c>
    </row>
    <row r="1839" spans="2:13" x14ac:dyDescent="0.3">
      <c r="B1839" t="str">
        <f>IF(IFERROR(VLOOKUP(TRIM(A1839),Inventory!E:E,1,0),0)=0,"X","_")</f>
        <v>_</v>
      </c>
      <c r="C1839" t="str">
        <f>IF(IFERROR(VLOOKUP(TRIM(A1839),'Full Inventory'!F:F,1,0),0)=0,"X","_")</f>
        <v>X</v>
      </c>
      <c r="D1839" t="str">
        <f t="shared" si="112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F1839" t="str">
        <f t="shared" si="113"/>
        <v>_</v>
      </c>
      <c r="K1839" t="str">
        <f t="shared" ca="1" si="114"/>
        <v>_XX_</v>
      </c>
      <c r="L1839" t="str">
        <f t="shared" ca="1" si="115"/>
        <v/>
      </c>
      <c r="M1839" t="str">
        <f>IFERROR(INDEX(Inventory!A:A,MATCH(Scan!A1839,Inventory!E:E,0)),"")</f>
        <v/>
      </c>
    </row>
    <row r="1840" spans="2:13" x14ac:dyDescent="0.3">
      <c r="B1840" t="str">
        <f>IF(IFERROR(VLOOKUP(TRIM(A1840),Inventory!E:E,1,0),0)=0,"X","_")</f>
        <v>_</v>
      </c>
      <c r="C1840" t="str">
        <f>IF(IFERROR(VLOOKUP(TRIM(A1840),'Full Inventory'!F:F,1,0),0)=0,"X","_")</f>
        <v>X</v>
      </c>
      <c r="D1840" t="str">
        <f t="shared" si="112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F1840" t="str">
        <f t="shared" si="113"/>
        <v>_</v>
      </c>
      <c r="K1840" t="str">
        <f t="shared" ca="1" si="114"/>
        <v>_XX_</v>
      </c>
      <c r="L1840" t="str">
        <f t="shared" ca="1" si="115"/>
        <v/>
      </c>
      <c r="M1840" t="str">
        <f>IFERROR(INDEX(Inventory!A:A,MATCH(Scan!A1840,Inventory!E:E,0)),"")</f>
        <v/>
      </c>
    </row>
    <row r="1841" spans="2:13" x14ac:dyDescent="0.3">
      <c r="B1841" t="str">
        <f>IF(IFERROR(VLOOKUP(TRIM(A1841),Inventory!E:E,1,0),0)=0,"X","_")</f>
        <v>_</v>
      </c>
      <c r="C1841" t="str">
        <f>IF(IFERROR(VLOOKUP(TRIM(A1841),'Full Inventory'!F:F,1,0),0)=0,"X","_")</f>
        <v>X</v>
      </c>
      <c r="D1841" t="str">
        <f t="shared" si="112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F1841" t="str">
        <f t="shared" si="113"/>
        <v>_</v>
      </c>
      <c r="K1841" t="str">
        <f t="shared" ca="1" si="114"/>
        <v>_XX_</v>
      </c>
      <c r="L1841" t="str">
        <f t="shared" ca="1" si="115"/>
        <v/>
      </c>
      <c r="M1841" t="str">
        <f>IFERROR(INDEX(Inventory!A:A,MATCH(Scan!A1841,Inventory!E:E,0)),"")</f>
        <v/>
      </c>
    </row>
    <row r="1842" spans="2:13" x14ac:dyDescent="0.3">
      <c r="B1842" t="str">
        <f>IF(IFERROR(VLOOKUP(TRIM(A1842),Inventory!E:E,1,0),0)=0,"X","_")</f>
        <v>_</v>
      </c>
      <c r="C1842" t="str">
        <f>IF(IFERROR(VLOOKUP(TRIM(A1842),'Full Inventory'!F:F,1,0),0)=0,"X","_")</f>
        <v>X</v>
      </c>
      <c r="D1842" t="str">
        <f t="shared" si="112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F1842" t="str">
        <f t="shared" si="113"/>
        <v>_</v>
      </c>
      <c r="K1842" t="str">
        <f t="shared" ca="1" si="114"/>
        <v>_XX_</v>
      </c>
      <c r="L1842" t="str">
        <f t="shared" ca="1" si="115"/>
        <v/>
      </c>
      <c r="M1842" t="str">
        <f>IFERROR(INDEX(Inventory!A:A,MATCH(Scan!A1842,Inventory!E:E,0)),"")</f>
        <v/>
      </c>
    </row>
    <row r="1843" spans="2:13" x14ac:dyDescent="0.3">
      <c r="B1843" t="str">
        <f>IF(IFERROR(VLOOKUP(TRIM(A1843),Inventory!E:E,1,0),0)=0,"X","_")</f>
        <v>_</v>
      </c>
      <c r="C1843" t="str">
        <f>IF(IFERROR(VLOOKUP(TRIM(A1843),'Full Inventory'!F:F,1,0),0)=0,"X","_")</f>
        <v>X</v>
      </c>
      <c r="D1843" t="str">
        <f t="shared" si="112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F1843" t="str">
        <f t="shared" si="113"/>
        <v>_</v>
      </c>
      <c r="K1843" t="str">
        <f t="shared" ca="1" si="114"/>
        <v>_XX_</v>
      </c>
      <c r="L1843" t="str">
        <f t="shared" ca="1" si="115"/>
        <v/>
      </c>
      <c r="M1843" t="str">
        <f>IFERROR(INDEX(Inventory!A:A,MATCH(Scan!A1843,Inventory!E:E,0)),"")</f>
        <v/>
      </c>
    </row>
    <row r="1844" spans="2:13" x14ac:dyDescent="0.3">
      <c r="B1844" t="str">
        <f>IF(IFERROR(VLOOKUP(TRIM(A1844),Inventory!E:E,1,0),0)=0,"X","_")</f>
        <v>_</v>
      </c>
      <c r="C1844" t="str">
        <f>IF(IFERROR(VLOOKUP(TRIM(A1844),'Full Inventory'!F:F,1,0),0)=0,"X","_")</f>
        <v>X</v>
      </c>
      <c r="D1844" t="str">
        <f t="shared" si="112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F1844" t="str">
        <f t="shared" si="113"/>
        <v>_</v>
      </c>
      <c r="K1844" t="str">
        <f t="shared" ca="1" si="114"/>
        <v>_XX_</v>
      </c>
      <c r="L1844" t="str">
        <f t="shared" ca="1" si="115"/>
        <v/>
      </c>
      <c r="M1844" t="str">
        <f>IFERROR(INDEX(Inventory!A:A,MATCH(Scan!A1844,Inventory!E:E,0)),"")</f>
        <v/>
      </c>
    </row>
    <row r="1845" spans="2:13" x14ac:dyDescent="0.3">
      <c r="B1845" t="str">
        <f>IF(IFERROR(VLOOKUP(TRIM(A1845),Inventory!E:E,1,0),0)=0,"X","_")</f>
        <v>_</v>
      </c>
      <c r="C1845" t="str">
        <f>IF(IFERROR(VLOOKUP(TRIM(A1845),'Full Inventory'!F:F,1,0),0)=0,"X","_")</f>
        <v>X</v>
      </c>
      <c r="D1845" t="str">
        <f t="shared" si="112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F1845" t="str">
        <f t="shared" si="113"/>
        <v>_</v>
      </c>
      <c r="K1845" t="str">
        <f t="shared" ca="1" si="114"/>
        <v>_XX_</v>
      </c>
      <c r="L1845" t="str">
        <f t="shared" ca="1" si="115"/>
        <v/>
      </c>
      <c r="M1845" t="str">
        <f>IFERROR(INDEX(Inventory!A:A,MATCH(Scan!A1845,Inventory!E:E,0)),"")</f>
        <v/>
      </c>
    </row>
    <row r="1846" spans="2:13" x14ac:dyDescent="0.3">
      <c r="B1846" t="str">
        <f>IF(IFERROR(VLOOKUP(TRIM(A1846),Inventory!E:E,1,0),0)=0,"X","_")</f>
        <v>_</v>
      </c>
      <c r="C1846" t="str">
        <f>IF(IFERROR(VLOOKUP(TRIM(A1846),'Full Inventory'!F:F,1,0),0)=0,"X","_")</f>
        <v>X</v>
      </c>
      <c r="D1846" t="str">
        <f t="shared" si="112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F1846" t="str">
        <f t="shared" si="113"/>
        <v>_</v>
      </c>
      <c r="K1846" t="str">
        <f t="shared" ca="1" si="114"/>
        <v>_XX_</v>
      </c>
      <c r="L1846" t="str">
        <f t="shared" ca="1" si="115"/>
        <v/>
      </c>
      <c r="M1846" t="str">
        <f>IFERROR(INDEX(Inventory!A:A,MATCH(Scan!A1846,Inventory!E:E,0)),"")</f>
        <v/>
      </c>
    </row>
    <row r="1847" spans="2:13" x14ac:dyDescent="0.3">
      <c r="B1847" t="str">
        <f>IF(IFERROR(VLOOKUP(TRIM(A1847),Inventory!E:E,1,0),0)=0,"X","_")</f>
        <v>_</v>
      </c>
      <c r="C1847" t="str">
        <f>IF(IFERROR(VLOOKUP(TRIM(A1847),'Full Inventory'!F:F,1,0),0)=0,"X","_")</f>
        <v>X</v>
      </c>
      <c r="D1847" t="str">
        <f t="shared" si="112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F1847" t="str">
        <f t="shared" si="113"/>
        <v>_</v>
      </c>
      <c r="K1847" t="str">
        <f t="shared" ca="1" si="114"/>
        <v>_XX_</v>
      </c>
      <c r="L1847" t="str">
        <f t="shared" ca="1" si="115"/>
        <v/>
      </c>
      <c r="M1847" t="str">
        <f>IFERROR(INDEX(Inventory!A:A,MATCH(Scan!A1847,Inventory!E:E,0)),"")</f>
        <v/>
      </c>
    </row>
    <row r="1848" spans="2:13" x14ac:dyDescent="0.3">
      <c r="B1848" t="str">
        <f>IF(IFERROR(VLOOKUP(TRIM(A1848),Inventory!E:E,1,0),0)=0,"X","_")</f>
        <v>_</v>
      </c>
      <c r="C1848" t="str">
        <f>IF(IFERROR(VLOOKUP(TRIM(A1848),'Full Inventory'!F:F,1,0),0)=0,"X","_")</f>
        <v>X</v>
      </c>
      <c r="D1848" t="str">
        <f t="shared" si="112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F1848" t="str">
        <f t="shared" si="113"/>
        <v>_</v>
      </c>
      <c r="K1848" t="str">
        <f t="shared" ca="1" si="114"/>
        <v>_XX_</v>
      </c>
      <c r="L1848" t="str">
        <f t="shared" ca="1" si="115"/>
        <v/>
      </c>
      <c r="M1848" t="str">
        <f>IFERROR(INDEX(Inventory!A:A,MATCH(Scan!A1848,Inventory!E:E,0)),"")</f>
        <v/>
      </c>
    </row>
    <row r="1849" spans="2:13" x14ac:dyDescent="0.3">
      <c r="B1849" t="str">
        <f>IF(IFERROR(VLOOKUP(TRIM(A1849),Inventory!E:E,1,0),0)=0,"X","_")</f>
        <v>_</v>
      </c>
      <c r="C1849" t="str">
        <f>IF(IFERROR(VLOOKUP(TRIM(A1849),'Full Inventory'!F:F,1,0),0)=0,"X","_")</f>
        <v>X</v>
      </c>
      <c r="D1849" t="str">
        <f t="shared" si="112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F1849" t="str">
        <f t="shared" si="113"/>
        <v>_</v>
      </c>
      <c r="K1849" t="str">
        <f t="shared" ca="1" si="114"/>
        <v>_XX_</v>
      </c>
      <c r="L1849" t="str">
        <f t="shared" ca="1" si="115"/>
        <v/>
      </c>
      <c r="M1849" t="str">
        <f>IFERROR(INDEX(Inventory!A:A,MATCH(Scan!A1849,Inventory!E:E,0)),"")</f>
        <v/>
      </c>
    </row>
    <row r="1850" spans="2:13" x14ac:dyDescent="0.3">
      <c r="B1850" t="str">
        <f>IF(IFERROR(VLOOKUP(TRIM(A1850),Inventory!E:E,1,0),0)=0,"X","_")</f>
        <v>_</v>
      </c>
      <c r="C1850" t="str">
        <f>IF(IFERROR(VLOOKUP(TRIM(A1850),'Full Inventory'!F:F,1,0),0)=0,"X","_")</f>
        <v>X</v>
      </c>
      <c r="D1850" t="str">
        <f t="shared" si="112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F1850" t="str">
        <f t="shared" si="113"/>
        <v>_</v>
      </c>
      <c r="K1850" t="str">
        <f t="shared" ca="1" si="114"/>
        <v>_XX_</v>
      </c>
      <c r="L1850" t="str">
        <f t="shared" ca="1" si="115"/>
        <v/>
      </c>
      <c r="M1850" t="str">
        <f>IFERROR(INDEX(Inventory!A:A,MATCH(Scan!A1850,Inventory!E:E,0)),"")</f>
        <v/>
      </c>
    </row>
    <row r="1851" spans="2:13" x14ac:dyDescent="0.3">
      <c r="B1851" t="str">
        <f>IF(IFERROR(VLOOKUP(TRIM(A1851),Inventory!E:E,1,0),0)=0,"X","_")</f>
        <v>_</v>
      </c>
      <c r="C1851" t="str">
        <f>IF(IFERROR(VLOOKUP(TRIM(A1851),'Full Inventory'!F:F,1,0),0)=0,"X","_")</f>
        <v>X</v>
      </c>
      <c r="D1851" t="str">
        <f t="shared" si="112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F1851" t="str">
        <f t="shared" si="113"/>
        <v>_</v>
      </c>
      <c r="K1851" t="str">
        <f t="shared" ca="1" si="114"/>
        <v>_XX_</v>
      </c>
      <c r="L1851" t="str">
        <f t="shared" ca="1" si="115"/>
        <v/>
      </c>
      <c r="M1851" t="str">
        <f>IFERROR(INDEX(Inventory!A:A,MATCH(Scan!A1851,Inventory!E:E,0)),"")</f>
        <v/>
      </c>
    </row>
    <row r="1852" spans="2:13" x14ac:dyDescent="0.3">
      <c r="B1852" t="str">
        <f>IF(IFERROR(VLOOKUP(TRIM(A1852),Inventory!E:E,1,0),0)=0,"X","_")</f>
        <v>_</v>
      </c>
      <c r="C1852" t="str">
        <f>IF(IFERROR(VLOOKUP(TRIM(A1852),'Full Inventory'!F:F,1,0),0)=0,"X","_")</f>
        <v>X</v>
      </c>
      <c r="D1852" t="str">
        <f t="shared" si="112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F1852" t="str">
        <f t="shared" si="113"/>
        <v>_</v>
      </c>
      <c r="K1852" t="str">
        <f t="shared" ca="1" si="114"/>
        <v>_XX_</v>
      </c>
      <c r="L1852" t="str">
        <f t="shared" ca="1" si="115"/>
        <v/>
      </c>
      <c r="M1852" t="str">
        <f>IFERROR(INDEX(Inventory!A:A,MATCH(Scan!A1852,Inventory!E:E,0)),"")</f>
        <v/>
      </c>
    </row>
    <row r="1853" spans="2:13" x14ac:dyDescent="0.3">
      <c r="B1853" t="str">
        <f>IF(IFERROR(VLOOKUP(TRIM(A1853),Inventory!E:E,1,0),0)=0,"X","_")</f>
        <v>_</v>
      </c>
      <c r="C1853" t="str">
        <f>IF(IFERROR(VLOOKUP(TRIM(A1853),'Full Inventory'!F:F,1,0),0)=0,"X","_")</f>
        <v>X</v>
      </c>
      <c r="D1853" t="str">
        <f t="shared" si="112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F1853" t="str">
        <f t="shared" si="113"/>
        <v>_</v>
      </c>
      <c r="K1853" t="str">
        <f t="shared" ca="1" si="114"/>
        <v>_XX_</v>
      </c>
      <c r="L1853" t="str">
        <f t="shared" ca="1" si="115"/>
        <v/>
      </c>
      <c r="M1853" t="str">
        <f>IFERROR(INDEX(Inventory!A:A,MATCH(Scan!A1853,Inventory!E:E,0)),"")</f>
        <v/>
      </c>
    </row>
    <row r="1854" spans="2:13" x14ac:dyDescent="0.3">
      <c r="B1854" t="str">
        <f>IF(IFERROR(VLOOKUP(TRIM(A1854),Inventory!E:E,1,0),0)=0,"X","_")</f>
        <v>_</v>
      </c>
      <c r="C1854" t="str">
        <f>IF(IFERROR(VLOOKUP(TRIM(A1854),'Full Inventory'!F:F,1,0),0)=0,"X","_")</f>
        <v>X</v>
      </c>
      <c r="D1854" t="str">
        <f t="shared" si="112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F1854" t="str">
        <f t="shared" si="113"/>
        <v>_</v>
      </c>
      <c r="K1854" t="str">
        <f t="shared" ca="1" si="114"/>
        <v>_XX_</v>
      </c>
      <c r="L1854" t="str">
        <f t="shared" ca="1" si="115"/>
        <v/>
      </c>
      <c r="M1854" t="str">
        <f>IFERROR(INDEX(Inventory!A:A,MATCH(Scan!A1854,Inventory!E:E,0)),"")</f>
        <v/>
      </c>
    </row>
    <row r="1855" spans="2:13" x14ac:dyDescent="0.3">
      <c r="B1855" t="str">
        <f>IF(IFERROR(VLOOKUP(TRIM(A1855),Inventory!E:E,1,0),0)=0,"X","_")</f>
        <v>_</v>
      </c>
      <c r="C1855" t="str">
        <f>IF(IFERROR(VLOOKUP(TRIM(A1855),'Full Inventory'!F:F,1,0),0)=0,"X","_")</f>
        <v>X</v>
      </c>
      <c r="D1855" t="str">
        <f t="shared" si="112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F1855" t="str">
        <f t="shared" si="113"/>
        <v>_</v>
      </c>
      <c r="K1855" t="str">
        <f t="shared" ca="1" si="114"/>
        <v>_XX_</v>
      </c>
      <c r="L1855" t="str">
        <f t="shared" ca="1" si="115"/>
        <v/>
      </c>
      <c r="M1855" t="str">
        <f>IFERROR(INDEX(Inventory!A:A,MATCH(Scan!A1855,Inventory!E:E,0)),"")</f>
        <v/>
      </c>
    </row>
    <row r="1856" spans="2:13" x14ac:dyDescent="0.3">
      <c r="B1856" t="str">
        <f>IF(IFERROR(VLOOKUP(TRIM(A1856),Inventory!E:E,1,0),0)=0,"X","_")</f>
        <v>_</v>
      </c>
      <c r="C1856" t="str">
        <f>IF(IFERROR(VLOOKUP(TRIM(A1856),'Full Inventory'!F:F,1,0),0)=0,"X","_")</f>
        <v>X</v>
      </c>
      <c r="D1856" t="str">
        <f t="shared" si="112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F1856" t="str">
        <f t="shared" si="113"/>
        <v>_</v>
      </c>
      <c r="K1856" t="str">
        <f t="shared" ca="1" si="114"/>
        <v>_XX_</v>
      </c>
      <c r="L1856" t="str">
        <f t="shared" ca="1" si="115"/>
        <v/>
      </c>
      <c r="M1856" t="str">
        <f>IFERROR(INDEX(Inventory!A:A,MATCH(Scan!A1856,Inventory!E:E,0)),"")</f>
        <v/>
      </c>
    </row>
    <row r="1857" spans="2:13" x14ac:dyDescent="0.3">
      <c r="B1857" t="str">
        <f>IF(IFERROR(VLOOKUP(TRIM(A1857),Inventory!E:E,1,0),0)=0,"X","_")</f>
        <v>_</v>
      </c>
      <c r="C1857" t="str">
        <f>IF(IFERROR(VLOOKUP(TRIM(A1857),'Full Inventory'!F:F,1,0),0)=0,"X","_")</f>
        <v>X</v>
      </c>
      <c r="D1857" t="str">
        <f t="shared" si="112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F1857" t="str">
        <f t="shared" si="113"/>
        <v>_</v>
      </c>
      <c r="K1857" t="str">
        <f t="shared" ca="1" si="114"/>
        <v>_XX_</v>
      </c>
      <c r="L1857" t="str">
        <f t="shared" ca="1" si="115"/>
        <v/>
      </c>
      <c r="M1857" t="str">
        <f>IFERROR(INDEX(Inventory!A:A,MATCH(Scan!A1857,Inventory!E:E,0)),"")</f>
        <v/>
      </c>
    </row>
    <row r="1858" spans="2:13" x14ac:dyDescent="0.3">
      <c r="B1858" t="str">
        <f>IF(IFERROR(VLOOKUP(TRIM(A1858),Inventory!E:E,1,0),0)=0,"X","_")</f>
        <v>_</v>
      </c>
      <c r="C1858" t="str">
        <f>IF(IFERROR(VLOOKUP(TRIM(A1858),'Full Inventory'!F:F,1,0),0)=0,"X","_")</f>
        <v>X</v>
      </c>
      <c r="D1858" t="str">
        <f t="shared" ref="D1858:D1921" si="116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F1858" t="str">
        <f t="shared" si="113"/>
        <v>_</v>
      </c>
      <c r="K1858" t="str">
        <f t="shared" ca="1" si="114"/>
        <v>_XX_</v>
      </c>
      <c r="L1858" t="str">
        <f t="shared" ca="1" si="115"/>
        <v/>
      </c>
      <c r="M1858" t="str">
        <f>IFERROR(INDEX(Inventory!A:A,MATCH(Scan!A1858,Inventory!E:E,0)),"")</f>
        <v/>
      </c>
    </row>
    <row r="1859" spans="2:13" x14ac:dyDescent="0.3">
      <c r="B1859" t="str">
        <f>IF(IFERROR(VLOOKUP(TRIM(A1859),Inventory!E:E,1,0),0)=0,"X","_")</f>
        <v>_</v>
      </c>
      <c r="C1859" t="str">
        <f>IF(IFERROR(VLOOKUP(TRIM(A1859),'Full Inventory'!F:F,1,0),0)=0,"X","_")</f>
        <v>X</v>
      </c>
      <c r="D1859" t="str">
        <f t="shared" si="116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F1859" t="str">
        <f t="shared" ref="F1859:F1922" si="117">IF(IFERROR(SEARCH("ö",A1859),0)&gt;0,"X","_")</f>
        <v>_</v>
      </c>
      <c r="K1859" t="str">
        <f t="shared" ref="K1859:K1922" ca="1" si="118">B1859&amp;C1859&amp;D1859&amp;E1859</f>
        <v>_XX_</v>
      </c>
      <c r="L1859" t="str">
        <f t="shared" ref="L1859:L1922" ca="1" si="11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3">
      <c r="B1860" t="str">
        <f>IF(IFERROR(VLOOKUP(TRIM(A1860),Inventory!E:E,1,0),0)=0,"X","_")</f>
        <v>_</v>
      </c>
      <c r="C1860" t="str">
        <f>IF(IFERROR(VLOOKUP(TRIM(A1860),'Full Inventory'!F:F,1,0),0)=0,"X","_")</f>
        <v>X</v>
      </c>
      <c r="D1860" t="str">
        <f t="shared" si="116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F1860" t="str">
        <f t="shared" si="117"/>
        <v>_</v>
      </c>
      <c r="K1860" t="str">
        <f t="shared" ca="1" si="118"/>
        <v>_XX_</v>
      </c>
      <c r="L1860" t="str">
        <f t="shared" ca="1" si="119"/>
        <v/>
      </c>
      <c r="M1860" t="str">
        <f>IFERROR(INDEX(Inventory!A:A,MATCH(Scan!A1860,Inventory!E:E,0)),"")</f>
        <v/>
      </c>
    </row>
    <row r="1861" spans="2:13" x14ac:dyDescent="0.3">
      <c r="B1861" t="str">
        <f>IF(IFERROR(VLOOKUP(TRIM(A1861),Inventory!E:E,1,0),0)=0,"X","_")</f>
        <v>_</v>
      </c>
      <c r="C1861" t="str">
        <f>IF(IFERROR(VLOOKUP(TRIM(A1861),'Full Inventory'!F:F,1,0),0)=0,"X","_")</f>
        <v>X</v>
      </c>
      <c r="D1861" t="str">
        <f t="shared" si="116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F1861" t="str">
        <f t="shared" si="117"/>
        <v>_</v>
      </c>
      <c r="K1861" t="str">
        <f t="shared" ca="1" si="118"/>
        <v>_XX_</v>
      </c>
      <c r="L1861" t="str">
        <f t="shared" ca="1" si="119"/>
        <v/>
      </c>
      <c r="M1861" t="str">
        <f>IFERROR(INDEX(Inventory!A:A,MATCH(Scan!A1861,Inventory!E:E,0)),"")</f>
        <v/>
      </c>
    </row>
    <row r="1862" spans="2:13" x14ac:dyDescent="0.3">
      <c r="B1862" t="str">
        <f>IF(IFERROR(VLOOKUP(TRIM(A1862),Inventory!E:E,1,0),0)=0,"X","_")</f>
        <v>_</v>
      </c>
      <c r="C1862" t="str">
        <f>IF(IFERROR(VLOOKUP(TRIM(A1862),'Full Inventory'!F:F,1,0),0)=0,"X","_")</f>
        <v>X</v>
      </c>
      <c r="D1862" t="str">
        <f t="shared" si="116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F1862" t="str">
        <f t="shared" si="117"/>
        <v>_</v>
      </c>
      <c r="K1862" t="str">
        <f t="shared" ca="1" si="118"/>
        <v>_XX_</v>
      </c>
      <c r="L1862" t="str">
        <f t="shared" ca="1" si="119"/>
        <v/>
      </c>
      <c r="M1862" t="str">
        <f>IFERROR(INDEX(Inventory!A:A,MATCH(Scan!A1862,Inventory!E:E,0)),"")</f>
        <v/>
      </c>
    </row>
    <row r="1863" spans="2:13" x14ac:dyDescent="0.3">
      <c r="B1863" t="str">
        <f>IF(IFERROR(VLOOKUP(TRIM(A1863),Inventory!E:E,1,0),0)=0,"X","_")</f>
        <v>_</v>
      </c>
      <c r="C1863" t="str">
        <f>IF(IFERROR(VLOOKUP(TRIM(A1863),'Full Inventory'!F:F,1,0),0)=0,"X","_")</f>
        <v>X</v>
      </c>
      <c r="D1863" t="str">
        <f t="shared" si="116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F1863" t="str">
        <f t="shared" si="117"/>
        <v>_</v>
      </c>
      <c r="K1863" t="str">
        <f t="shared" ca="1" si="118"/>
        <v>_XX_</v>
      </c>
      <c r="L1863" t="str">
        <f t="shared" ca="1" si="119"/>
        <v/>
      </c>
      <c r="M1863" t="str">
        <f>IFERROR(INDEX(Inventory!A:A,MATCH(Scan!A1863,Inventory!E:E,0)),"")</f>
        <v/>
      </c>
    </row>
    <row r="1864" spans="2:13" x14ac:dyDescent="0.3">
      <c r="B1864" t="str">
        <f>IF(IFERROR(VLOOKUP(TRIM(A1864),Inventory!E:E,1,0),0)=0,"X","_")</f>
        <v>_</v>
      </c>
      <c r="C1864" t="str">
        <f>IF(IFERROR(VLOOKUP(TRIM(A1864),'Full Inventory'!F:F,1,0),0)=0,"X","_")</f>
        <v>X</v>
      </c>
      <c r="D1864" t="str">
        <f t="shared" si="116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F1864" t="str">
        <f t="shared" si="117"/>
        <v>_</v>
      </c>
      <c r="K1864" t="str">
        <f t="shared" ca="1" si="118"/>
        <v>_XX_</v>
      </c>
      <c r="L1864" t="str">
        <f t="shared" ca="1" si="119"/>
        <v/>
      </c>
      <c r="M1864" t="str">
        <f>IFERROR(INDEX(Inventory!A:A,MATCH(Scan!A1864,Inventory!E:E,0)),"")</f>
        <v/>
      </c>
    </row>
    <row r="1865" spans="2:13" x14ac:dyDescent="0.3">
      <c r="B1865" t="str">
        <f>IF(IFERROR(VLOOKUP(TRIM(A1865),Inventory!E:E,1,0),0)=0,"X","_")</f>
        <v>_</v>
      </c>
      <c r="C1865" t="str">
        <f>IF(IFERROR(VLOOKUP(TRIM(A1865),'Full Inventory'!F:F,1,0),0)=0,"X","_")</f>
        <v>X</v>
      </c>
      <c r="D1865" t="str">
        <f t="shared" si="116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F1865" t="str">
        <f t="shared" si="117"/>
        <v>_</v>
      </c>
      <c r="K1865" t="str">
        <f t="shared" ca="1" si="118"/>
        <v>_XX_</v>
      </c>
      <c r="L1865" t="str">
        <f t="shared" ca="1" si="119"/>
        <v/>
      </c>
      <c r="M1865" t="str">
        <f>IFERROR(INDEX(Inventory!A:A,MATCH(Scan!A1865,Inventory!E:E,0)),"")</f>
        <v/>
      </c>
    </row>
    <row r="1866" spans="2:13" x14ac:dyDescent="0.3">
      <c r="B1866" t="str">
        <f>IF(IFERROR(VLOOKUP(TRIM(A1866),Inventory!E:E,1,0),0)=0,"X","_")</f>
        <v>_</v>
      </c>
      <c r="C1866" t="str">
        <f>IF(IFERROR(VLOOKUP(TRIM(A1866),'Full Inventory'!F:F,1,0),0)=0,"X","_")</f>
        <v>X</v>
      </c>
      <c r="D1866" t="str">
        <f t="shared" si="116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F1866" t="str">
        <f t="shared" si="117"/>
        <v>_</v>
      </c>
      <c r="K1866" t="str">
        <f t="shared" ca="1" si="118"/>
        <v>_XX_</v>
      </c>
      <c r="L1866" t="str">
        <f t="shared" ca="1" si="119"/>
        <v/>
      </c>
      <c r="M1866" t="str">
        <f>IFERROR(INDEX(Inventory!A:A,MATCH(Scan!A1866,Inventory!E:E,0)),"")</f>
        <v/>
      </c>
    </row>
    <row r="1867" spans="2:13" x14ac:dyDescent="0.3">
      <c r="B1867" t="str">
        <f>IF(IFERROR(VLOOKUP(TRIM(A1867),Inventory!E:E,1,0),0)=0,"X","_")</f>
        <v>_</v>
      </c>
      <c r="C1867" t="str">
        <f>IF(IFERROR(VLOOKUP(TRIM(A1867),'Full Inventory'!F:F,1,0),0)=0,"X","_")</f>
        <v>X</v>
      </c>
      <c r="D1867" t="str">
        <f t="shared" si="116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F1867" t="str">
        <f t="shared" si="117"/>
        <v>_</v>
      </c>
      <c r="K1867" t="str">
        <f t="shared" ca="1" si="118"/>
        <v>_XX_</v>
      </c>
      <c r="L1867" t="str">
        <f t="shared" ca="1" si="119"/>
        <v/>
      </c>
      <c r="M1867" t="str">
        <f>IFERROR(INDEX(Inventory!A:A,MATCH(Scan!A1867,Inventory!E:E,0)),"")</f>
        <v/>
      </c>
    </row>
    <row r="1868" spans="2:13" x14ac:dyDescent="0.3">
      <c r="B1868" t="str">
        <f>IF(IFERROR(VLOOKUP(TRIM(A1868),Inventory!E:E,1,0),0)=0,"X","_")</f>
        <v>_</v>
      </c>
      <c r="C1868" t="str">
        <f>IF(IFERROR(VLOOKUP(TRIM(A1868),'Full Inventory'!F:F,1,0),0)=0,"X","_")</f>
        <v>X</v>
      </c>
      <c r="D1868" t="str">
        <f t="shared" si="116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F1868" t="str">
        <f t="shared" si="117"/>
        <v>_</v>
      </c>
      <c r="K1868" t="str">
        <f t="shared" ca="1" si="118"/>
        <v>_XX_</v>
      </c>
      <c r="L1868" t="str">
        <f t="shared" ca="1" si="119"/>
        <v/>
      </c>
      <c r="M1868" t="str">
        <f>IFERROR(INDEX(Inventory!A:A,MATCH(Scan!A1868,Inventory!E:E,0)),"")</f>
        <v/>
      </c>
    </row>
    <row r="1869" spans="2:13" x14ac:dyDescent="0.3">
      <c r="B1869" t="str">
        <f>IF(IFERROR(VLOOKUP(TRIM(A1869),Inventory!E:E,1,0),0)=0,"X","_")</f>
        <v>_</v>
      </c>
      <c r="C1869" t="str">
        <f>IF(IFERROR(VLOOKUP(TRIM(A1869),'Full Inventory'!F:F,1,0),0)=0,"X","_")</f>
        <v>X</v>
      </c>
      <c r="D1869" t="str">
        <f t="shared" si="116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F1869" t="str">
        <f t="shared" si="117"/>
        <v>_</v>
      </c>
      <c r="K1869" t="str">
        <f t="shared" ca="1" si="118"/>
        <v>_XX_</v>
      </c>
      <c r="L1869" t="str">
        <f t="shared" ca="1" si="119"/>
        <v/>
      </c>
      <c r="M1869" t="str">
        <f>IFERROR(INDEX(Inventory!A:A,MATCH(Scan!A1869,Inventory!E:E,0)),"")</f>
        <v/>
      </c>
    </row>
    <row r="1870" spans="2:13" x14ac:dyDescent="0.3">
      <c r="B1870" t="str">
        <f>IF(IFERROR(VLOOKUP(TRIM(A1870),Inventory!E:E,1,0),0)=0,"X","_")</f>
        <v>_</v>
      </c>
      <c r="C1870" t="str">
        <f>IF(IFERROR(VLOOKUP(TRIM(A1870),'Full Inventory'!F:F,1,0),0)=0,"X","_")</f>
        <v>X</v>
      </c>
      <c r="D1870" t="str">
        <f t="shared" si="116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F1870" t="str">
        <f t="shared" si="117"/>
        <v>_</v>
      </c>
      <c r="K1870" t="str">
        <f t="shared" ca="1" si="118"/>
        <v>_XX_</v>
      </c>
      <c r="L1870" t="str">
        <f t="shared" ca="1" si="119"/>
        <v/>
      </c>
      <c r="M1870" t="str">
        <f>IFERROR(INDEX(Inventory!A:A,MATCH(Scan!A1870,Inventory!E:E,0)),"")</f>
        <v/>
      </c>
    </row>
    <row r="1871" spans="2:13" x14ac:dyDescent="0.3">
      <c r="B1871" t="str">
        <f>IF(IFERROR(VLOOKUP(TRIM(A1871),Inventory!E:E,1,0),0)=0,"X","_")</f>
        <v>_</v>
      </c>
      <c r="C1871" t="str">
        <f>IF(IFERROR(VLOOKUP(TRIM(A1871),'Full Inventory'!F:F,1,0),0)=0,"X","_")</f>
        <v>X</v>
      </c>
      <c r="D1871" t="str">
        <f t="shared" si="116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F1871" t="str">
        <f t="shared" si="117"/>
        <v>_</v>
      </c>
      <c r="K1871" t="str">
        <f t="shared" ca="1" si="118"/>
        <v>_XX_</v>
      </c>
      <c r="L1871" t="str">
        <f t="shared" ca="1" si="119"/>
        <v/>
      </c>
      <c r="M1871" t="str">
        <f>IFERROR(INDEX(Inventory!A:A,MATCH(Scan!A1871,Inventory!E:E,0)),"")</f>
        <v/>
      </c>
    </row>
    <row r="1872" spans="2:13" x14ac:dyDescent="0.3">
      <c r="B1872" t="str">
        <f>IF(IFERROR(VLOOKUP(TRIM(A1872),Inventory!E:E,1,0),0)=0,"X","_")</f>
        <v>_</v>
      </c>
      <c r="C1872" t="str">
        <f>IF(IFERROR(VLOOKUP(TRIM(A1872),'Full Inventory'!F:F,1,0),0)=0,"X","_")</f>
        <v>X</v>
      </c>
      <c r="D1872" t="str">
        <f t="shared" si="116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F1872" t="str">
        <f t="shared" si="117"/>
        <v>_</v>
      </c>
      <c r="K1872" t="str">
        <f t="shared" ca="1" si="118"/>
        <v>_XX_</v>
      </c>
      <c r="L1872" t="str">
        <f t="shared" ca="1" si="119"/>
        <v/>
      </c>
      <c r="M1872" t="str">
        <f>IFERROR(INDEX(Inventory!A:A,MATCH(Scan!A1872,Inventory!E:E,0)),"")</f>
        <v/>
      </c>
    </row>
    <row r="1873" spans="2:13" x14ac:dyDescent="0.3">
      <c r="B1873" t="str">
        <f>IF(IFERROR(VLOOKUP(TRIM(A1873),Inventory!E:E,1,0),0)=0,"X","_")</f>
        <v>_</v>
      </c>
      <c r="C1873" t="str">
        <f>IF(IFERROR(VLOOKUP(TRIM(A1873),'Full Inventory'!F:F,1,0),0)=0,"X","_")</f>
        <v>X</v>
      </c>
      <c r="D1873" t="str">
        <f t="shared" si="116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F1873" t="str">
        <f t="shared" si="117"/>
        <v>_</v>
      </c>
      <c r="K1873" t="str">
        <f t="shared" ca="1" si="118"/>
        <v>_XX_</v>
      </c>
      <c r="L1873" t="str">
        <f t="shared" ca="1" si="119"/>
        <v/>
      </c>
      <c r="M1873" t="str">
        <f>IFERROR(INDEX(Inventory!A:A,MATCH(Scan!A1873,Inventory!E:E,0)),"")</f>
        <v/>
      </c>
    </row>
    <row r="1874" spans="2:13" x14ac:dyDescent="0.3">
      <c r="B1874" t="str">
        <f>IF(IFERROR(VLOOKUP(TRIM(A1874),Inventory!E:E,1,0),0)=0,"X","_")</f>
        <v>_</v>
      </c>
      <c r="C1874" t="str">
        <f>IF(IFERROR(VLOOKUP(TRIM(A1874),'Full Inventory'!F:F,1,0),0)=0,"X","_")</f>
        <v>X</v>
      </c>
      <c r="D1874" t="str">
        <f t="shared" si="116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F1874" t="str">
        <f t="shared" si="117"/>
        <v>_</v>
      </c>
      <c r="K1874" t="str">
        <f t="shared" ca="1" si="118"/>
        <v>_XX_</v>
      </c>
      <c r="L1874" t="str">
        <f t="shared" ca="1" si="119"/>
        <v/>
      </c>
      <c r="M1874" t="str">
        <f>IFERROR(INDEX(Inventory!A:A,MATCH(Scan!A1874,Inventory!E:E,0)),"")</f>
        <v/>
      </c>
    </row>
    <row r="1875" spans="2:13" x14ac:dyDescent="0.3">
      <c r="B1875" t="str">
        <f>IF(IFERROR(VLOOKUP(TRIM(A1875),Inventory!E:E,1,0),0)=0,"X","_")</f>
        <v>_</v>
      </c>
      <c r="C1875" t="str">
        <f>IF(IFERROR(VLOOKUP(TRIM(A1875),'Full Inventory'!F:F,1,0),0)=0,"X","_")</f>
        <v>X</v>
      </c>
      <c r="D1875" t="str">
        <f t="shared" si="116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F1875" t="str">
        <f t="shared" si="117"/>
        <v>_</v>
      </c>
      <c r="K1875" t="str">
        <f t="shared" ca="1" si="118"/>
        <v>_XX_</v>
      </c>
      <c r="L1875" t="str">
        <f t="shared" ca="1" si="119"/>
        <v/>
      </c>
      <c r="M1875" t="str">
        <f>IFERROR(INDEX(Inventory!A:A,MATCH(Scan!A1875,Inventory!E:E,0)),"")</f>
        <v/>
      </c>
    </row>
    <row r="1876" spans="2:13" x14ac:dyDescent="0.3">
      <c r="B1876" t="str">
        <f>IF(IFERROR(VLOOKUP(TRIM(A1876),Inventory!E:E,1,0),0)=0,"X","_")</f>
        <v>_</v>
      </c>
      <c r="C1876" t="str">
        <f>IF(IFERROR(VLOOKUP(TRIM(A1876),'Full Inventory'!F:F,1,0),0)=0,"X","_")</f>
        <v>X</v>
      </c>
      <c r="D1876" t="str">
        <f t="shared" si="116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F1876" t="str">
        <f t="shared" si="117"/>
        <v>_</v>
      </c>
      <c r="K1876" t="str">
        <f t="shared" ca="1" si="118"/>
        <v>_XX_</v>
      </c>
      <c r="L1876" t="str">
        <f t="shared" ca="1" si="119"/>
        <v/>
      </c>
      <c r="M1876" t="str">
        <f>IFERROR(INDEX(Inventory!A:A,MATCH(Scan!A1876,Inventory!E:E,0)),"")</f>
        <v/>
      </c>
    </row>
    <row r="1877" spans="2:13" x14ac:dyDescent="0.3">
      <c r="B1877" t="str">
        <f>IF(IFERROR(VLOOKUP(TRIM(A1877),Inventory!E:E,1,0),0)=0,"X","_")</f>
        <v>_</v>
      </c>
      <c r="C1877" t="str">
        <f>IF(IFERROR(VLOOKUP(TRIM(A1877),'Full Inventory'!F:F,1,0),0)=0,"X","_")</f>
        <v>X</v>
      </c>
      <c r="D1877" t="str">
        <f t="shared" si="116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F1877" t="str">
        <f t="shared" si="117"/>
        <v>_</v>
      </c>
      <c r="K1877" t="str">
        <f t="shared" ca="1" si="118"/>
        <v>_XX_</v>
      </c>
      <c r="L1877" t="str">
        <f t="shared" ca="1" si="119"/>
        <v/>
      </c>
      <c r="M1877" t="str">
        <f>IFERROR(INDEX(Inventory!A:A,MATCH(Scan!A1877,Inventory!E:E,0)),"")</f>
        <v/>
      </c>
    </row>
    <row r="1878" spans="2:13" x14ac:dyDescent="0.3">
      <c r="B1878" t="str">
        <f>IF(IFERROR(VLOOKUP(TRIM(A1878),Inventory!E:E,1,0),0)=0,"X","_")</f>
        <v>_</v>
      </c>
      <c r="C1878" t="str">
        <f>IF(IFERROR(VLOOKUP(TRIM(A1878),'Full Inventory'!F:F,1,0),0)=0,"X","_")</f>
        <v>X</v>
      </c>
      <c r="D1878" t="str">
        <f t="shared" si="116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F1878" t="str">
        <f t="shared" si="117"/>
        <v>_</v>
      </c>
      <c r="K1878" t="str">
        <f t="shared" ca="1" si="118"/>
        <v>_XX_</v>
      </c>
      <c r="L1878" t="str">
        <f t="shared" ca="1" si="119"/>
        <v/>
      </c>
      <c r="M1878" t="str">
        <f>IFERROR(INDEX(Inventory!A:A,MATCH(Scan!A1878,Inventory!E:E,0)),"")</f>
        <v/>
      </c>
    </row>
    <row r="1879" spans="2:13" x14ac:dyDescent="0.3">
      <c r="B1879" t="str">
        <f>IF(IFERROR(VLOOKUP(TRIM(A1879),Inventory!E:E,1,0),0)=0,"X","_")</f>
        <v>_</v>
      </c>
      <c r="C1879" t="str">
        <f>IF(IFERROR(VLOOKUP(TRIM(A1879),'Full Inventory'!F:F,1,0),0)=0,"X","_")</f>
        <v>X</v>
      </c>
      <c r="D1879" t="str">
        <f t="shared" si="116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F1879" t="str">
        <f t="shared" si="117"/>
        <v>_</v>
      </c>
      <c r="K1879" t="str">
        <f t="shared" ca="1" si="118"/>
        <v>_XX_</v>
      </c>
      <c r="L1879" t="str">
        <f t="shared" ca="1" si="119"/>
        <v/>
      </c>
      <c r="M1879" t="str">
        <f>IFERROR(INDEX(Inventory!A:A,MATCH(Scan!A1879,Inventory!E:E,0)),"")</f>
        <v/>
      </c>
    </row>
    <row r="1880" spans="2:13" x14ac:dyDescent="0.3">
      <c r="B1880" t="str">
        <f>IF(IFERROR(VLOOKUP(TRIM(A1880),Inventory!E:E,1,0),0)=0,"X","_")</f>
        <v>_</v>
      </c>
      <c r="C1880" t="str">
        <f>IF(IFERROR(VLOOKUP(TRIM(A1880),'Full Inventory'!F:F,1,0),0)=0,"X","_")</f>
        <v>X</v>
      </c>
      <c r="D1880" t="str">
        <f t="shared" si="116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F1880" t="str">
        <f t="shared" si="117"/>
        <v>_</v>
      </c>
      <c r="K1880" t="str">
        <f t="shared" ca="1" si="118"/>
        <v>_XX_</v>
      </c>
      <c r="L1880" t="str">
        <f t="shared" ca="1" si="119"/>
        <v/>
      </c>
      <c r="M1880" t="str">
        <f>IFERROR(INDEX(Inventory!A:A,MATCH(Scan!A1880,Inventory!E:E,0)),"")</f>
        <v/>
      </c>
    </row>
    <row r="1881" spans="2:13" x14ac:dyDescent="0.3">
      <c r="B1881" t="str">
        <f>IF(IFERROR(VLOOKUP(TRIM(A1881),Inventory!E:E,1,0),0)=0,"X","_")</f>
        <v>_</v>
      </c>
      <c r="C1881" t="str">
        <f>IF(IFERROR(VLOOKUP(TRIM(A1881),'Full Inventory'!F:F,1,0),0)=0,"X","_")</f>
        <v>X</v>
      </c>
      <c r="D1881" t="str">
        <f t="shared" si="116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F1881" t="str">
        <f t="shared" si="117"/>
        <v>_</v>
      </c>
      <c r="K1881" t="str">
        <f t="shared" ca="1" si="118"/>
        <v>_XX_</v>
      </c>
      <c r="L1881" t="str">
        <f t="shared" ca="1" si="119"/>
        <v/>
      </c>
      <c r="M1881" t="str">
        <f>IFERROR(INDEX(Inventory!A:A,MATCH(Scan!A1881,Inventory!E:E,0)),"")</f>
        <v/>
      </c>
    </row>
    <row r="1882" spans="2:13" x14ac:dyDescent="0.3">
      <c r="B1882" t="str">
        <f>IF(IFERROR(VLOOKUP(TRIM(A1882),Inventory!E:E,1,0),0)=0,"X","_")</f>
        <v>_</v>
      </c>
      <c r="C1882" t="str">
        <f>IF(IFERROR(VLOOKUP(TRIM(A1882),'Full Inventory'!F:F,1,0),0)=0,"X","_")</f>
        <v>X</v>
      </c>
      <c r="D1882" t="str">
        <f t="shared" si="116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F1882" t="str">
        <f t="shared" si="117"/>
        <v>_</v>
      </c>
      <c r="K1882" t="str">
        <f t="shared" ca="1" si="118"/>
        <v>_XX_</v>
      </c>
      <c r="L1882" t="str">
        <f t="shared" ca="1" si="119"/>
        <v/>
      </c>
      <c r="M1882" t="str">
        <f>IFERROR(INDEX(Inventory!A:A,MATCH(Scan!A1882,Inventory!E:E,0)),"")</f>
        <v/>
      </c>
    </row>
    <row r="1883" spans="2:13" x14ac:dyDescent="0.3">
      <c r="B1883" t="str">
        <f>IF(IFERROR(VLOOKUP(TRIM(A1883),Inventory!E:E,1,0),0)=0,"X","_")</f>
        <v>_</v>
      </c>
      <c r="C1883" t="str">
        <f>IF(IFERROR(VLOOKUP(TRIM(A1883),'Full Inventory'!F:F,1,0),0)=0,"X","_")</f>
        <v>X</v>
      </c>
      <c r="D1883" t="str">
        <f t="shared" si="116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F1883" t="str">
        <f t="shared" si="117"/>
        <v>_</v>
      </c>
      <c r="K1883" t="str">
        <f t="shared" ca="1" si="118"/>
        <v>_XX_</v>
      </c>
      <c r="L1883" t="str">
        <f t="shared" ca="1" si="119"/>
        <v/>
      </c>
      <c r="M1883" t="str">
        <f>IFERROR(INDEX(Inventory!A:A,MATCH(Scan!A1883,Inventory!E:E,0)),"")</f>
        <v/>
      </c>
    </row>
    <row r="1884" spans="2:13" x14ac:dyDescent="0.3">
      <c r="B1884" t="str">
        <f>IF(IFERROR(VLOOKUP(TRIM(A1884),Inventory!E:E,1,0),0)=0,"X","_")</f>
        <v>_</v>
      </c>
      <c r="C1884" t="str">
        <f>IF(IFERROR(VLOOKUP(TRIM(A1884),'Full Inventory'!F:F,1,0),0)=0,"X","_")</f>
        <v>X</v>
      </c>
      <c r="D1884" t="str">
        <f t="shared" si="116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F1884" t="str">
        <f t="shared" si="117"/>
        <v>_</v>
      </c>
      <c r="K1884" t="str">
        <f t="shared" ca="1" si="118"/>
        <v>_XX_</v>
      </c>
      <c r="L1884" t="str">
        <f t="shared" ca="1" si="119"/>
        <v/>
      </c>
      <c r="M1884" t="str">
        <f>IFERROR(INDEX(Inventory!A:A,MATCH(Scan!A1884,Inventory!E:E,0)),"")</f>
        <v/>
      </c>
    </row>
    <row r="1885" spans="2:13" x14ac:dyDescent="0.3">
      <c r="B1885" t="str">
        <f>IF(IFERROR(VLOOKUP(TRIM(A1885),Inventory!E:E,1,0),0)=0,"X","_")</f>
        <v>_</v>
      </c>
      <c r="C1885" t="str">
        <f>IF(IFERROR(VLOOKUP(TRIM(A1885),'Full Inventory'!F:F,1,0),0)=0,"X","_")</f>
        <v>X</v>
      </c>
      <c r="D1885" t="str">
        <f t="shared" si="116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F1885" t="str">
        <f t="shared" si="117"/>
        <v>_</v>
      </c>
      <c r="K1885" t="str">
        <f t="shared" ca="1" si="118"/>
        <v>_XX_</v>
      </c>
      <c r="L1885" t="str">
        <f t="shared" ca="1" si="119"/>
        <v/>
      </c>
      <c r="M1885" t="str">
        <f>IFERROR(INDEX(Inventory!A:A,MATCH(Scan!A1885,Inventory!E:E,0)),"")</f>
        <v/>
      </c>
    </row>
    <row r="1886" spans="2:13" x14ac:dyDescent="0.3">
      <c r="B1886" t="str">
        <f>IF(IFERROR(VLOOKUP(TRIM(A1886),Inventory!E:E,1,0),0)=0,"X","_")</f>
        <v>_</v>
      </c>
      <c r="C1886" t="str">
        <f>IF(IFERROR(VLOOKUP(TRIM(A1886),'Full Inventory'!F:F,1,0),0)=0,"X","_")</f>
        <v>X</v>
      </c>
      <c r="D1886" t="str">
        <f t="shared" si="116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F1886" t="str">
        <f t="shared" si="117"/>
        <v>_</v>
      </c>
      <c r="K1886" t="str">
        <f t="shared" ca="1" si="118"/>
        <v>_XX_</v>
      </c>
      <c r="L1886" t="str">
        <f t="shared" ca="1" si="119"/>
        <v/>
      </c>
      <c r="M1886" t="str">
        <f>IFERROR(INDEX(Inventory!A:A,MATCH(Scan!A1886,Inventory!E:E,0)),"")</f>
        <v/>
      </c>
    </row>
    <row r="1887" spans="2:13" x14ac:dyDescent="0.3">
      <c r="B1887" t="str">
        <f>IF(IFERROR(VLOOKUP(TRIM(A1887),Inventory!E:E,1,0),0)=0,"X","_")</f>
        <v>_</v>
      </c>
      <c r="C1887" t="str">
        <f>IF(IFERROR(VLOOKUP(TRIM(A1887),'Full Inventory'!F:F,1,0),0)=0,"X","_")</f>
        <v>X</v>
      </c>
      <c r="D1887" t="str">
        <f t="shared" si="116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F1887" t="str">
        <f t="shared" si="117"/>
        <v>_</v>
      </c>
      <c r="K1887" t="str">
        <f t="shared" ca="1" si="118"/>
        <v>_XX_</v>
      </c>
      <c r="L1887" t="str">
        <f t="shared" ca="1" si="119"/>
        <v/>
      </c>
      <c r="M1887" t="str">
        <f>IFERROR(INDEX(Inventory!A:A,MATCH(Scan!A1887,Inventory!E:E,0)),"")</f>
        <v/>
      </c>
    </row>
    <row r="1888" spans="2:13" x14ac:dyDescent="0.3">
      <c r="B1888" t="str">
        <f>IF(IFERROR(VLOOKUP(TRIM(A1888),Inventory!E:E,1,0),0)=0,"X","_")</f>
        <v>_</v>
      </c>
      <c r="C1888" t="str">
        <f>IF(IFERROR(VLOOKUP(TRIM(A1888),'Full Inventory'!F:F,1,0),0)=0,"X","_")</f>
        <v>X</v>
      </c>
      <c r="D1888" t="str">
        <f t="shared" si="116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F1888" t="str">
        <f t="shared" si="117"/>
        <v>_</v>
      </c>
      <c r="K1888" t="str">
        <f t="shared" ca="1" si="118"/>
        <v>_XX_</v>
      </c>
      <c r="L1888" t="str">
        <f t="shared" ca="1" si="119"/>
        <v/>
      </c>
      <c r="M1888" t="str">
        <f>IFERROR(INDEX(Inventory!A:A,MATCH(Scan!A1888,Inventory!E:E,0)),"")</f>
        <v/>
      </c>
    </row>
    <row r="1889" spans="2:13" x14ac:dyDescent="0.3">
      <c r="B1889" t="str">
        <f>IF(IFERROR(VLOOKUP(TRIM(A1889),Inventory!E:E,1,0),0)=0,"X","_")</f>
        <v>_</v>
      </c>
      <c r="C1889" t="str">
        <f>IF(IFERROR(VLOOKUP(TRIM(A1889),'Full Inventory'!F:F,1,0),0)=0,"X","_")</f>
        <v>X</v>
      </c>
      <c r="D1889" t="str">
        <f t="shared" si="116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F1889" t="str">
        <f t="shared" si="117"/>
        <v>_</v>
      </c>
      <c r="K1889" t="str">
        <f t="shared" ca="1" si="118"/>
        <v>_XX_</v>
      </c>
      <c r="L1889" t="str">
        <f t="shared" ca="1" si="119"/>
        <v/>
      </c>
      <c r="M1889" t="str">
        <f>IFERROR(INDEX(Inventory!A:A,MATCH(Scan!A1889,Inventory!E:E,0)),"")</f>
        <v/>
      </c>
    </row>
    <row r="1890" spans="2:13" x14ac:dyDescent="0.3">
      <c r="B1890" t="str">
        <f>IF(IFERROR(VLOOKUP(TRIM(A1890),Inventory!E:E,1,0),0)=0,"X","_")</f>
        <v>_</v>
      </c>
      <c r="C1890" t="str">
        <f>IF(IFERROR(VLOOKUP(TRIM(A1890),'Full Inventory'!F:F,1,0),0)=0,"X","_")</f>
        <v>X</v>
      </c>
      <c r="D1890" t="str">
        <f t="shared" si="116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F1890" t="str">
        <f t="shared" si="117"/>
        <v>_</v>
      </c>
      <c r="K1890" t="str">
        <f t="shared" ca="1" si="118"/>
        <v>_XX_</v>
      </c>
      <c r="L1890" t="str">
        <f t="shared" ca="1" si="119"/>
        <v/>
      </c>
      <c r="M1890" t="str">
        <f>IFERROR(INDEX(Inventory!A:A,MATCH(Scan!A1890,Inventory!E:E,0)),"")</f>
        <v/>
      </c>
    </row>
    <row r="1891" spans="2:13" x14ac:dyDescent="0.3">
      <c r="B1891" t="str">
        <f>IF(IFERROR(VLOOKUP(TRIM(A1891),Inventory!E:E,1,0),0)=0,"X","_")</f>
        <v>_</v>
      </c>
      <c r="C1891" t="str">
        <f>IF(IFERROR(VLOOKUP(TRIM(A1891),'Full Inventory'!F:F,1,0),0)=0,"X","_")</f>
        <v>X</v>
      </c>
      <c r="D1891" t="str">
        <f t="shared" si="116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F1891" t="str">
        <f t="shared" si="117"/>
        <v>_</v>
      </c>
      <c r="K1891" t="str">
        <f t="shared" ca="1" si="118"/>
        <v>_XX_</v>
      </c>
      <c r="L1891" t="str">
        <f t="shared" ca="1" si="119"/>
        <v/>
      </c>
      <c r="M1891" t="str">
        <f>IFERROR(INDEX(Inventory!A:A,MATCH(Scan!A1891,Inventory!E:E,0)),"")</f>
        <v/>
      </c>
    </row>
    <row r="1892" spans="2:13" x14ac:dyDescent="0.3">
      <c r="B1892" t="str">
        <f>IF(IFERROR(VLOOKUP(TRIM(A1892),Inventory!E:E,1,0),0)=0,"X","_")</f>
        <v>_</v>
      </c>
      <c r="C1892" t="str">
        <f>IF(IFERROR(VLOOKUP(TRIM(A1892),'Full Inventory'!F:F,1,0),0)=0,"X","_")</f>
        <v>X</v>
      </c>
      <c r="D1892" t="str">
        <f t="shared" si="116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F1892" t="str">
        <f t="shared" si="117"/>
        <v>_</v>
      </c>
      <c r="K1892" t="str">
        <f t="shared" ca="1" si="118"/>
        <v>_XX_</v>
      </c>
      <c r="L1892" t="str">
        <f t="shared" ca="1" si="119"/>
        <v/>
      </c>
      <c r="M1892" t="str">
        <f>IFERROR(INDEX(Inventory!A:A,MATCH(Scan!A1892,Inventory!E:E,0)),"")</f>
        <v/>
      </c>
    </row>
    <row r="1893" spans="2:13" x14ac:dyDescent="0.3">
      <c r="B1893" t="str">
        <f>IF(IFERROR(VLOOKUP(TRIM(A1893),Inventory!E:E,1,0),0)=0,"X","_")</f>
        <v>_</v>
      </c>
      <c r="C1893" t="str">
        <f>IF(IFERROR(VLOOKUP(TRIM(A1893),'Full Inventory'!F:F,1,0),0)=0,"X","_")</f>
        <v>X</v>
      </c>
      <c r="D1893" t="str">
        <f t="shared" si="116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F1893" t="str">
        <f t="shared" si="117"/>
        <v>_</v>
      </c>
      <c r="K1893" t="str">
        <f t="shared" ca="1" si="118"/>
        <v>_XX_</v>
      </c>
      <c r="L1893" t="str">
        <f t="shared" ca="1" si="119"/>
        <v/>
      </c>
      <c r="M1893" t="str">
        <f>IFERROR(INDEX(Inventory!A:A,MATCH(Scan!A1893,Inventory!E:E,0)),"")</f>
        <v/>
      </c>
    </row>
    <row r="1894" spans="2:13" x14ac:dyDescent="0.3">
      <c r="B1894" t="str">
        <f>IF(IFERROR(VLOOKUP(TRIM(A1894),Inventory!E:E,1,0),0)=0,"X","_")</f>
        <v>_</v>
      </c>
      <c r="C1894" t="str">
        <f>IF(IFERROR(VLOOKUP(TRIM(A1894),'Full Inventory'!F:F,1,0),0)=0,"X","_")</f>
        <v>X</v>
      </c>
      <c r="D1894" t="str">
        <f t="shared" si="116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F1894" t="str">
        <f t="shared" si="117"/>
        <v>_</v>
      </c>
      <c r="K1894" t="str">
        <f t="shared" ca="1" si="118"/>
        <v>_XX_</v>
      </c>
      <c r="L1894" t="str">
        <f t="shared" ca="1" si="119"/>
        <v/>
      </c>
      <c r="M1894" t="str">
        <f>IFERROR(INDEX(Inventory!A:A,MATCH(Scan!A1894,Inventory!E:E,0)),"")</f>
        <v/>
      </c>
    </row>
    <row r="1895" spans="2:13" x14ac:dyDescent="0.3">
      <c r="B1895" t="str">
        <f>IF(IFERROR(VLOOKUP(TRIM(A1895),Inventory!E:E,1,0),0)=0,"X","_")</f>
        <v>_</v>
      </c>
      <c r="C1895" t="str">
        <f>IF(IFERROR(VLOOKUP(TRIM(A1895),'Full Inventory'!F:F,1,0),0)=0,"X","_")</f>
        <v>X</v>
      </c>
      <c r="D1895" t="str">
        <f t="shared" si="116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F1895" t="str">
        <f t="shared" si="117"/>
        <v>_</v>
      </c>
      <c r="K1895" t="str">
        <f t="shared" ca="1" si="118"/>
        <v>_XX_</v>
      </c>
      <c r="L1895" t="str">
        <f t="shared" ca="1" si="119"/>
        <v/>
      </c>
      <c r="M1895" t="str">
        <f>IFERROR(INDEX(Inventory!A:A,MATCH(Scan!A1895,Inventory!E:E,0)),"")</f>
        <v/>
      </c>
    </row>
    <row r="1896" spans="2:13" x14ac:dyDescent="0.3">
      <c r="B1896" t="str">
        <f>IF(IFERROR(VLOOKUP(TRIM(A1896),Inventory!E:E,1,0),0)=0,"X","_")</f>
        <v>_</v>
      </c>
      <c r="C1896" t="str">
        <f>IF(IFERROR(VLOOKUP(TRIM(A1896),'Full Inventory'!F:F,1,0),0)=0,"X","_")</f>
        <v>X</v>
      </c>
      <c r="D1896" t="str">
        <f t="shared" si="116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F1896" t="str">
        <f t="shared" si="117"/>
        <v>_</v>
      </c>
      <c r="K1896" t="str">
        <f t="shared" ca="1" si="118"/>
        <v>_XX_</v>
      </c>
      <c r="L1896" t="str">
        <f t="shared" ca="1" si="119"/>
        <v/>
      </c>
      <c r="M1896" t="str">
        <f>IFERROR(INDEX(Inventory!A:A,MATCH(Scan!A1896,Inventory!E:E,0)),"")</f>
        <v/>
      </c>
    </row>
    <row r="1897" spans="2:13" x14ac:dyDescent="0.3">
      <c r="B1897" t="str">
        <f>IF(IFERROR(VLOOKUP(TRIM(A1897),Inventory!E:E,1,0),0)=0,"X","_")</f>
        <v>_</v>
      </c>
      <c r="C1897" t="str">
        <f>IF(IFERROR(VLOOKUP(TRIM(A1897),'Full Inventory'!F:F,1,0),0)=0,"X","_")</f>
        <v>X</v>
      </c>
      <c r="D1897" t="str">
        <f t="shared" si="116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F1897" t="str">
        <f t="shared" si="117"/>
        <v>_</v>
      </c>
      <c r="K1897" t="str">
        <f t="shared" ca="1" si="118"/>
        <v>_XX_</v>
      </c>
      <c r="L1897" t="str">
        <f t="shared" ca="1" si="119"/>
        <v/>
      </c>
      <c r="M1897" t="str">
        <f>IFERROR(INDEX(Inventory!A:A,MATCH(Scan!A1897,Inventory!E:E,0)),"")</f>
        <v/>
      </c>
    </row>
    <row r="1898" spans="2:13" x14ac:dyDescent="0.3">
      <c r="B1898" t="str">
        <f>IF(IFERROR(VLOOKUP(TRIM(A1898),Inventory!E:E,1,0),0)=0,"X","_")</f>
        <v>_</v>
      </c>
      <c r="C1898" t="str">
        <f>IF(IFERROR(VLOOKUP(TRIM(A1898),'Full Inventory'!F:F,1,0),0)=0,"X","_")</f>
        <v>X</v>
      </c>
      <c r="D1898" t="str">
        <f t="shared" si="116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F1898" t="str">
        <f t="shared" si="117"/>
        <v>_</v>
      </c>
      <c r="K1898" t="str">
        <f t="shared" ca="1" si="118"/>
        <v>_XX_</v>
      </c>
      <c r="L1898" t="str">
        <f t="shared" ca="1" si="119"/>
        <v/>
      </c>
      <c r="M1898" t="str">
        <f>IFERROR(INDEX(Inventory!A:A,MATCH(Scan!A1898,Inventory!E:E,0)),"")</f>
        <v/>
      </c>
    </row>
    <row r="1899" spans="2:13" x14ac:dyDescent="0.3">
      <c r="B1899" t="str">
        <f>IF(IFERROR(VLOOKUP(TRIM(A1899),Inventory!E:E,1,0),0)=0,"X","_")</f>
        <v>_</v>
      </c>
      <c r="C1899" t="str">
        <f>IF(IFERROR(VLOOKUP(TRIM(A1899),'Full Inventory'!F:F,1,0),0)=0,"X","_")</f>
        <v>X</v>
      </c>
      <c r="D1899" t="str">
        <f t="shared" si="116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F1899" t="str">
        <f t="shared" si="117"/>
        <v>_</v>
      </c>
      <c r="K1899" t="str">
        <f t="shared" ca="1" si="118"/>
        <v>_XX_</v>
      </c>
      <c r="L1899" t="str">
        <f t="shared" ca="1" si="119"/>
        <v/>
      </c>
      <c r="M1899" t="str">
        <f>IFERROR(INDEX(Inventory!A:A,MATCH(Scan!A1899,Inventory!E:E,0)),"")</f>
        <v/>
      </c>
    </row>
    <row r="1900" spans="2:13" x14ac:dyDescent="0.3">
      <c r="B1900" t="str">
        <f>IF(IFERROR(VLOOKUP(TRIM(A1900),Inventory!E:E,1,0),0)=0,"X","_")</f>
        <v>_</v>
      </c>
      <c r="C1900" t="str">
        <f>IF(IFERROR(VLOOKUP(TRIM(A1900),'Full Inventory'!F:F,1,0),0)=0,"X","_")</f>
        <v>X</v>
      </c>
      <c r="D1900" t="str">
        <f t="shared" si="116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F1900" t="str">
        <f t="shared" si="117"/>
        <v>_</v>
      </c>
      <c r="K1900" t="str">
        <f t="shared" ca="1" si="118"/>
        <v>_XX_</v>
      </c>
      <c r="L1900" t="str">
        <f t="shared" ca="1" si="119"/>
        <v/>
      </c>
      <c r="M1900" t="str">
        <f>IFERROR(INDEX(Inventory!A:A,MATCH(Scan!A1900,Inventory!E:E,0)),"")</f>
        <v/>
      </c>
    </row>
    <row r="1901" spans="2:13" x14ac:dyDescent="0.3">
      <c r="B1901" t="str">
        <f>IF(IFERROR(VLOOKUP(TRIM(A1901),Inventory!E:E,1,0),0)=0,"X","_")</f>
        <v>_</v>
      </c>
      <c r="C1901" t="str">
        <f>IF(IFERROR(VLOOKUP(TRIM(A1901),'Full Inventory'!F:F,1,0),0)=0,"X","_")</f>
        <v>X</v>
      </c>
      <c r="D1901" t="str">
        <f t="shared" si="116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F1901" t="str">
        <f t="shared" si="117"/>
        <v>_</v>
      </c>
      <c r="K1901" t="str">
        <f t="shared" ca="1" si="118"/>
        <v>_XX_</v>
      </c>
      <c r="L1901" t="str">
        <f t="shared" ca="1" si="119"/>
        <v/>
      </c>
      <c r="M1901" t="str">
        <f>IFERROR(INDEX(Inventory!A:A,MATCH(Scan!A1901,Inventory!E:E,0)),"")</f>
        <v/>
      </c>
    </row>
    <row r="1902" spans="2:13" x14ac:dyDescent="0.3">
      <c r="B1902" t="str">
        <f>IF(IFERROR(VLOOKUP(TRIM(A1902),Inventory!E:E,1,0),0)=0,"X","_")</f>
        <v>_</v>
      </c>
      <c r="C1902" t="str">
        <f>IF(IFERROR(VLOOKUP(TRIM(A1902),'Full Inventory'!F:F,1,0),0)=0,"X","_")</f>
        <v>X</v>
      </c>
      <c r="D1902" t="str">
        <f t="shared" si="116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F1902" t="str">
        <f t="shared" si="117"/>
        <v>_</v>
      </c>
      <c r="K1902" t="str">
        <f t="shared" ca="1" si="118"/>
        <v>_XX_</v>
      </c>
      <c r="L1902" t="str">
        <f t="shared" ca="1" si="119"/>
        <v/>
      </c>
      <c r="M1902" t="str">
        <f>IFERROR(INDEX(Inventory!A:A,MATCH(Scan!A1902,Inventory!E:E,0)),"")</f>
        <v/>
      </c>
    </row>
    <row r="1903" spans="2:13" x14ac:dyDescent="0.3">
      <c r="B1903" t="str">
        <f>IF(IFERROR(VLOOKUP(TRIM(A1903),Inventory!E:E,1,0),0)=0,"X","_")</f>
        <v>_</v>
      </c>
      <c r="C1903" t="str">
        <f>IF(IFERROR(VLOOKUP(TRIM(A1903),'Full Inventory'!F:F,1,0),0)=0,"X","_")</f>
        <v>X</v>
      </c>
      <c r="D1903" t="str">
        <f t="shared" si="116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F1903" t="str">
        <f t="shared" si="117"/>
        <v>_</v>
      </c>
      <c r="K1903" t="str">
        <f t="shared" ca="1" si="118"/>
        <v>_XX_</v>
      </c>
      <c r="L1903" t="str">
        <f t="shared" ca="1" si="119"/>
        <v/>
      </c>
      <c r="M1903" t="str">
        <f>IFERROR(INDEX(Inventory!A:A,MATCH(Scan!A1903,Inventory!E:E,0)),"")</f>
        <v/>
      </c>
    </row>
    <row r="1904" spans="2:13" x14ac:dyDescent="0.3">
      <c r="B1904" t="str">
        <f>IF(IFERROR(VLOOKUP(TRIM(A1904),Inventory!E:E,1,0),0)=0,"X","_")</f>
        <v>_</v>
      </c>
      <c r="C1904" t="str">
        <f>IF(IFERROR(VLOOKUP(TRIM(A1904),'Full Inventory'!F:F,1,0),0)=0,"X","_")</f>
        <v>X</v>
      </c>
      <c r="D1904" t="str">
        <f t="shared" si="116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F1904" t="str">
        <f t="shared" si="117"/>
        <v>_</v>
      </c>
      <c r="K1904" t="str">
        <f t="shared" ca="1" si="118"/>
        <v>_XX_</v>
      </c>
      <c r="L1904" t="str">
        <f t="shared" ca="1" si="119"/>
        <v/>
      </c>
      <c r="M1904" t="str">
        <f>IFERROR(INDEX(Inventory!A:A,MATCH(Scan!A1904,Inventory!E:E,0)),"")</f>
        <v/>
      </c>
    </row>
    <row r="1905" spans="2:13" x14ac:dyDescent="0.3">
      <c r="B1905" t="str">
        <f>IF(IFERROR(VLOOKUP(TRIM(A1905),Inventory!E:E,1,0),0)=0,"X","_")</f>
        <v>_</v>
      </c>
      <c r="C1905" t="str">
        <f>IF(IFERROR(VLOOKUP(TRIM(A1905),'Full Inventory'!F:F,1,0),0)=0,"X","_")</f>
        <v>X</v>
      </c>
      <c r="D1905" t="str">
        <f t="shared" si="116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F1905" t="str">
        <f t="shared" si="117"/>
        <v>_</v>
      </c>
      <c r="K1905" t="str">
        <f t="shared" ca="1" si="118"/>
        <v>_XX_</v>
      </c>
      <c r="L1905" t="str">
        <f t="shared" ca="1" si="119"/>
        <v/>
      </c>
      <c r="M1905" t="str">
        <f>IFERROR(INDEX(Inventory!A:A,MATCH(Scan!A1905,Inventory!E:E,0)),"")</f>
        <v/>
      </c>
    </row>
    <row r="1906" spans="2:13" x14ac:dyDescent="0.3">
      <c r="B1906" t="str">
        <f>IF(IFERROR(VLOOKUP(TRIM(A1906),Inventory!E:E,1,0),0)=0,"X","_")</f>
        <v>_</v>
      </c>
      <c r="C1906" t="str">
        <f>IF(IFERROR(VLOOKUP(TRIM(A1906),'Full Inventory'!F:F,1,0),0)=0,"X","_")</f>
        <v>X</v>
      </c>
      <c r="D1906" t="str">
        <f t="shared" si="116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F1906" t="str">
        <f t="shared" si="117"/>
        <v>_</v>
      </c>
      <c r="K1906" t="str">
        <f t="shared" ca="1" si="118"/>
        <v>_XX_</v>
      </c>
      <c r="L1906" t="str">
        <f t="shared" ca="1" si="119"/>
        <v/>
      </c>
      <c r="M1906" t="str">
        <f>IFERROR(INDEX(Inventory!A:A,MATCH(Scan!A1906,Inventory!E:E,0)),"")</f>
        <v/>
      </c>
    </row>
    <row r="1907" spans="2:13" x14ac:dyDescent="0.3">
      <c r="B1907" t="str">
        <f>IF(IFERROR(VLOOKUP(TRIM(A1907),Inventory!E:E,1,0),0)=0,"X","_")</f>
        <v>_</v>
      </c>
      <c r="C1907" t="str">
        <f>IF(IFERROR(VLOOKUP(TRIM(A1907),'Full Inventory'!F:F,1,0),0)=0,"X","_")</f>
        <v>X</v>
      </c>
      <c r="D1907" t="str">
        <f t="shared" si="116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F1907" t="str">
        <f t="shared" si="117"/>
        <v>_</v>
      </c>
      <c r="K1907" t="str">
        <f t="shared" ca="1" si="118"/>
        <v>_XX_</v>
      </c>
      <c r="L1907" t="str">
        <f t="shared" ca="1" si="119"/>
        <v/>
      </c>
      <c r="M1907" t="str">
        <f>IFERROR(INDEX(Inventory!A:A,MATCH(Scan!A1907,Inventory!E:E,0)),"")</f>
        <v/>
      </c>
    </row>
    <row r="1908" spans="2:13" x14ac:dyDescent="0.3">
      <c r="B1908" t="str">
        <f>IF(IFERROR(VLOOKUP(TRIM(A1908),Inventory!E:E,1,0),0)=0,"X","_")</f>
        <v>_</v>
      </c>
      <c r="C1908" t="str">
        <f>IF(IFERROR(VLOOKUP(TRIM(A1908),'Full Inventory'!F:F,1,0),0)=0,"X","_")</f>
        <v>X</v>
      </c>
      <c r="D1908" t="str">
        <f t="shared" si="116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F1908" t="str">
        <f t="shared" si="117"/>
        <v>_</v>
      </c>
      <c r="K1908" t="str">
        <f t="shared" ca="1" si="118"/>
        <v>_XX_</v>
      </c>
      <c r="L1908" t="str">
        <f t="shared" ca="1" si="119"/>
        <v/>
      </c>
      <c r="M1908" t="str">
        <f>IFERROR(INDEX(Inventory!A:A,MATCH(Scan!A1908,Inventory!E:E,0)),"")</f>
        <v/>
      </c>
    </row>
    <row r="1909" spans="2:13" x14ac:dyDescent="0.3">
      <c r="B1909" t="str">
        <f>IF(IFERROR(VLOOKUP(TRIM(A1909),Inventory!E:E,1,0),0)=0,"X","_")</f>
        <v>_</v>
      </c>
      <c r="C1909" t="str">
        <f>IF(IFERROR(VLOOKUP(TRIM(A1909),'Full Inventory'!F:F,1,0),0)=0,"X","_")</f>
        <v>X</v>
      </c>
      <c r="D1909" t="str">
        <f t="shared" si="116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F1909" t="str">
        <f t="shared" si="117"/>
        <v>_</v>
      </c>
      <c r="K1909" t="str">
        <f t="shared" ca="1" si="118"/>
        <v>_XX_</v>
      </c>
      <c r="L1909" t="str">
        <f t="shared" ca="1" si="119"/>
        <v/>
      </c>
      <c r="M1909" t="str">
        <f>IFERROR(INDEX(Inventory!A:A,MATCH(Scan!A1909,Inventory!E:E,0)),"")</f>
        <v/>
      </c>
    </row>
    <row r="1910" spans="2:13" x14ac:dyDescent="0.3">
      <c r="B1910" t="str">
        <f>IF(IFERROR(VLOOKUP(TRIM(A1910),Inventory!E:E,1,0),0)=0,"X","_")</f>
        <v>_</v>
      </c>
      <c r="C1910" t="str">
        <f>IF(IFERROR(VLOOKUP(TRIM(A1910),'Full Inventory'!F:F,1,0),0)=0,"X","_")</f>
        <v>X</v>
      </c>
      <c r="D1910" t="str">
        <f t="shared" si="116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F1910" t="str">
        <f t="shared" si="117"/>
        <v>_</v>
      </c>
      <c r="K1910" t="str">
        <f t="shared" ca="1" si="118"/>
        <v>_XX_</v>
      </c>
      <c r="L1910" t="str">
        <f t="shared" ca="1" si="119"/>
        <v/>
      </c>
      <c r="M1910" t="str">
        <f>IFERROR(INDEX(Inventory!A:A,MATCH(Scan!A1910,Inventory!E:E,0)),"")</f>
        <v/>
      </c>
    </row>
    <row r="1911" spans="2:13" x14ac:dyDescent="0.3">
      <c r="B1911" t="str">
        <f>IF(IFERROR(VLOOKUP(TRIM(A1911),Inventory!E:E,1,0),0)=0,"X","_")</f>
        <v>_</v>
      </c>
      <c r="C1911" t="str">
        <f>IF(IFERROR(VLOOKUP(TRIM(A1911),'Full Inventory'!F:F,1,0),0)=0,"X","_")</f>
        <v>X</v>
      </c>
      <c r="D1911" t="str">
        <f t="shared" si="116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F1911" t="str">
        <f t="shared" si="117"/>
        <v>_</v>
      </c>
      <c r="K1911" t="str">
        <f t="shared" ca="1" si="118"/>
        <v>_XX_</v>
      </c>
      <c r="L1911" t="str">
        <f t="shared" ca="1" si="119"/>
        <v/>
      </c>
      <c r="M1911" t="str">
        <f>IFERROR(INDEX(Inventory!A:A,MATCH(Scan!A1911,Inventory!E:E,0)),"")</f>
        <v/>
      </c>
    </row>
    <row r="1912" spans="2:13" x14ac:dyDescent="0.3">
      <c r="B1912" t="str">
        <f>IF(IFERROR(VLOOKUP(TRIM(A1912),Inventory!E:E,1,0),0)=0,"X","_")</f>
        <v>_</v>
      </c>
      <c r="C1912" t="str">
        <f>IF(IFERROR(VLOOKUP(TRIM(A1912),'Full Inventory'!F:F,1,0),0)=0,"X","_")</f>
        <v>X</v>
      </c>
      <c r="D1912" t="str">
        <f t="shared" si="116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F1912" t="str">
        <f t="shared" si="117"/>
        <v>_</v>
      </c>
      <c r="K1912" t="str">
        <f t="shared" ca="1" si="118"/>
        <v>_XX_</v>
      </c>
      <c r="L1912" t="str">
        <f t="shared" ca="1" si="119"/>
        <v/>
      </c>
      <c r="M1912" t="str">
        <f>IFERROR(INDEX(Inventory!A:A,MATCH(Scan!A1912,Inventory!E:E,0)),"")</f>
        <v/>
      </c>
    </row>
    <row r="1913" spans="2:13" x14ac:dyDescent="0.3">
      <c r="B1913" t="str">
        <f>IF(IFERROR(VLOOKUP(TRIM(A1913),Inventory!E:E,1,0),0)=0,"X","_")</f>
        <v>_</v>
      </c>
      <c r="C1913" t="str">
        <f>IF(IFERROR(VLOOKUP(TRIM(A1913),'Full Inventory'!F:F,1,0),0)=0,"X","_")</f>
        <v>X</v>
      </c>
      <c r="D1913" t="str">
        <f t="shared" si="116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F1913" t="str">
        <f t="shared" si="117"/>
        <v>_</v>
      </c>
      <c r="K1913" t="str">
        <f t="shared" ca="1" si="118"/>
        <v>_XX_</v>
      </c>
      <c r="L1913" t="str">
        <f t="shared" ca="1" si="119"/>
        <v/>
      </c>
      <c r="M1913" t="str">
        <f>IFERROR(INDEX(Inventory!A:A,MATCH(Scan!A1913,Inventory!E:E,0)),"")</f>
        <v/>
      </c>
    </row>
    <row r="1914" spans="2:13" x14ac:dyDescent="0.3">
      <c r="B1914" t="str">
        <f>IF(IFERROR(VLOOKUP(TRIM(A1914),Inventory!E:E,1,0),0)=0,"X","_")</f>
        <v>_</v>
      </c>
      <c r="C1914" t="str">
        <f>IF(IFERROR(VLOOKUP(TRIM(A1914),'Full Inventory'!F:F,1,0),0)=0,"X","_")</f>
        <v>X</v>
      </c>
      <c r="D1914" t="str">
        <f t="shared" si="116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F1914" t="str">
        <f t="shared" si="117"/>
        <v>_</v>
      </c>
      <c r="K1914" t="str">
        <f t="shared" ca="1" si="118"/>
        <v>_XX_</v>
      </c>
      <c r="L1914" t="str">
        <f t="shared" ca="1" si="119"/>
        <v/>
      </c>
      <c r="M1914" t="str">
        <f>IFERROR(INDEX(Inventory!A:A,MATCH(Scan!A1914,Inventory!E:E,0)),"")</f>
        <v/>
      </c>
    </row>
    <row r="1915" spans="2:13" x14ac:dyDescent="0.3">
      <c r="B1915" t="str">
        <f>IF(IFERROR(VLOOKUP(TRIM(A1915),Inventory!E:E,1,0),0)=0,"X","_")</f>
        <v>_</v>
      </c>
      <c r="C1915" t="str">
        <f>IF(IFERROR(VLOOKUP(TRIM(A1915),'Full Inventory'!F:F,1,0),0)=0,"X","_")</f>
        <v>X</v>
      </c>
      <c r="D1915" t="str">
        <f t="shared" si="116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F1915" t="str">
        <f t="shared" si="117"/>
        <v>_</v>
      </c>
      <c r="K1915" t="str">
        <f t="shared" ca="1" si="118"/>
        <v>_XX_</v>
      </c>
      <c r="L1915" t="str">
        <f t="shared" ca="1" si="119"/>
        <v/>
      </c>
      <c r="M1915" t="str">
        <f>IFERROR(INDEX(Inventory!A:A,MATCH(Scan!A1915,Inventory!E:E,0)),"")</f>
        <v/>
      </c>
    </row>
    <row r="1916" spans="2:13" x14ac:dyDescent="0.3">
      <c r="B1916" t="str">
        <f>IF(IFERROR(VLOOKUP(TRIM(A1916),Inventory!E:E,1,0),0)=0,"X","_")</f>
        <v>_</v>
      </c>
      <c r="C1916" t="str">
        <f>IF(IFERROR(VLOOKUP(TRIM(A1916),'Full Inventory'!F:F,1,0),0)=0,"X","_")</f>
        <v>X</v>
      </c>
      <c r="D1916" t="str">
        <f t="shared" si="116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F1916" t="str">
        <f t="shared" si="117"/>
        <v>_</v>
      </c>
      <c r="K1916" t="str">
        <f t="shared" ca="1" si="118"/>
        <v>_XX_</v>
      </c>
      <c r="L1916" t="str">
        <f t="shared" ca="1" si="119"/>
        <v/>
      </c>
      <c r="M1916" t="str">
        <f>IFERROR(INDEX(Inventory!A:A,MATCH(Scan!A1916,Inventory!E:E,0)),"")</f>
        <v/>
      </c>
    </row>
    <row r="1917" spans="2:13" x14ac:dyDescent="0.3">
      <c r="B1917" t="str">
        <f>IF(IFERROR(VLOOKUP(TRIM(A1917),Inventory!E:E,1,0),0)=0,"X","_")</f>
        <v>_</v>
      </c>
      <c r="C1917" t="str">
        <f>IF(IFERROR(VLOOKUP(TRIM(A1917),'Full Inventory'!F:F,1,0),0)=0,"X","_")</f>
        <v>X</v>
      </c>
      <c r="D1917" t="str">
        <f t="shared" si="116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F1917" t="str">
        <f t="shared" si="117"/>
        <v>_</v>
      </c>
      <c r="K1917" t="str">
        <f t="shared" ca="1" si="118"/>
        <v>_XX_</v>
      </c>
      <c r="L1917" t="str">
        <f t="shared" ca="1" si="119"/>
        <v/>
      </c>
      <c r="M1917" t="str">
        <f>IFERROR(INDEX(Inventory!A:A,MATCH(Scan!A1917,Inventory!E:E,0)),"")</f>
        <v/>
      </c>
    </row>
    <row r="1918" spans="2:13" x14ac:dyDescent="0.3">
      <c r="B1918" t="str">
        <f>IF(IFERROR(VLOOKUP(TRIM(A1918),Inventory!E:E,1,0),0)=0,"X","_")</f>
        <v>_</v>
      </c>
      <c r="C1918" t="str">
        <f>IF(IFERROR(VLOOKUP(TRIM(A1918),'Full Inventory'!F:F,1,0),0)=0,"X","_")</f>
        <v>X</v>
      </c>
      <c r="D1918" t="str">
        <f t="shared" si="116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F1918" t="str">
        <f t="shared" si="117"/>
        <v>_</v>
      </c>
      <c r="K1918" t="str">
        <f t="shared" ca="1" si="118"/>
        <v>_XX_</v>
      </c>
      <c r="L1918" t="str">
        <f t="shared" ca="1" si="119"/>
        <v/>
      </c>
      <c r="M1918" t="str">
        <f>IFERROR(INDEX(Inventory!A:A,MATCH(Scan!A1918,Inventory!E:E,0)),"")</f>
        <v/>
      </c>
    </row>
    <row r="1919" spans="2:13" x14ac:dyDescent="0.3">
      <c r="B1919" t="str">
        <f>IF(IFERROR(VLOOKUP(TRIM(A1919),Inventory!E:E,1,0),0)=0,"X","_")</f>
        <v>_</v>
      </c>
      <c r="C1919" t="str">
        <f>IF(IFERROR(VLOOKUP(TRIM(A1919),'Full Inventory'!F:F,1,0),0)=0,"X","_")</f>
        <v>X</v>
      </c>
      <c r="D1919" t="str">
        <f t="shared" si="116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F1919" t="str">
        <f t="shared" si="117"/>
        <v>_</v>
      </c>
      <c r="K1919" t="str">
        <f t="shared" ca="1" si="118"/>
        <v>_XX_</v>
      </c>
      <c r="L1919" t="str">
        <f t="shared" ca="1" si="119"/>
        <v/>
      </c>
      <c r="M1919" t="str">
        <f>IFERROR(INDEX(Inventory!A:A,MATCH(Scan!A1919,Inventory!E:E,0)),"")</f>
        <v/>
      </c>
    </row>
    <row r="1920" spans="2:13" x14ac:dyDescent="0.3">
      <c r="B1920" t="str">
        <f>IF(IFERROR(VLOOKUP(TRIM(A1920),Inventory!E:E,1,0),0)=0,"X","_")</f>
        <v>_</v>
      </c>
      <c r="C1920" t="str">
        <f>IF(IFERROR(VLOOKUP(TRIM(A1920),'Full Inventory'!F:F,1,0),0)=0,"X","_")</f>
        <v>X</v>
      </c>
      <c r="D1920" t="str">
        <f t="shared" si="116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F1920" t="str">
        <f t="shared" si="117"/>
        <v>_</v>
      </c>
      <c r="K1920" t="str">
        <f t="shared" ca="1" si="118"/>
        <v>_XX_</v>
      </c>
      <c r="L1920" t="str">
        <f t="shared" ca="1" si="119"/>
        <v/>
      </c>
      <c r="M1920" t="str">
        <f>IFERROR(INDEX(Inventory!A:A,MATCH(Scan!A1920,Inventory!E:E,0)),"")</f>
        <v/>
      </c>
    </row>
    <row r="1921" spans="2:13" x14ac:dyDescent="0.3">
      <c r="B1921" t="str">
        <f>IF(IFERROR(VLOOKUP(TRIM(A1921),Inventory!E:E,1,0),0)=0,"X","_")</f>
        <v>_</v>
      </c>
      <c r="C1921" t="str">
        <f>IF(IFERROR(VLOOKUP(TRIM(A1921),'Full Inventory'!F:F,1,0),0)=0,"X","_")</f>
        <v>X</v>
      </c>
      <c r="D1921" t="str">
        <f t="shared" si="116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F1921" t="str">
        <f t="shared" si="117"/>
        <v>_</v>
      </c>
      <c r="K1921" t="str">
        <f t="shared" ca="1" si="118"/>
        <v>_XX_</v>
      </c>
      <c r="L1921" t="str">
        <f t="shared" ca="1" si="119"/>
        <v/>
      </c>
      <c r="M1921" t="str">
        <f>IFERROR(INDEX(Inventory!A:A,MATCH(Scan!A1921,Inventory!E:E,0)),"")</f>
        <v/>
      </c>
    </row>
    <row r="1922" spans="2:13" x14ac:dyDescent="0.3">
      <c r="B1922" t="str">
        <f>IF(IFERROR(VLOOKUP(TRIM(A1922),Inventory!E:E,1,0),0)=0,"X","_")</f>
        <v>_</v>
      </c>
      <c r="C1922" t="str">
        <f>IF(IFERROR(VLOOKUP(TRIM(A1922),'Full Inventory'!F:F,1,0),0)=0,"X","_")</f>
        <v>X</v>
      </c>
      <c r="D1922" t="str">
        <f t="shared" ref="D1922:D1985" si="12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F1922" t="str">
        <f t="shared" si="117"/>
        <v>_</v>
      </c>
      <c r="K1922" t="str">
        <f t="shared" ca="1" si="118"/>
        <v>_XX_</v>
      </c>
      <c r="L1922" t="str">
        <f t="shared" ca="1" si="119"/>
        <v/>
      </c>
      <c r="M1922" t="str">
        <f>IFERROR(INDEX(Inventory!A:A,MATCH(Scan!A1922,Inventory!E:E,0)),"")</f>
        <v/>
      </c>
    </row>
    <row r="1923" spans="2:13" x14ac:dyDescent="0.3">
      <c r="B1923" t="str">
        <f>IF(IFERROR(VLOOKUP(TRIM(A1923),Inventory!E:E,1,0),0)=0,"X","_")</f>
        <v>_</v>
      </c>
      <c r="C1923" t="str">
        <f>IF(IFERROR(VLOOKUP(TRIM(A1923),'Full Inventory'!F:F,1,0),0)=0,"X","_")</f>
        <v>X</v>
      </c>
      <c r="D1923" t="str">
        <f t="shared" si="12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F1923" t="str">
        <f t="shared" ref="F1923:F1986" si="121">IF(IFERROR(SEARCH("ö",A1923),0)&gt;0,"X","_")</f>
        <v>_</v>
      </c>
      <c r="K1923" t="str">
        <f t="shared" ref="K1923:K1986" ca="1" si="122">B1923&amp;C1923&amp;D1923&amp;E1923</f>
        <v>_XX_</v>
      </c>
      <c r="L1923" t="str">
        <f t="shared" ref="L1923:L1986" ca="1" si="123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3">
      <c r="B1924" t="str">
        <f>IF(IFERROR(VLOOKUP(TRIM(A1924),Inventory!E:E,1,0),0)=0,"X","_")</f>
        <v>_</v>
      </c>
      <c r="C1924" t="str">
        <f>IF(IFERROR(VLOOKUP(TRIM(A1924),'Full Inventory'!F:F,1,0),0)=0,"X","_")</f>
        <v>X</v>
      </c>
      <c r="D1924" t="str">
        <f t="shared" si="12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F1924" t="str">
        <f t="shared" si="121"/>
        <v>_</v>
      </c>
      <c r="K1924" t="str">
        <f t="shared" ca="1" si="122"/>
        <v>_XX_</v>
      </c>
      <c r="L1924" t="str">
        <f t="shared" ca="1" si="123"/>
        <v/>
      </c>
      <c r="M1924" t="str">
        <f>IFERROR(INDEX(Inventory!A:A,MATCH(Scan!A1924,Inventory!E:E,0)),"")</f>
        <v/>
      </c>
    </row>
    <row r="1925" spans="2:13" x14ac:dyDescent="0.3">
      <c r="B1925" t="str">
        <f>IF(IFERROR(VLOOKUP(TRIM(A1925),Inventory!E:E,1,0),0)=0,"X","_")</f>
        <v>_</v>
      </c>
      <c r="C1925" t="str">
        <f>IF(IFERROR(VLOOKUP(TRIM(A1925),'Full Inventory'!F:F,1,0),0)=0,"X","_")</f>
        <v>X</v>
      </c>
      <c r="D1925" t="str">
        <f t="shared" si="12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F1925" t="str">
        <f t="shared" si="121"/>
        <v>_</v>
      </c>
      <c r="K1925" t="str">
        <f t="shared" ca="1" si="122"/>
        <v>_XX_</v>
      </c>
      <c r="L1925" t="str">
        <f t="shared" ca="1" si="123"/>
        <v/>
      </c>
      <c r="M1925" t="str">
        <f>IFERROR(INDEX(Inventory!A:A,MATCH(Scan!A1925,Inventory!E:E,0)),"")</f>
        <v/>
      </c>
    </row>
    <row r="1926" spans="2:13" x14ac:dyDescent="0.3">
      <c r="B1926" t="str">
        <f>IF(IFERROR(VLOOKUP(TRIM(A1926),Inventory!E:E,1,0),0)=0,"X","_")</f>
        <v>_</v>
      </c>
      <c r="C1926" t="str">
        <f>IF(IFERROR(VLOOKUP(TRIM(A1926),'Full Inventory'!F:F,1,0),0)=0,"X","_")</f>
        <v>X</v>
      </c>
      <c r="D1926" t="str">
        <f t="shared" si="12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F1926" t="str">
        <f t="shared" si="121"/>
        <v>_</v>
      </c>
      <c r="K1926" t="str">
        <f t="shared" ca="1" si="122"/>
        <v>_XX_</v>
      </c>
      <c r="L1926" t="str">
        <f t="shared" ca="1" si="123"/>
        <v/>
      </c>
      <c r="M1926" t="str">
        <f>IFERROR(INDEX(Inventory!A:A,MATCH(Scan!A1926,Inventory!E:E,0)),"")</f>
        <v/>
      </c>
    </row>
    <row r="1927" spans="2:13" x14ac:dyDescent="0.3">
      <c r="B1927" t="str">
        <f>IF(IFERROR(VLOOKUP(TRIM(A1927),Inventory!E:E,1,0),0)=0,"X","_")</f>
        <v>_</v>
      </c>
      <c r="C1927" t="str">
        <f>IF(IFERROR(VLOOKUP(TRIM(A1927),'Full Inventory'!F:F,1,0),0)=0,"X","_")</f>
        <v>X</v>
      </c>
      <c r="D1927" t="str">
        <f t="shared" si="12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F1927" t="str">
        <f t="shared" si="121"/>
        <v>_</v>
      </c>
      <c r="K1927" t="str">
        <f t="shared" ca="1" si="122"/>
        <v>_XX_</v>
      </c>
      <c r="L1927" t="str">
        <f t="shared" ca="1" si="123"/>
        <v/>
      </c>
      <c r="M1927" t="str">
        <f>IFERROR(INDEX(Inventory!A:A,MATCH(Scan!A1927,Inventory!E:E,0)),"")</f>
        <v/>
      </c>
    </row>
    <row r="1928" spans="2:13" x14ac:dyDescent="0.3">
      <c r="B1928" t="str">
        <f>IF(IFERROR(VLOOKUP(TRIM(A1928),Inventory!E:E,1,0),0)=0,"X","_")</f>
        <v>_</v>
      </c>
      <c r="C1928" t="str">
        <f>IF(IFERROR(VLOOKUP(TRIM(A1928),'Full Inventory'!F:F,1,0),0)=0,"X","_")</f>
        <v>X</v>
      </c>
      <c r="D1928" t="str">
        <f t="shared" si="12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F1928" t="str">
        <f t="shared" si="121"/>
        <v>_</v>
      </c>
      <c r="K1928" t="str">
        <f t="shared" ca="1" si="122"/>
        <v>_XX_</v>
      </c>
      <c r="L1928" t="str">
        <f t="shared" ca="1" si="123"/>
        <v/>
      </c>
      <c r="M1928" t="str">
        <f>IFERROR(INDEX(Inventory!A:A,MATCH(Scan!A1928,Inventory!E:E,0)),"")</f>
        <v/>
      </c>
    </row>
    <row r="1929" spans="2:13" x14ac:dyDescent="0.3">
      <c r="B1929" t="str">
        <f>IF(IFERROR(VLOOKUP(TRIM(A1929),Inventory!E:E,1,0),0)=0,"X","_")</f>
        <v>_</v>
      </c>
      <c r="C1929" t="str">
        <f>IF(IFERROR(VLOOKUP(TRIM(A1929),'Full Inventory'!F:F,1,0),0)=0,"X","_")</f>
        <v>X</v>
      </c>
      <c r="D1929" t="str">
        <f t="shared" si="12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F1929" t="str">
        <f t="shared" si="121"/>
        <v>_</v>
      </c>
      <c r="K1929" t="str">
        <f t="shared" ca="1" si="122"/>
        <v>_XX_</v>
      </c>
      <c r="L1929" t="str">
        <f t="shared" ca="1" si="123"/>
        <v/>
      </c>
      <c r="M1929" t="str">
        <f>IFERROR(INDEX(Inventory!A:A,MATCH(Scan!A1929,Inventory!E:E,0)),"")</f>
        <v/>
      </c>
    </row>
    <row r="1930" spans="2:13" x14ac:dyDescent="0.3">
      <c r="B1930" t="str">
        <f>IF(IFERROR(VLOOKUP(TRIM(A1930),Inventory!E:E,1,0),0)=0,"X","_")</f>
        <v>_</v>
      </c>
      <c r="C1930" t="str">
        <f>IF(IFERROR(VLOOKUP(TRIM(A1930),'Full Inventory'!F:F,1,0),0)=0,"X","_")</f>
        <v>X</v>
      </c>
      <c r="D1930" t="str">
        <f t="shared" si="12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F1930" t="str">
        <f t="shared" si="121"/>
        <v>_</v>
      </c>
      <c r="K1930" t="str">
        <f t="shared" ca="1" si="122"/>
        <v>_XX_</v>
      </c>
      <c r="L1930" t="str">
        <f t="shared" ca="1" si="123"/>
        <v/>
      </c>
      <c r="M1930" t="str">
        <f>IFERROR(INDEX(Inventory!A:A,MATCH(Scan!A1930,Inventory!E:E,0)),"")</f>
        <v/>
      </c>
    </row>
    <row r="1931" spans="2:13" x14ac:dyDescent="0.3">
      <c r="B1931" t="str">
        <f>IF(IFERROR(VLOOKUP(TRIM(A1931),Inventory!E:E,1,0),0)=0,"X","_")</f>
        <v>_</v>
      </c>
      <c r="C1931" t="str">
        <f>IF(IFERROR(VLOOKUP(TRIM(A1931),'Full Inventory'!F:F,1,0),0)=0,"X","_")</f>
        <v>X</v>
      </c>
      <c r="D1931" t="str">
        <f t="shared" si="12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F1931" t="str">
        <f t="shared" si="121"/>
        <v>_</v>
      </c>
      <c r="K1931" t="str">
        <f t="shared" ca="1" si="122"/>
        <v>_XX_</v>
      </c>
      <c r="L1931" t="str">
        <f t="shared" ca="1" si="123"/>
        <v/>
      </c>
      <c r="M1931" t="str">
        <f>IFERROR(INDEX(Inventory!A:A,MATCH(Scan!A1931,Inventory!E:E,0)),"")</f>
        <v/>
      </c>
    </row>
    <row r="1932" spans="2:13" x14ac:dyDescent="0.3">
      <c r="B1932" t="str">
        <f>IF(IFERROR(VLOOKUP(TRIM(A1932),Inventory!E:E,1,0),0)=0,"X","_")</f>
        <v>_</v>
      </c>
      <c r="C1932" t="str">
        <f>IF(IFERROR(VLOOKUP(TRIM(A1932),'Full Inventory'!F:F,1,0),0)=0,"X","_")</f>
        <v>X</v>
      </c>
      <c r="D1932" t="str">
        <f t="shared" si="12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F1932" t="str">
        <f t="shared" si="121"/>
        <v>_</v>
      </c>
      <c r="K1932" t="str">
        <f t="shared" ca="1" si="122"/>
        <v>_XX_</v>
      </c>
      <c r="L1932" t="str">
        <f t="shared" ca="1" si="123"/>
        <v/>
      </c>
      <c r="M1932" t="str">
        <f>IFERROR(INDEX(Inventory!A:A,MATCH(Scan!A1932,Inventory!E:E,0)),"")</f>
        <v/>
      </c>
    </row>
    <row r="1933" spans="2:13" x14ac:dyDescent="0.3">
      <c r="B1933" t="str">
        <f>IF(IFERROR(VLOOKUP(TRIM(A1933),Inventory!E:E,1,0),0)=0,"X","_")</f>
        <v>_</v>
      </c>
      <c r="C1933" t="str">
        <f>IF(IFERROR(VLOOKUP(TRIM(A1933),'Full Inventory'!F:F,1,0),0)=0,"X","_")</f>
        <v>X</v>
      </c>
      <c r="D1933" t="str">
        <f t="shared" si="12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F1933" t="str">
        <f t="shared" si="121"/>
        <v>_</v>
      </c>
      <c r="K1933" t="str">
        <f t="shared" ca="1" si="122"/>
        <v>_XX_</v>
      </c>
      <c r="L1933" t="str">
        <f t="shared" ca="1" si="123"/>
        <v/>
      </c>
      <c r="M1933" t="str">
        <f>IFERROR(INDEX(Inventory!A:A,MATCH(Scan!A1933,Inventory!E:E,0)),"")</f>
        <v/>
      </c>
    </row>
    <row r="1934" spans="2:13" x14ac:dyDescent="0.3">
      <c r="B1934" t="str">
        <f>IF(IFERROR(VLOOKUP(TRIM(A1934),Inventory!E:E,1,0),0)=0,"X","_")</f>
        <v>_</v>
      </c>
      <c r="C1934" t="str">
        <f>IF(IFERROR(VLOOKUP(TRIM(A1934),'Full Inventory'!F:F,1,0),0)=0,"X","_")</f>
        <v>X</v>
      </c>
      <c r="D1934" t="str">
        <f t="shared" si="12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F1934" t="str">
        <f t="shared" si="121"/>
        <v>_</v>
      </c>
      <c r="K1934" t="str">
        <f t="shared" ca="1" si="122"/>
        <v>_XX_</v>
      </c>
      <c r="L1934" t="str">
        <f t="shared" ca="1" si="123"/>
        <v/>
      </c>
      <c r="M1934" t="str">
        <f>IFERROR(INDEX(Inventory!A:A,MATCH(Scan!A1934,Inventory!E:E,0)),"")</f>
        <v/>
      </c>
    </row>
    <row r="1935" spans="2:13" x14ac:dyDescent="0.3">
      <c r="B1935" t="str">
        <f>IF(IFERROR(VLOOKUP(TRIM(A1935),Inventory!E:E,1,0),0)=0,"X","_")</f>
        <v>_</v>
      </c>
      <c r="C1935" t="str">
        <f>IF(IFERROR(VLOOKUP(TRIM(A1935),'Full Inventory'!F:F,1,0),0)=0,"X","_")</f>
        <v>X</v>
      </c>
      <c r="D1935" t="str">
        <f t="shared" si="12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F1935" t="str">
        <f t="shared" si="121"/>
        <v>_</v>
      </c>
      <c r="K1935" t="str">
        <f t="shared" ca="1" si="122"/>
        <v>_XX_</v>
      </c>
      <c r="L1935" t="str">
        <f t="shared" ca="1" si="123"/>
        <v/>
      </c>
      <c r="M1935" t="str">
        <f>IFERROR(INDEX(Inventory!A:A,MATCH(Scan!A1935,Inventory!E:E,0)),"")</f>
        <v/>
      </c>
    </row>
    <row r="1936" spans="2:13" x14ac:dyDescent="0.3">
      <c r="B1936" t="str">
        <f>IF(IFERROR(VLOOKUP(TRIM(A1936),Inventory!E:E,1,0),0)=0,"X","_")</f>
        <v>_</v>
      </c>
      <c r="C1936" t="str">
        <f>IF(IFERROR(VLOOKUP(TRIM(A1936),'Full Inventory'!F:F,1,0),0)=0,"X","_")</f>
        <v>X</v>
      </c>
      <c r="D1936" t="str">
        <f t="shared" si="12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F1936" t="str">
        <f t="shared" si="121"/>
        <v>_</v>
      </c>
      <c r="K1936" t="str">
        <f t="shared" ca="1" si="122"/>
        <v>_XX_</v>
      </c>
      <c r="L1936" t="str">
        <f t="shared" ca="1" si="123"/>
        <v/>
      </c>
      <c r="M1936" t="str">
        <f>IFERROR(INDEX(Inventory!A:A,MATCH(Scan!A1936,Inventory!E:E,0)),"")</f>
        <v/>
      </c>
    </row>
    <row r="1937" spans="2:13" x14ac:dyDescent="0.3">
      <c r="B1937" t="str">
        <f>IF(IFERROR(VLOOKUP(TRIM(A1937),Inventory!E:E,1,0),0)=0,"X","_")</f>
        <v>_</v>
      </c>
      <c r="C1937" t="str">
        <f>IF(IFERROR(VLOOKUP(TRIM(A1937),'Full Inventory'!F:F,1,0),0)=0,"X","_")</f>
        <v>X</v>
      </c>
      <c r="D1937" t="str">
        <f t="shared" si="12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F1937" t="str">
        <f t="shared" si="121"/>
        <v>_</v>
      </c>
      <c r="K1937" t="str">
        <f t="shared" ca="1" si="122"/>
        <v>_XX_</v>
      </c>
      <c r="L1937" t="str">
        <f t="shared" ca="1" si="123"/>
        <v/>
      </c>
      <c r="M1937" t="str">
        <f>IFERROR(INDEX(Inventory!A:A,MATCH(Scan!A1937,Inventory!E:E,0)),"")</f>
        <v/>
      </c>
    </row>
    <row r="1938" spans="2:13" x14ac:dyDescent="0.3">
      <c r="B1938" t="str">
        <f>IF(IFERROR(VLOOKUP(TRIM(A1938),Inventory!E:E,1,0),0)=0,"X","_")</f>
        <v>_</v>
      </c>
      <c r="C1938" t="str">
        <f>IF(IFERROR(VLOOKUP(TRIM(A1938),'Full Inventory'!F:F,1,0),0)=0,"X","_")</f>
        <v>X</v>
      </c>
      <c r="D1938" t="str">
        <f t="shared" si="12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F1938" t="str">
        <f t="shared" si="121"/>
        <v>_</v>
      </c>
      <c r="K1938" t="str">
        <f t="shared" ca="1" si="122"/>
        <v>_XX_</v>
      </c>
      <c r="L1938" t="str">
        <f t="shared" ca="1" si="123"/>
        <v/>
      </c>
      <c r="M1938" t="str">
        <f>IFERROR(INDEX(Inventory!A:A,MATCH(Scan!A1938,Inventory!E:E,0)),"")</f>
        <v/>
      </c>
    </row>
    <row r="1939" spans="2:13" x14ac:dyDescent="0.3">
      <c r="B1939" t="str">
        <f>IF(IFERROR(VLOOKUP(TRIM(A1939),Inventory!E:E,1,0),0)=0,"X","_")</f>
        <v>_</v>
      </c>
      <c r="C1939" t="str">
        <f>IF(IFERROR(VLOOKUP(TRIM(A1939),'Full Inventory'!F:F,1,0),0)=0,"X","_")</f>
        <v>X</v>
      </c>
      <c r="D1939" t="str">
        <f t="shared" si="12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F1939" t="str">
        <f t="shared" si="121"/>
        <v>_</v>
      </c>
      <c r="K1939" t="str">
        <f t="shared" ca="1" si="122"/>
        <v>_XX_</v>
      </c>
      <c r="L1939" t="str">
        <f t="shared" ca="1" si="123"/>
        <v/>
      </c>
      <c r="M1939" t="str">
        <f>IFERROR(INDEX(Inventory!A:A,MATCH(Scan!A1939,Inventory!E:E,0)),"")</f>
        <v/>
      </c>
    </row>
    <row r="1940" spans="2:13" x14ac:dyDescent="0.3">
      <c r="B1940" t="str">
        <f>IF(IFERROR(VLOOKUP(TRIM(A1940),Inventory!E:E,1,0),0)=0,"X","_")</f>
        <v>_</v>
      </c>
      <c r="C1940" t="str">
        <f>IF(IFERROR(VLOOKUP(TRIM(A1940),'Full Inventory'!F:F,1,0),0)=0,"X","_")</f>
        <v>X</v>
      </c>
      <c r="D1940" t="str">
        <f t="shared" si="12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F1940" t="str">
        <f t="shared" si="121"/>
        <v>_</v>
      </c>
      <c r="K1940" t="str">
        <f t="shared" ca="1" si="122"/>
        <v>_XX_</v>
      </c>
      <c r="L1940" t="str">
        <f t="shared" ca="1" si="123"/>
        <v/>
      </c>
      <c r="M1940" t="str">
        <f>IFERROR(INDEX(Inventory!A:A,MATCH(Scan!A1940,Inventory!E:E,0)),"")</f>
        <v/>
      </c>
    </row>
    <row r="1941" spans="2:13" x14ac:dyDescent="0.3">
      <c r="B1941" t="str">
        <f>IF(IFERROR(VLOOKUP(TRIM(A1941),Inventory!E:E,1,0),0)=0,"X","_")</f>
        <v>_</v>
      </c>
      <c r="C1941" t="str">
        <f>IF(IFERROR(VLOOKUP(TRIM(A1941),'Full Inventory'!F:F,1,0),0)=0,"X","_")</f>
        <v>X</v>
      </c>
      <c r="D1941" t="str">
        <f t="shared" si="12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F1941" t="str">
        <f t="shared" si="121"/>
        <v>_</v>
      </c>
      <c r="K1941" t="str">
        <f t="shared" ca="1" si="122"/>
        <v>_XX_</v>
      </c>
      <c r="L1941" t="str">
        <f t="shared" ca="1" si="123"/>
        <v/>
      </c>
      <c r="M1941" t="str">
        <f>IFERROR(INDEX(Inventory!A:A,MATCH(Scan!A1941,Inventory!E:E,0)),"")</f>
        <v/>
      </c>
    </row>
    <row r="1942" spans="2:13" x14ac:dyDescent="0.3">
      <c r="B1942" t="str">
        <f>IF(IFERROR(VLOOKUP(TRIM(A1942),Inventory!E:E,1,0),0)=0,"X","_")</f>
        <v>_</v>
      </c>
      <c r="C1942" t="str">
        <f>IF(IFERROR(VLOOKUP(TRIM(A1942),'Full Inventory'!F:F,1,0),0)=0,"X","_")</f>
        <v>X</v>
      </c>
      <c r="D1942" t="str">
        <f t="shared" si="12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F1942" t="str">
        <f t="shared" si="121"/>
        <v>_</v>
      </c>
      <c r="K1942" t="str">
        <f t="shared" ca="1" si="122"/>
        <v>_XX_</v>
      </c>
      <c r="L1942" t="str">
        <f t="shared" ca="1" si="123"/>
        <v/>
      </c>
      <c r="M1942" t="str">
        <f>IFERROR(INDEX(Inventory!A:A,MATCH(Scan!A1942,Inventory!E:E,0)),"")</f>
        <v/>
      </c>
    </row>
    <row r="1943" spans="2:13" x14ac:dyDescent="0.3">
      <c r="B1943" t="str">
        <f>IF(IFERROR(VLOOKUP(TRIM(A1943),Inventory!E:E,1,0),0)=0,"X","_")</f>
        <v>_</v>
      </c>
      <c r="C1943" t="str">
        <f>IF(IFERROR(VLOOKUP(TRIM(A1943),'Full Inventory'!F:F,1,0),0)=0,"X","_")</f>
        <v>X</v>
      </c>
      <c r="D1943" t="str">
        <f t="shared" si="12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F1943" t="str">
        <f t="shared" si="121"/>
        <v>_</v>
      </c>
      <c r="K1943" t="str">
        <f t="shared" ca="1" si="122"/>
        <v>_XX_</v>
      </c>
      <c r="L1943" t="str">
        <f t="shared" ca="1" si="123"/>
        <v/>
      </c>
      <c r="M1943" t="str">
        <f>IFERROR(INDEX(Inventory!A:A,MATCH(Scan!A1943,Inventory!E:E,0)),"")</f>
        <v/>
      </c>
    </row>
    <row r="1944" spans="2:13" x14ac:dyDescent="0.3">
      <c r="B1944" t="str">
        <f>IF(IFERROR(VLOOKUP(TRIM(A1944),Inventory!E:E,1,0),0)=0,"X","_")</f>
        <v>_</v>
      </c>
      <c r="C1944" t="str">
        <f>IF(IFERROR(VLOOKUP(TRIM(A1944),'Full Inventory'!F:F,1,0),0)=0,"X","_")</f>
        <v>X</v>
      </c>
      <c r="D1944" t="str">
        <f t="shared" si="12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F1944" t="str">
        <f t="shared" si="121"/>
        <v>_</v>
      </c>
      <c r="K1944" t="str">
        <f t="shared" ca="1" si="122"/>
        <v>_XX_</v>
      </c>
      <c r="L1944" t="str">
        <f t="shared" ca="1" si="123"/>
        <v/>
      </c>
      <c r="M1944" t="str">
        <f>IFERROR(INDEX(Inventory!A:A,MATCH(Scan!A1944,Inventory!E:E,0)),"")</f>
        <v/>
      </c>
    </row>
    <row r="1945" spans="2:13" x14ac:dyDescent="0.3">
      <c r="B1945" t="str">
        <f>IF(IFERROR(VLOOKUP(TRIM(A1945),Inventory!E:E,1,0),0)=0,"X","_")</f>
        <v>_</v>
      </c>
      <c r="C1945" t="str">
        <f>IF(IFERROR(VLOOKUP(TRIM(A1945),'Full Inventory'!F:F,1,0),0)=0,"X","_")</f>
        <v>X</v>
      </c>
      <c r="D1945" t="str">
        <f t="shared" si="12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F1945" t="str">
        <f t="shared" si="121"/>
        <v>_</v>
      </c>
      <c r="K1945" t="str">
        <f t="shared" ca="1" si="122"/>
        <v>_XX_</v>
      </c>
      <c r="L1945" t="str">
        <f t="shared" ca="1" si="123"/>
        <v/>
      </c>
      <c r="M1945" t="str">
        <f>IFERROR(INDEX(Inventory!A:A,MATCH(Scan!A1945,Inventory!E:E,0)),"")</f>
        <v/>
      </c>
    </row>
    <row r="1946" spans="2:13" x14ac:dyDescent="0.3">
      <c r="B1946" t="str">
        <f>IF(IFERROR(VLOOKUP(TRIM(A1946),Inventory!E:E,1,0),0)=0,"X","_")</f>
        <v>_</v>
      </c>
      <c r="C1946" t="str">
        <f>IF(IFERROR(VLOOKUP(TRIM(A1946),'Full Inventory'!F:F,1,0),0)=0,"X","_")</f>
        <v>X</v>
      </c>
      <c r="D1946" t="str">
        <f t="shared" si="12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F1946" t="str">
        <f t="shared" si="121"/>
        <v>_</v>
      </c>
      <c r="K1946" t="str">
        <f t="shared" ca="1" si="122"/>
        <v>_XX_</v>
      </c>
      <c r="L1946" t="str">
        <f t="shared" ca="1" si="123"/>
        <v/>
      </c>
      <c r="M1946" t="str">
        <f>IFERROR(INDEX(Inventory!A:A,MATCH(Scan!A1946,Inventory!E:E,0)),"")</f>
        <v/>
      </c>
    </row>
    <row r="1947" spans="2:13" x14ac:dyDescent="0.3">
      <c r="B1947" t="str">
        <f>IF(IFERROR(VLOOKUP(TRIM(A1947),Inventory!E:E,1,0),0)=0,"X","_")</f>
        <v>_</v>
      </c>
      <c r="C1947" t="str">
        <f>IF(IFERROR(VLOOKUP(TRIM(A1947),'Full Inventory'!F:F,1,0),0)=0,"X","_")</f>
        <v>X</v>
      </c>
      <c r="D1947" t="str">
        <f t="shared" si="12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F1947" t="str">
        <f t="shared" si="121"/>
        <v>_</v>
      </c>
      <c r="K1947" t="str">
        <f t="shared" ca="1" si="122"/>
        <v>_XX_</v>
      </c>
      <c r="L1947" t="str">
        <f t="shared" ca="1" si="123"/>
        <v/>
      </c>
      <c r="M1947" t="str">
        <f>IFERROR(INDEX(Inventory!A:A,MATCH(Scan!A1947,Inventory!E:E,0)),"")</f>
        <v/>
      </c>
    </row>
    <row r="1948" spans="2:13" x14ac:dyDescent="0.3">
      <c r="B1948" t="str">
        <f>IF(IFERROR(VLOOKUP(TRIM(A1948),Inventory!E:E,1,0),0)=0,"X","_")</f>
        <v>_</v>
      </c>
      <c r="C1948" t="str">
        <f>IF(IFERROR(VLOOKUP(TRIM(A1948),'Full Inventory'!F:F,1,0),0)=0,"X","_")</f>
        <v>X</v>
      </c>
      <c r="D1948" t="str">
        <f t="shared" si="12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F1948" t="str">
        <f t="shared" si="121"/>
        <v>_</v>
      </c>
      <c r="K1948" t="str">
        <f t="shared" ca="1" si="122"/>
        <v>_XX_</v>
      </c>
      <c r="L1948" t="str">
        <f t="shared" ca="1" si="123"/>
        <v/>
      </c>
      <c r="M1948" t="str">
        <f>IFERROR(INDEX(Inventory!A:A,MATCH(Scan!A1948,Inventory!E:E,0)),"")</f>
        <v/>
      </c>
    </row>
    <row r="1949" spans="2:13" x14ac:dyDescent="0.3">
      <c r="B1949" t="str">
        <f>IF(IFERROR(VLOOKUP(TRIM(A1949),Inventory!E:E,1,0),0)=0,"X","_")</f>
        <v>_</v>
      </c>
      <c r="C1949" t="str">
        <f>IF(IFERROR(VLOOKUP(TRIM(A1949),'Full Inventory'!F:F,1,0),0)=0,"X","_")</f>
        <v>X</v>
      </c>
      <c r="D1949" t="str">
        <f t="shared" si="12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F1949" t="str">
        <f t="shared" si="121"/>
        <v>_</v>
      </c>
      <c r="K1949" t="str">
        <f t="shared" ca="1" si="122"/>
        <v>_XX_</v>
      </c>
      <c r="L1949" t="str">
        <f t="shared" ca="1" si="123"/>
        <v/>
      </c>
      <c r="M1949" t="str">
        <f>IFERROR(INDEX(Inventory!A:A,MATCH(Scan!A1949,Inventory!E:E,0)),"")</f>
        <v/>
      </c>
    </row>
    <row r="1950" spans="2:13" x14ac:dyDescent="0.3">
      <c r="B1950" t="str">
        <f>IF(IFERROR(VLOOKUP(TRIM(A1950),Inventory!E:E,1,0),0)=0,"X","_")</f>
        <v>_</v>
      </c>
      <c r="C1950" t="str">
        <f>IF(IFERROR(VLOOKUP(TRIM(A1950),'Full Inventory'!F:F,1,0),0)=0,"X","_")</f>
        <v>X</v>
      </c>
      <c r="D1950" t="str">
        <f t="shared" si="12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F1950" t="str">
        <f t="shared" si="121"/>
        <v>_</v>
      </c>
      <c r="K1950" t="str">
        <f t="shared" ca="1" si="122"/>
        <v>_XX_</v>
      </c>
      <c r="L1950" t="str">
        <f t="shared" ca="1" si="123"/>
        <v/>
      </c>
      <c r="M1950" t="str">
        <f>IFERROR(INDEX(Inventory!A:A,MATCH(Scan!A1950,Inventory!E:E,0)),"")</f>
        <v/>
      </c>
    </row>
    <row r="1951" spans="2:13" x14ac:dyDescent="0.3">
      <c r="B1951" t="str">
        <f>IF(IFERROR(VLOOKUP(TRIM(A1951),Inventory!E:E,1,0),0)=0,"X","_")</f>
        <v>_</v>
      </c>
      <c r="C1951" t="str">
        <f>IF(IFERROR(VLOOKUP(TRIM(A1951),'Full Inventory'!F:F,1,0),0)=0,"X","_")</f>
        <v>X</v>
      </c>
      <c r="D1951" t="str">
        <f t="shared" si="12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F1951" t="str">
        <f t="shared" si="121"/>
        <v>_</v>
      </c>
      <c r="K1951" t="str">
        <f t="shared" ca="1" si="122"/>
        <v>_XX_</v>
      </c>
      <c r="L1951" t="str">
        <f t="shared" ca="1" si="123"/>
        <v/>
      </c>
      <c r="M1951" t="str">
        <f>IFERROR(INDEX(Inventory!A:A,MATCH(Scan!A1951,Inventory!E:E,0)),"")</f>
        <v/>
      </c>
    </row>
    <row r="1952" spans="2:13" x14ac:dyDescent="0.3">
      <c r="B1952" t="str">
        <f>IF(IFERROR(VLOOKUP(TRIM(A1952),Inventory!E:E,1,0),0)=0,"X","_")</f>
        <v>_</v>
      </c>
      <c r="C1952" t="str">
        <f>IF(IFERROR(VLOOKUP(TRIM(A1952),'Full Inventory'!F:F,1,0),0)=0,"X","_")</f>
        <v>X</v>
      </c>
      <c r="D1952" t="str">
        <f t="shared" si="12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F1952" t="str">
        <f t="shared" si="121"/>
        <v>_</v>
      </c>
      <c r="K1952" t="str">
        <f t="shared" ca="1" si="122"/>
        <v>_XX_</v>
      </c>
      <c r="L1952" t="str">
        <f t="shared" ca="1" si="123"/>
        <v/>
      </c>
      <c r="M1952" t="str">
        <f>IFERROR(INDEX(Inventory!A:A,MATCH(Scan!A1952,Inventory!E:E,0)),"")</f>
        <v/>
      </c>
    </row>
    <row r="1953" spans="2:13" x14ac:dyDescent="0.3">
      <c r="B1953" t="str">
        <f>IF(IFERROR(VLOOKUP(TRIM(A1953),Inventory!E:E,1,0),0)=0,"X","_")</f>
        <v>_</v>
      </c>
      <c r="C1953" t="str">
        <f>IF(IFERROR(VLOOKUP(TRIM(A1953),'Full Inventory'!F:F,1,0),0)=0,"X","_")</f>
        <v>X</v>
      </c>
      <c r="D1953" t="str">
        <f t="shared" si="12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F1953" t="str">
        <f t="shared" si="121"/>
        <v>_</v>
      </c>
      <c r="K1953" t="str">
        <f t="shared" ca="1" si="122"/>
        <v>_XX_</v>
      </c>
      <c r="L1953" t="str">
        <f t="shared" ca="1" si="123"/>
        <v/>
      </c>
      <c r="M1953" t="str">
        <f>IFERROR(INDEX(Inventory!A:A,MATCH(Scan!A1953,Inventory!E:E,0)),"")</f>
        <v/>
      </c>
    </row>
    <row r="1954" spans="2:13" x14ac:dyDescent="0.3">
      <c r="B1954" t="str">
        <f>IF(IFERROR(VLOOKUP(TRIM(A1954),Inventory!E:E,1,0),0)=0,"X","_")</f>
        <v>_</v>
      </c>
      <c r="C1954" t="str">
        <f>IF(IFERROR(VLOOKUP(TRIM(A1954),'Full Inventory'!F:F,1,0),0)=0,"X","_")</f>
        <v>X</v>
      </c>
      <c r="D1954" t="str">
        <f t="shared" si="12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F1954" t="str">
        <f t="shared" si="121"/>
        <v>_</v>
      </c>
      <c r="K1954" t="str">
        <f t="shared" ca="1" si="122"/>
        <v>_XX_</v>
      </c>
      <c r="L1954" t="str">
        <f t="shared" ca="1" si="123"/>
        <v/>
      </c>
      <c r="M1954" t="str">
        <f>IFERROR(INDEX(Inventory!A:A,MATCH(Scan!A1954,Inventory!E:E,0)),"")</f>
        <v/>
      </c>
    </row>
    <row r="1955" spans="2:13" x14ac:dyDescent="0.3">
      <c r="B1955" t="str">
        <f>IF(IFERROR(VLOOKUP(TRIM(A1955),Inventory!E:E,1,0),0)=0,"X","_")</f>
        <v>_</v>
      </c>
      <c r="C1955" t="str">
        <f>IF(IFERROR(VLOOKUP(TRIM(A1955),'Full Inventory'!F:F,1,0),0)=0,"X","_")</f>
        <v>X</v>
      </c>
      <c r="D1955" t="str">
        <f t="shared" si="12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F1955" t="str">
        <f t="shared" si="121"/>
        <v>_</v>
      </c>
      <c r="K1955" t="str">
        <f t="shared" ca="1" si="122"/>
        <v>_XX_</v>
      </c>
      <c r="L1955" t="str">
        <f t="shared" ca="1" si="123"/>
        <v/>
      </c>
      <c r="M1955" t="str">
        <f>IFERROR(INDEX(Inventory!A:A,MATCH(Scan!A1955,Inventory!E:E,0)),"")</f>
        <v/>
      </c>
    </row>
    <row r="1956" spans="2:13" x14ac:dyDescent="0.3">
      <c r="B1956" t="str">
        <f>IF(IFERROR(VLOOKUP(TRIM(A1956),Inventory!E:E,1,0),0)=0,"X","_")</f>
        <v>_</v>
      </c>
      <c r="C1956" t="str">
        <f>IF(IFERROR(VLOOKUP(TRIM(A1956),'Full Inventory'!F:F,1,0),0)=0,"X","_")</f>
        <v>X</v>
      </c>
      <c r="D1956" t="str">
        <f t="shared" si="12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F1956" t="str">
        <f t="shared" si="121"/>
        <v>_</v>
      </c>
      <c r="K1956" t="str">
        <f t="shared" ca="1" si="122"/>
        <v>_XX_</v>
      </c>
      <c r="L1956" t="str">
        <f t="shared" ca="1" si="123"/>
        <v/>
      </c>
      <c r="M1956" t="str">
        <f>IFERROR(INDEX(Inventory!A:A,MATCH(Scan!A1956,Inventory!E:E,0)),"")</f>
        <v/>
      </c>
    </row>
    <row r="1957" spans="2:13" x14ac:dyDescent="0.3">
      <c r="B1957" t="str">
        <f>IF(IFERROR(VLOOKUP(TRIM(A1957),Inventory!E:E,1,0),0)=0,"X","_")</f>
        <v>_</v>
      </c>
      <c r="C1957" t="str">
        <f>IF(IFERROR(VLOOKUP(TRIM(A1957),'Full Inventory'!F:F,1,0),0)=0,"X","_")</f>
        <v>X</v>
      </c>
      <c r="D1957" t="str">
        <f t="shared" si="12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F1957" t="str">
        <f t="shared" si="121"/>
        <v>_</v>
      </c>
      <c r="K1957" t="str">
        <f t="shared" ca="1" si="122"/>
        <v>_XX_</v>
      </c>
      <c r="L1957" t="str">
        <f t="shared" ca="1" si="123"/>
        <v/>
      </c>
      <c r="M1957" t="str">
        <f>IFERROR(INDEX(Inventory!A:A,MATCH(Scan!A1957,Inventory!E:E,0)),"")</f>
        <v/>
      </c>
    </row>
    <row r="1958" spans="2:13" x14ac:dyDescent="0.3">
      <c r="B1958" t="str">
        <f>IF(IFERROR(VLOOKUP(TRIM(A1958),Inventory!E:E,1,0),0)=0,"X","_")</f>
        <v>_</v>
      </c>
      <c r="C1958" t="str">
        <f>IF(IFERROR(VLOOKUP(TRIM(A1958),'Full Inventory'!F:F,1,0),0)=0,"X","_")</f>
        <v>X</v>
      </c>
      <c r="D1958" t="str">
        <f t="shared" si="12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F1958" t="str">
        <f t="shared" si="121"/>
        <v>_</v>
      </c>
      <c r="K1958" t="str">
        <f t="shared" ca="1" si="122"/>
        <v>_XX_</v>
      </c>
      <c r="L1958" t="str">
        <f t="shared" ca="1" si="123"/>
        <v/>
      </c>
      <c r="M1958" t="str">
        <f>IFERROR(INDEX(Inventory!A:A,MATCH(Scan!A1958,Inventory!E:E,0)),"")</f>
        <v/>
      </c>
    </row>
    <row r="1959" spans="2:13" x14ac:dyDescent="0.3">
      <c r="B1959" t="str">
        <f>IF(IFERROR(VLOOKUP(TRIM(A1959),Inventory!E:E,1,0),0)=0,"X","_")</f>
        <v>_</v>
      </c>
      <c r="C1959" t="str">
        <f>IF(IFERROR(VLOOKUP(TRIM(A1959),'Full Inventory'!F:F,1,0),0)=0,"X","_")</f>
        <v>X</v>
      </c>
      <c r="D1959" t="str">
        <f t="shared" si="12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F1959" t="str">
        <f t="shared" si="121"/>
        <v>_</v>
      </c>
      <c r="K1959" t="str">
        <f t="shared" ca="1" si="122"/>
        <v>_XX_</v>
      </c>
      <c r="L1959" t="str">
        <f t="shared" ca="1" si="123"/>
        <v/>
      </c>
      <c r="M1959" t="str">
        <f>IFERROR(INDEX(Inventory!A:A,MATCH(Scan!A1959,Inventory!E:E,0)),"")</f>
        <v/>
      </c>
    </row>
    <row r="1960" spans="2:13" x14ac:dyDescent="0.3">
      <c r="B1960" t="str">
        <f>IF(IFERROR(VLOOKUP(TRIM(A1960),Inventory!E:E,1,0),0)=0,"X","_")</f>
        <v>_</v>
      </c>
      <c r="C1960" t="str">
        <f>IF(IFERROR(VLOOKUP(TRIM(A1960),'Full Inventory'!F:F,1,0),0)=0,"X","_")</f>
        <v>X</v>
      </c>
      <c r="D1960" t="str">
        <f t="shared" si="12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F1960" t="str">
        <f t="shared" si="121"/>
        <v>_</v>
      </c>
      <c r="K1960" t="str">
        <f t="shared" ca="1" si="122"/>
        <v>_XX_</v>
      </c>
      <c r="L1960" t="str">
        <f t="shared" ca="1" si="123"/>
        <v/>
      </c>
      <c r="M1960" t="str">
        <f>IFERROR(INDEX(Inventory!A:A,MATCH(Scan!A1960,Inventory!E:E,0)),"")</f>
        <v/>
      </c>
    </row>
    <row r="1961" spans="2:13" x14ac:dyDescent="0.3">
      <c r="B1961" t="str">
        <f>IF(IFERROR(VLOOKUP(TRIM(A1961),Inventory!E:E,1,0),0)=0,"X","_")</f>
        <v>_</v>
      </c>
      <c r="C1961" t="str">
        <f>IF(IFERROR(VLOOKUP(TRIM(A1961),'Full Inventory'!F:F,1,0),0)=0,"X","_")</f>
        <v>X</v>
      </c>
      <c r="D1961" t="str">
        <f t="shared" si="12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F1961" t="str">
        <f t="shared" si="121"/>
        <v>_</v>
      </c>
      <c r="K1961" t="str">
        <f t="shared" ca="1" si="122"/>
        <v>_XX_</v>
      </c>
      <c r="L1961" t="str">
        <f t="shared" ca="1" si="123"/>
        <v/>
      </c>
      <c r="M1961" t="str">
        <f>IFERROR(INDEX(Inventory!A:A,MATCH(Scan!A1961,Inventory!E:E,0)),"")</f>
        <v/>
      </c>
    </row>
    <row r="1962" spans="2:13" x14ac:dyDescent="0.3">
      <c r="B1962" t="str">
        <f>IF(IFERROR(VLOOKUP(TRIM(A1962),Inventory!E:E,1,0),0)=0,"X","_")</f>
        <v>_</v>
      </c>
      <c r="C1962" t="str">
        <f>IF(IFERROR(VLOOKUP(TRIM(A1962),'Full Inventory'!F:F,1,0),0)=0,"X","_")</f>
        <v>X</v>
      </c>
      <c r="D1962" t="str">
        <f t="shared" si="12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F1962" t="str">
        <f t="shared" si="121"/>
        <v>_</v>
      </c>
      <c r="K1962" t="str">
        <f t="shared" ca="1" si="122"/>
        <v>_XX_</v>
      </c>
      <c r="L1962" t="str">
        <f t="shared" ca="1" si="123"/>
        <v/>
      </c>
      <c r="M1962" t="str">
        <f>IFERROR(INDEX(Inventory!A:A,MATCH(Scan!A1962,Inventory!E:E,0)),"")</f>
        <v/>
      </c>
    </row>
    <row r="1963" spans="2:13" x14ac:dyDescent="0.3">
      <c r="B1963" t="str">
        <f>IF(IFERROR(VLOOKUP(TRIM(A1963),Inventory!E:E,1,0),0)=0,"X","_")</f>
        <v>_</v>
      </c>
      <c r="C1963" t="str">
        <f>IF(IFERROR(VLOOKUP(TRIM(A1963),'Full Inventory'!F:F,1,0),0)=0,"X","_")</f>
        <v>X</v>
      </c>
      <c r="D1963" t="str">
        <f t="shared" si="12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F1963" t="str">
        <f t="shared" si="121"/>
        <v>_</v>
      </c>
      <c r="K1963" t="str">
        <f t="shared" ca="1" si="122"/>
        <v>_XX_</v>
      </c>
      <c r="L1963" t="str">
        <f t="shared" ca="1" si="123"/>
        <v/>
      </c>
      <c r="M1963" t="str">
        <f>IFERROR(INDEX(Inventory!A:A,MATCH(Scan!A1963,Inventory!E:E,0)),"")</f>
        <v/>
      </c>
    </row>
    <row r="1964" spans="2:13" x14ac:dyDescent="0.3">
      <c r="B1964" t="str">
        <f>IF(IFERROR(VLOOKUP(TRIM(A1964),Inventory!E:E,1,0),0)=0,"X","_")</f>
        <v>_</v>
      </c>
      <c r="C1964" t="str">
        <f>IF(IFERROR(VLOOKUP(TRIM(A1964),'Full Inventory'!F:F,1,0),0)=0,"X","_")</f>
        <v>X</v>
      </c>
      <c r="D1964" t="str">
        <f t="shared" si="12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F1964" t="str">
        <f t="shared" si="121"/>
        <v>_</v>
      </c>
      <c r="K1964" t="str">
        <f t="shared" ca="1" si="122"/>
        <v>_XX_</v>
      </c>
      <c r="L1964" t="str">
        <f t="shared" ca="1" si="123"/>
        <v/>
      </c>
      <c r="M1964" t="str">
        <f>IFERROR(INDEX(Inventory!A:A,MATCH(Scan!A1964,Inventory!E:E,0)),"")</f>
        <v/>
      </c>
    </row>
    <row r="1965" spans="2:13" x14ac:dyDescent="0.3">
      <c r="B1965" t="str">
        <f>IF(IFERROR(VLOOKUP(TRIM(A1965),Inventory!E:E,1,0),0)=0,"X","_")</f>
        <v>_</v>
      </c>
      <c r="C1965" t="str">
        <f>IF(IFERROR(VLOOKUP(TRIM(A1965),'Full Inventory'!F:F,1,0),0)=0,"X","_")</f>
        <v>X</v>
      </c>
      <c r="D1965" t="str">
        <f t="shared" si="12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F1965" t="str">
        <f t="shared" si="121"/>
        <v>_</v>
      </c>
      <c r="K1965" t="str">
        <f t="shared" ca="1" si="122"/>
        <v>_XX_</v>
      </c>
      <c r="L1965" t="str">
        <f t="shared" ca="1" si="123"/>
        <v/>
      </c>
      <c r="M1965" t="str">
        <f>IFERROR(INDEX(Inventory!A:A,MATCH(Scan!A1965,Inventory!E:E,0)),"")</f>
        <v/>
      </c>
    </row>
    <row r="1966" spans="2:13" x14ac:dyDescent="0.3">
      <c r="B1966" t="str">
        <f>IF(IFERROR(VLOOKUP(TRIM(A1966),Inventory!E:E,1,0),0)=0,"X","_")</f>
        <v>_</v>
      </c>
      <c r="C1966" t="str">
        <f>IF(IFERROR(VLOOKUP(TRIM(A1966),'Full Inventory'!F:F,1,0),0)=0,"X","_")</f>
        <v>X</v>
      </c>
      <c r="D1966" t="str">
        <f t="shared" si="12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F1966" t="str">
        <f t="shared" si="121"/>
        <v>_</v>
      </c>
      <c r="K1966" t="str">
        <f t="shared" ca="1" si="122"/>
        <v>_XX_</v>
      </c>
      <c r="L1966" t="str">
        <f t="shared" ca="1" si="123"/>
        <v/>
      </c>
      <c r="M1966" t="str">
        <f>IFERROR(INDEX(Inventory!A:A,MATCH(Scan!A1966,Inventory!E:E,0)),"")</f>
        <v/>
      </c>
    </row>
    <row r="1967" spans="2:13" x14ac:dyDescent="0.3">
      <c r="B1967" t="str">
        <f>IF(IFERROR(VLOOKUP(TRIM(A1967),Inventory!E:E,1,0),0)=0,"X","_")</f>
        <v>_</v>
      </c>
      <c r="C1967" t="str">
        <f>IF(IFERROR(VLOOKUP(TRIM(A1967),'Full Inventory'!F:F,1,0),0)=0,"X","_")</f>
        <v>X</v>
      </c>
      <c r="D1967" t="str">
        <f t="shared" si="12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F1967" t="str">
        <f t="shared" si="121"/>
        <v>_</v>
      </c>
      <c r="K1967" t="str">
        <f t="shared" ca="1" si="122"/>
        <v>_XX_</v>
      </c>
      <c r="L1967" t="str">
        <f t="shared" ca="1" si="123"/>
        <v/>
      </c>
      <c r="M1967" t="str">
        <f>IFERROR(INDEX(Inventory!A:A,MATCH(Scan!A1967,Inventory!E:E,0)),"")</f>
        <v/>
      </c>
    </row>
    <row r="1968" spans="2:13" x14ac:dyDescent="0.3">
      <c r="B1968" t="str">
        <f>IF(IFERROR(VLOOKUP(TRIM(A1968),Inventory!E:E,1,0),0)=0,"X","_")</f>
        <v>_</v>
      </c>
      <c r="C1968" t="str">
        <f>IF(IFERROR(VLOOKUP(TRIM(A1968),'Full Inventory'!F:F,1,0),0)=0,"X","_")</f>
        <v>X</v>
      </c>
      <c r="D1968" t="str">
        <f t="shared" si="12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F1968" t="str">
        <f t="shared" si="121"/>
        <v>_</v>
      </c>
      <c r="K1968" t="str">
        <f t="shared" ca="1" si="122"/>
        <v>_XX_</v>
      </c>
      <c r="L1968" t="str">
        <f t="shared" ca="1" si="123"/>
        <v/>
      </c>
      <c r="M1968" t="str">
        <f>IFERROR(INDEX(Inventory!A:A,MATCH(Scan!A1968,Inventory!E:E,0)),"")</f>
        <v/>
      </c>
    </row>
    <row r="1969" spans="2:13" x14ac:dyDescent="0.3">
      <c r="B1969" t="str">
        <f>IF(IFERROR(VLOOKUP(TRIM(A1969),Inventory!E:E,1,0),0)=0,"X","_")</f>
        <v>_</v>
      </c>
      <c r="C1969" t="str">
        <f>IF(IFERROR(VLOOKUP(TRIM(A1969),'Full Inventory'!F:F,1,0),0)=0,"X","_")</f>
        <v>X</v>
      </c>
      <c r="D1969" t="str">
        <f t="shared" si="12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F1969" t="str">
        <f t="shared" si="121"/>
        <v>_</v>
      </c>
      <c r="K1969" t="str">
        <f t="shared" ca="1" si="122"/>
        <v>_XX_</v>
      </c>
      <c r="L1969" t="str">
        <f t="shared" ca="1" si="123"/>
        <v/>
      </c>
      <c r="M1969" t="str">
        <f>IFERROR(INDEX(Inventory!A:A,MATCH(Scan!A1969,Inventory!E:E,0)),"")</f>
        <v/>
      </c>
    </row>
    <row r="1970" spans="2:13" x14ac:dyDescent="0.3">
      <c r="B1970" t="str">
        <f>IF(IFERROR(VLOOKUP(TRIM(A1970),Inventory!E:E,1,0),0)=0,"X","_")</f>
        <v>_</v>
      </c>
      <c r="C1970" t="str">
        <f>IF(IFERROR(VLOOKUP(TRIM(A1970),'Full Inventory'!F:F,1,0),0)=0,"X","_")</f>
        <v>X</v>
      </c>
      <c r="D1970" t="str">
        <f t="shared" si="12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F1970" t="str">
        <f t="shared" si="121"/>
        <v>_</v>
      </c>
      <c r="K1970" t="str">
        <f t="shared" ca="1" si="122"/>
        <v>_XX_</v>
      </c>
      <c r="L1970" t="str">
        <f t="shared" ca="1" si="123"/>
        <v/>
      </c>
      <c r="M1970" t="str">
        <f>IFERROR(INDEX(Inventory!A:A,MATCH(Scan!A1970,Inventory!E:E,0)),"")</f>
        <v/>
      </c>
    </row>
    <row r="1971" spans="2:13" x14ac:dyDescent="0.3">
      <c r="B1971" t="str">
        <f>IF(IFERROR(VLOOKUP(TRIM(A1971),Inventory!E:E,1,0),0)=0,"X","_")</f>
        <v>_</v>
      </c>
      <c r="C1971" t="str">
        <f>IF(IFERROR(VLOOKUP(TRIM(A1971),'Full Inventory'!F:F,1,0),0)=0,"X","_")</f>
        <v>X</v>
      </c>
      <c r="D1971" t="str">
        <f t="shared" si="12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F1971" t="str">
        <f t="shared" si="121"/>
        <v>_</v>
      </c>
      <c r="K1971" t="str">
        <f t="shared" ca="1" si="122"/>
        <v>_XX_</v>
      </c>
      <c r="L1971" t="str">
        <f t="shared" ca="1" si="123"/>
        <v/>
      </c>
      <c r="M1971" t="str">
        <f>IFERROR(INDEX(Inventory!A:A,MATCH(Scan!A1971,Inventory!E:E,0)),"")</f>
        <v/>
      </c>
    </row>
    <row r="1972" spans="2:13" x14ac:dyDescent="0.3">
      <c r="B1972" t="str">
        <f>IF(IFERROR(VLOOKUP(TRIM(A1972),Inventory!E:E,1,0),0)=0,"X","_")</f>
        <v>_</v>
      </c>
      <c r="C1972" t="str">
        <f>IF(IFERROR(VLOOKUP(TRIM(A1972),'Full Inventory'!F:F,1,0),0)=0,"X","_")</f>
        <v>X</v>
      </c>
      <c r="D1972" t="str">
        <f t="shared" si="12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F1972" t="str">
        <f t="shared" si="121"/>
        <v>_</v>
      </c>
      <c r="K1972" t="str">
        <f t="shared" ca="1" si="122"/>
        <v>_XX_</v>
      </c>
      <c r="L1972" t="str">
        <f t="shared" ca="1" si="123"/>
        <v/>
      </c>
      <c r="M1972" t="str">
        <f>IFERROR(INDEX(Inventory!A:A,MATCH(Scan!A1972,Inventory!E:E,0)),"")</f>
        <v/>
      </c>
    </row>
    <row r="1973" spans="2:13" x14ac:dyDescent="0.3">
      <c r="B1973" t="str">
        <f>IF(IFERROR(VLOOKUP(TRIM(A1973),Inventory!E:E,1,0),0)=0,"X","_")</f>
        <v>_</v>
      </c>
      <c r="C1973" t="str">
        <f>IF(IFERROR(VLOOKUP(TRIM(A1973),'Full Inventory'!F:F,1,0),0)=0,"X","_")</f>
        <v>X</v>
      </c>
      <c r="D1973" t="str">
        <f t="shared" si="12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F1973" t="str">
        <f t="shared" si="121"/>
        <v>_</v>
      </c>
      <c r="K1973" t="str">
        <f t="shared" ca="1" si="122"/>
        <v>_XX_</v>
      </c>
      <c r="L1973" t="str">
        <f t="shared" ca="1" si="123"/>
        <v/>
      </c>
      <c r="M1973" t="str">
        <f>IFERROR(INDEX(Inventory!A:A,MATCH(Scan!A1973,Inventory!E:E,0)),"")</f>
        <v/>
      </c>
    </row>
    <row r="1974" spans="2:13" x14ac:dyDescent="0.3">
      <c r="B1974" t="str">
        <f>IF(IFERROR(VLOOKUP(TRIM(A1974),Inventory!E:E,1,0),0)=0,"X","_")</f>
        <v>_</v>
      </c>
      <c r="C1974" t="str">
        <f>IF(IFERROR(VLOOKUP(TRIM(A1974),'Full Inventory'!F:F,1,0),0)=0,"X","_")</f>
        <v>X</v>
      </c>
      <c r="D1974" t="str">
        <f t="shared" si="12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F1974" t="str">
        <f t="shared" si="121"/>
        <v>_</v>
      </c>
      <c r="K1974" t="str">
        <f t="shared" ca="1" si="122"/>
        <v>_XX_</v>
      </c>
      <c r="L1974" t="str">
        <f t="shared" ca="1" si="123"/>
        <v/>
      </c>
      <c r="M1974" t="str">
        <f>IFERROR(INDEX(Inventory!A:A,MATCH(Scan!A1974,Inventory!E:E,0)),"")</f>
        <v/>
      </c>
    </row>
    <row r="1975" spans="2:13" x14ac:dyDescent="0.3">
      <c r="B1975" t="str">
        <f>IF(IFERROR(VLOOKUP(TRIM(A1975),Inventory!E:E,1,0),0)=0,"X","_")</f>
        <v>_</v>
      </c>
      <c r="C1975" t="str">
        <f>IF(IFERROR(VLOOKUP(TRIM(A1975),'Full Inventory'!F:F,1,0),0)=0,"X","_")</f>
        <v>X</v>
      </c>
      <c r="D1975" t="str">
        <f t="shared" si="12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F1975" t="str">
        <f t="shared" si="121"/>
        <v>_</v>
      </c>
      <c r="K1975" t="str">
        <f t="shared" ca="1" si="122"/>
        <v>_XX_</v>
      </c>
      <c r="L1975" t="str">
        <f t="shared" ca="1" si="123"/>
        <v/>
      </c>
      <c r="M1975" t="str">
        <f>IFERROR(INDEX(Inventory!A:A,MATCH(Scan!A1975,Inventory!E:E,0)),"")</f>
        <v/>
      </c>
    </row>
    <row r="1976" spans="2:13" x14ac:dyDescent="0.3">
      <c r="B1976" t="str">
        <f>IF(IFERROR(VLOOKUP(TRIM(A1976),Inventory!E:E,1,0),0)=0,"X","_")</f>
        <v>_</v>
      </c>
      <c r="C1976" t="str">
        <f>IF(IFERROR(VLOOKUP(TRIM(A1976),'Full Inventory'!F:F,1,0),0)=0,"X","_")</f>
        <v>X</v>
      </c>
      <c r="D1976" t="str">
        <f t="shared" si="12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F1976" t="str">
        <f t="shared" si="121"/>
        <v>_</v>
      </c>
      <c r="K1976" t="str">
        <f t="shared" ca="1" si="122"/>
        <v>_XX_</v>
      </c>
      <c r="L1976" t="str">
        <f t="shared" ca="1" si="123"/>
        <v/>
      </c>
      <c r="M1976" t="str">
        <f>IFERROR(INDEX(Inventory!A:A,MATCH(Scan!A1976,Inventory!E:E,0)),"")</f>
        <v/>
      </c>
    </row>
    <row r="1977" spans="2:13" x14ac:dyDescent="0.3">
      <c r="B1977" t="str">
        <f>IF(IFERROR(VLOOKUP(TRIM(A1977),Inventory!E:E,1,0),0)=0,"X","_")</f>
        <v>_</v>
      </c>
      <c r="C1977" t="str">
        <f>IF(IFERROR(VLOOKUP(TRIM(A1977),'Full Inventory'!F:F,1,0),0)=0,"X","_")</f>
        <v>X</v>
      </c>
      <c r="D1977" t="str">
        <f t="shared" si="12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F1977" t="str">
        <f t="shared" si="121"/>
        <v>_</v>
      </c>
      <c r="K1977" t="str">
        <f t="shared" ca="1" si="122"/>
        <v>_XX_</v>
      </c>
      <c r="L1977" t="str">
        <f t="shared" ca="1" si="123"/>
        <v/>
      </c>
      <c r="M1977" t="str">
        <f>IFERROR(INDEX(Inventory!A:A,MATCH(Scan!A1977,Inventory!E:E,0)),"")</f>
        <v/>
      </c>
    </row>
    <row r="1978" spans="2:13" x14ac:dyDescent="0.3">
      <c r="B1978" t="str">
        <f>IF(IFERROR(VLOOKUP(TRIM(A1978),Inventory!E:E,1,0),0)=0,"X","_")</f>
        <v>_</v>
      </c>
      <c r="C1978" t="str">
        <f>IF(IFERROR(VLOOKUP(TRIM(A1978),'Full Inventory'!F:F,1,0),0)=0,"X","_")</f>
        <v>X</v>
      </c>
      <c r="D1978" t="str">
        <f t="shared" si="12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F1978" t="str">
        <f t="shared" si="121"/>
        <v>_</v>
      </c>
      <c r="K1978" t="str">
        <f t="shared" ca="1" si="122"/>
        <v>_XX_</v>
      </c>
      <c r="L1978" t="str">
        <f t="shared" ca="1" si="123"/>
        <v/>
      </c>
      <c r="M1978" t="str">
        <f>IFERROR(INDEX(Inventory!A:A,MATCH(Scan!A1978,Inventory!E:E,0)),"")</f>
        <v/>
      </c>
    </row>
    <row r="1979" spans="2:13" x14ac:dyDescent="0.3">
      <c r="B1979" t="str">
        <f>IF(IFERROR(VLOOKUP(TRIM(A1979),Inventory!E:E,1,0),0)=0,"X","_")</f>
        <v>_</v>
      </c>
      <c r="C1979" t="str">
        <f>IF(IFERROR(VLOOKUP(TRIM(A1979),'Full Inventory'!F:F,1,0),0)=0,"X","_")</f>
        <v>X</v>
      </c>
      <c r="D1979" t="str">
        <f t="shared" si="12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F1979" t="str">
        <f t="shared" si="121"/>
        <v>_</v>
      </c>
      <c r="K1979" t="str">
        <f t="shared" ca="1" si="122"/>
        <v>_XX_</v>
      </c>
      <c r="L1979" t="str">
        <f t="shared" ca="1" si="123"/>
        <v/>
      </c>
      <c r="M1979" t="str">
        <f>IFERROR(INDEX(Inventory!A:A,MATCH(Scan!A1979,Inventory!E:E,0)),"")</f>
        <v/>
      </c>
    </row>
    <row r="1980" spans="2:13" x14ac:dyDescent="0.3">
      <c r="B1980" t="str">
        <f>IF(IFERROR(VLOOKUP(TRIM(A1980),Inventory!E:E,1,0),0)=0,"X","_")</f>
        <v>_</v>
      </c>
      <c r="C1980" t="str">
        <f>IF(IFERROR(VLOOKUP(TRIM(A1980),'Full Inventory'!F:F,1,0),0)=0,"X","_")</f>
        <v>X</v>
      </c>
      <c r="D1980" t="str">
        <f t="shared" si="12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F1980" t="str">
        <f t="shared" si="121"/>
        <v>_</v>
      </c>
      <c r="K1980" t="str">
        <f t="shared" ca="1" si="122"/>
        <v>_XX_</v>
      </c>
      <c r="L1980" t="str">
        <f t="shared" ca="1" si="123"/>
        <v/>
      </c>
      <c r="M1980" t="str">
        <f>IFERROR(INDEX(Inventory!A:A,MATCH(Scan!A1980,Inventory!E:E,0)),"")</f>
        <v/>
      </c>
    </row>
    <row r="1981" spans="2:13" x14ac:dyDescent="0.3">
      <c r="B1981" t="str">
        <f>IF(IFERROR(VLOOKUP(TRIM(A1981),Inventory!E:E,1,0),0)=0,"X","_")</f>
        <v>_</v>
      </c>
      <c r="C1981" t="str">
        <f>IF(IFERROR(VLOOKUP(TRIM(A1981),'Full Inventory'!F:F,1,0),0)=0,"X","_")</f>
        <v>X</v>
      </c>
      <c r="D1981" t="str">
        <f t="shared" si="12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F1981" t="str">
        <f t="shared" si="121"/>
        <v>_</v>
      </c>
      <c r="K1981" t="str">
        <f t="shared" ca="1" si="122"/>
        <v>_XX_</v>
      </c>
      <c r="L1981" t="str">
        <f t="shared" ca="1" si="123"/>
        <v/>
      </c>
      <c r="M1981" t="str">
        <f>IFERROR(INDEX(Inventory!A:A,MATCH(Scan!A1981,Inventory!E:E,0)),"")</f>
        <v/>
      </c>
    </row>
    <row r="1982" spans="2:13" x14ac:dyDescent="0.3">
      <c r="B1982" t="str">
        <f>IF(IFERROR(VLOOKUP(TRIM(A1982),Inventory!E:E,1,0),0)=0,"X","_")</f>
        <v>_</v>
      </c>
      <c r="C1982" t="str">
        <f>IF(IFERROR(VLOOKUP(TRIM(A1982),'Full Inventory'!F:F,1,0),0)=0,"X","_")</f>
        <v>X</v>
      </c>
      <c r="D1982" t="str">
        <f t="shared" si="12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F1982" t="str">
        <f t="shared" si="121"/>
        <v>_</v>
      </c>
      <c r="K1982" t="str">
        <f t="shared" ca="1" si="122"/>
        <v>_XX_</v>
      </c>
      <c r="L1982" t="str">
        <f t="shared" ca="1" si="123"/>
        <v/>
      </c>
      <c r="M1982" t="str">
        <f>IFERROR(INDEX(Inventory!A:A,MATCH(Scan!A1982,Inventory!E:E,0)),"")</f>
        <v/>
      </c>
    </row>
    <row r="1983" spans="2:13" x14ac:dyDescent="0.3">
      <c r="B1983" t="str">
        <f>IF(IFERROR(VLOOKUP(TRIM(A1983),Inventory!E:E,1,0),0)=0,"X","_")</f>
        <v>_</v>
      </c>
      <c r="C1983" t="str">
        <f>IF(IFERROR(VLOOKUP(TRIM(A1983),'Full Inventory'!F:F,1,0),0)=0,"X","_")</f>
        <v>X</v>
      </c>
      <c r="D1983" t="str">
        <f t="shared" si="12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F1983" t="str">
        <f t="shared" si="121"/>
        <v>_</v>
      </c>
      <c r="K1983" t="str">
        <f t="shared" ca="1" si="122"/>
        <v>_XX_</v>
      </c>
      <c r="L1983" t="str">
        <f t="shared" ca="1" si="123"/>
        <v/>
      </c>
      <c r="M1983" t="str">
        <f>IFERROR(INDEX(Inventory!A:A,MATCH(Scan!A1983,Inventory!E:E,0)),"")</f>
        <v/>
      </c>
    </row>
    <row r="1984" spans="2:13" x14ac:dyDescent="0.3">
      <c r="B1984" t="str">
        <f>IF(IFERROR(VLOOKUP(TRIM(A1984),Inventory!E:E,1,0),0)=0,"X","_")</f>
        <v>_</v>
      </c>
      <c r="C1984" t="str">
        <f>IF(IFERROR(VLOOKUP(TRIM(A1984),'Full Inventory'!F:F,1,0),0)=0,"X","_")</f>
        <v>X</v>
      </c>
      <c r="D1984" t="str">
        <f t="shared" si="12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F1984" t="str">
        <f t="shared" si="121"/>
        <v>_</v>
      </c>
      <c r="K1984" t="str">
        <f t="shared" ca="1" si="122"/>
        <v>_XX_</v>
      </c>
      <c r="L1984" t="str">
        <f t="shared" ca="1" si="123"/>
        <v/>
      </c>
      <c r="M1984" t="str">
        <f>IFERROR(INDEX(Inventory!A:A,MATCH(Scan!A1984,Inventory!E:E,0)),"")</f>
        <v/>
      </c>
    </row>
    <row r="1985" spans="2:13" x14ac:dyDescent="0.3">
      <c r="B1985" t="str">
        <f>IF(IFERROR(VLOOKUP(TRIM(A1985),Inventory!E:E,1,0),0)=0,"X","_")</f>
        <v>_</v>
      </c>
      <c r="C1985" t="str">
        <f>IF(IFERROR(VLOOKUP(TRIM(A1985),'Full Inventory'!F:F,1,0),0)=0,"X","_")</f>
        <v>X</v>
      </c>
      <c r="D1985" t="str">
        <f t="shared" si="12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F1985" t="str">
        <f t="shared" si="121"/>
        <v>_</v>
      </c>
      <c r="K1985" t="str">
        <f t="shared" ca="1" si="122"/>
        <v>_XX_</v>
      </c>
      <c r="L1985" t="str">
        <f t="shared" ca="1" si="123"/>
        <v/>
      </c>
      <c r="M1985" t="str">
        <f>IFERROR(INDEX(Inventory!A:A,MATCH(Scan!A1985,Inventory!E:E,0)),"")</f>
        <v/>
      </c>
    </row>
    <row r="1986" spans="2:13" x14ac:dyDescent="0.3">
      <c r="B1986" t="str">
        <f>IF(IFERROR(VLOOKUP(TRIM(A1986),Inventory!E:E,1,0),0)=0,"X","_")</f>
        <v>_</v>
      </c>
      <c r="C1986" t="str">
        <f>IF(IFERROR(VLOOKUP(TRIM(A1986),'Full Inventory'!F:F,1,0),0)=0,"X","_")</f>
        <v>X</v>
      </c>
      <c r="D1986" t="str">
        <f t="shared" ref="D1986:D2000" si="124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F1986" t="str">
        <f t="shared" si="121"/>
        <v>_</v>
      </c>
      <c r="K1986" t="str">
        <f t="shared" ca="1" si="122"/>
        <v>_XX_</v>
      </c>
      <c r="L1986" t="str">
        <f t="shared" ca="1" si="123"/>
        <v/>
      </c>
      <c r="M1986" t="str">
        <f>IFERROR(INDEX(Inventory!A:A,MATCH(Scan!A1986,Inventory!E:E,0)),"")</f>
        <v/>
      </c>
    </row>
    <row r="1987" spans="2:13" x14ac:dyDescent="0.3">
      <c r="B1987" t="str">
        <f>IF(IFERROR(VLOOKUP(TRIM(A1987),Inventory!E:E,1,0),0)=0,"X","_")</f>
        <v>_</v>
      </c>
      <c r="C1987" t="str">
        <f>IF(IFERROR(VLOOKUP(TRIM(A1987),'Full Inventory'!F:F,1,0),0)=0,"X","_")</f>
        <v>X</v>
      </c>
      <c r="D1987" t="str">
        <f t="shared" si="124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F1987" t="str">
        <f t="shared" ref="F1987:F2000" si="125">IF(IFERROR(SEARCH("ö",A1987),0)&gt;0,"X","_")</f>
        <v>_</v>
      </c>
      <c r="K1987" t="str">
        <f t="shared" ref="K1987:K2000" ca="1" si="126">B1987&amp;C1987&amp;D1987&amp;E1987</f>
        <v>_XX_</v>
      </c>
      <c r="L1987" t="str">
        <f t="shared" ref="L1987:L2000" ca="1" si="127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3">
      <c r="B1988" t="str">
        <f>IF(IFERROR(VLOOKUP(TRIM(A1988),Inventory!E:E,1,0),0)=0,"X","_")</f>
        <v>_</v>
      </c>
      <c r="C1988" t="str">
        <f>IF(IFERROR(VLOOKUP(TRIM(A1988),'Full Inventory'!F:F,1,0),0)=0,"X","_")</f>
        <v>X</v>
      </c>
      <c r="D1988" t="str">
        <f t="shared" si="124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F1988" t="str">
        <f t="shared" si="125"/>
        <v>_</v>
      </c>
      <c r="K1988" t="str">
        <f t="shared" ca="1" si="126"/>
        <v>_XX_</v>
      </c>
      <c r="L1988" t="str">
        <f t="shared" ca="1" si="127"/>
        <v/>
      </c>
      <c r="M1988" t="str">
        <f>IFERROR(INDEX(Inventory!A:A,MATCH(Scan!A1988,Inventory!E:E,0)),"")</f>
        <v/>
      </c>
    </row>
    <row r="1989" spans="2:13" x14ac:dyDescent="0.3">
      <c r="B1989" t="str">
        <f>IF(IFERROR(VLOOKUP(TRIM(A1989),Inventory!E:E,1,0),0)=0,"X","_")</f>
        <v>_</v>
      </c>
      <c r="C1989" t="str">
        <f>IF(IFERROR(VLOOKUP(TRIM(A1989),'Full Inventory'!F:F,1,0),0)=0,"X","_")</f>
        <v>X</v>
      </c>
      <c r="D1989" t="str">
        <f t="shared" si="124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F1989" t="str">
        <f t="shared" si="125"/>
        <v>_</v>
      </c>
      <c r="K1989" t="str">
        <f t="shared" ca="1" si="126"/>
        <v>_XX_</v>
      </c>
      <c r="L1989" t="str">
        <f t="shared" ca="1" si="127"/>
        <v/>
      </c>
      <c r="M1989" t="str">
        <f>IFERROR(INDEX(Inventory!A:A,MATCH(Scan!A1989,Inventory!E:E,0)),"")</f>
        <v/>
      </c>
    </row>
    <row r="1990" spans="2:13" x14ac:dyDescent="0.3">
      <c r="B1990" t="str">
        <f>IF(IFERROR(VLOOKUP(TRIM(A1990),Inventory!E:E,1,0),0)=0,"X","_")</f>
        <v>_</v>
      </c>
      <c r="C1990" t="str">
        <f>IF(IFERROR(VLOOKUP(TRIM(A1990),'Full Inventory'!F:F,1,0),0)=0,"X","_")</f>
        <v>X</v>
      </c>
      <c r="D1990" t="str">
        <f t="shared" si="124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F1990" t="str">
        <f t="shared" si="125"/>
        <v>_</v>
      </c>
      <c r="K1990" t="str">
        <f t="shared" ca="1" si="126"/>
        <v>_XX_</v>
      </c>
      <c r="L1990" t="str">
        <f t="shared" ca="1" si="127"/>
        <v/>
      </c>
      <c r="M1990" t="str">
        <f>IFERROR(INDEX(Inventory!A:A,MATCH(Scan!A1990,Inventory!E:E,0)),"")</f>
        <v/>
      </c>
    </row>
    <row r="1991" spans="2:13" x14ac:dyDescent="0.3">
      <c r="B1991" t="str">
        <f>IF(IFERROR(VLOOKUP(TRIM(A1991),Inventory!E:E,1,0),0)=0,"X","_")</f>
        <v>_</v>
      </c>
      <c r="C1991" t="str">
        <f>IF(IFERROR(VLOOKUP(TRIM(A1991),'Full Inventory'!F:F,1,0),0)=0,"X","_")</f>
        <v>X</v>
      </c>
      <c r="D1991" t="str">
        <f t="shared" si="124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F1991" t="str">
        <f t="shared" si="125"/>
        <v>_</v>
      </c>
      <c r="K1991" t="str">
        <f t="shared" ca="1" si="126"/>
        <v>_XX_</v>
      </c>
      <c r="L1991" t="str">
        <f t="shared" ca="1" si="127"/>
        <v/>
      </c>
      <c r="M1991" t="str">
        <f>IFERROR(INDEX(Inventory!A:A,MATCH(Scan!A1991,Inventory!E:E,0)),"")</f>
        <v/>
      </c>
    </row>
    <row r="1992" spans="2:13" x14ac:dyDescent="0.3">
      <c r="B1992" t="str">
        <f>IF(IFERROR(VLOOKUP(TRIM(A1992),Inventory!E:E,1,0),0)=0,"X","_")</f>
        <v>_</v>
      </c>
      <c r="C1992" t="str">
        <f>IF(IFERROR(VLOOKUP(TRIM(A1992),'Full Inventory'!F:F,1,0),0)=0,"X","_")</f>
        <v>X</v>
      </c>
      <c r="D1992" t="str">
        <f t="shared" si="124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F1992" t="str">
        <f t="shared" si="125"/>
        <v>_</v>
      </c>
      <c r="K1992" t="str">
        <f t="shared" ca="1" si="126"/>
        <v>_XX_</v>
      </c>
      <c r="L1992" t="str">
        <f t="shared" ca="1" si="127"/>
        <v/>
      </c>
      <c r="M1992" t="str">
        <f>IFERROR(INDEX(Inventory!A:A,MATCH(Scan!A1992,Inventory!E:E,0)),"")</f>
        <v/>
      </c>
    </row>
    <row r="1993" spans="2:13" x14ac:dyDescent="0.3">
      <c r="B1993" t="str">
        <f>IF(IFERROR(VLOOKUP(TRIM(A1993),Inventory!E:E,1,0),0)=0,"X","_")</f>
        <v>_</v>
      </c>
      <c r="C1993" t="str">
        <f>IF(IFERROR(VLOOKUP(TRIM(A1993),'Full Inventory'!F:F,1,0),0)=0,"X","_")</f>
        <v>X</v>
      </c>
      <c r="D1993" t="str">
        <f t="shared" si="124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F1993" t="str">
        <f t="shared" si="125"/>
        <v>_</v>
      </c>
      <c r="K1993" t="str">
        <f t="shared" ca="1" si="126"/>
        <v>_XX_</v>
      </c>
      <c r="L1993" t="str">
        <f t="shared" ca="1" si="127"/>
        <v/>
      </c>
      <c r="M1993" t="str">
        <f>IFERROR(INDEX(Inventory!A:A,MATCH(Scan!A1993,Inventory!E:E,0)),"")</f>
        <v/>
      </c>
    </row>
    <row r="1994" spans="2:13" x14ac:dyDescent="0.3">
      <c r="B1994" t="str">
        <f>IF(IFERROR(VLOOKUP(TRIM(A1994),Inventory!E:E,1,0),0)=0,"X","_")</f>
        <v>_</v>
      </c>
      <c r="C1994" t="str">
        <f>IF(IFERROR(VLOOKUP(TRIM(A1994),'Full Inventory'!F:F,1,0),0)=0,"X","_")</f>
        <v>X</v>
      </c>
      <c r="D1994" t="str">
        <f t="shared" si="124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F1994" t="str">
        <f t="shared" si="125"/>
        <v>_</v>
      </c>
      <c r="K1994" t="str">
        <f t="shared" ca="1" si="126"/>
        <v>_XX_</v>
      </c>
      <c r="L1994" t="str">
        <f t="shared" ca="1" si="127"/>
        <v/>
      </c>
      <c r="M1994" t="str">
        <f>IFERROR(INDEX(Inventory!A:A,MATCH(Scan!A1994,Inventory!E:E,0)),"")</f>
        <v/>
      </c>
    </row>
    <row r="1995" spans="2:13" x14ac:dyDescent="0.3">
      <c r="B1995" t="str">
        <f>IF(IFERROR(VLOOKUP(TRIM(A1995),Inventory!E:E,1,0),0)=0,"X","_")</f>
        <v>_</v>
      </c>
      <c r="C1995" t="str">
        <f>IF(IFERROR(VLOOKUP(TRIM(A1995),'Full Inventory'!F:F,1,0),0)=0,"X","_")</f>
        <v>X</v>
      </c>
      <c r="D1995" t="str">
        <f t="shared" si="124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F1995" t="str">
        <f t="shared" si="125"/>
        <v>_</v>
      </c>
      <c r="K1995" t="str">
        <f t="shared" ca="1" si="126"/>
        <v>_XX_</v>
      </c>
      <c r="L1995" t="str">
        <f t="shared" ca="1" si="127"/>
        <v/>
      </c>
      <c r="M1995" t="str">
        <f>IFERROR(INDEX(Inventory!A:A,MATCH(Scan!A1995,Inventory!E:E,0)),"")</f>
        <v/>
      </c>
    </row>
    <row r="1996" spans="2:13" x14ac:dyDescent="0.3">
      <c r="B1996" t="str">
        <f>IF(IFERROR(VLOOKUP(TRIM(A1996),Inventory!E:E,1,0),0)=0,"X","_")</f>
        <v>_</v>
      </c>
      <c r="C1996" t="str">
        <f>IF(IFERROR(VLOOKUP(TRIM(A1996),'Full Inventory'!F:F,1,0),0)=0,"X","_")</f>
        <v>X</v>
      </c>
      <c r="D1996" t="str">
        <f t="shared" si="124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F1996" t="str">
        <f t="shared" si="125"/>
        <v>_</v>
      </c>
      <c r="K1996" t="str">
        <f t="shared" ca="1" si="126"/>
        <v>_XX_</v>
      </c>
      <c r="L1996" t="str">
        <f t="shared" ca="1" si="127"/>
        <v/>
      </c>
      <c r="M1996" t="str">
        <f>IFERROR(INDEX(Inventory!A:A,MATCH(Scan!A1996,Inventory!E:E,0)),"")</f>
        <v/>
      </c>
    </row>
    <row r="1997" spans="2:13" x14ac:dyDescent="0.3">
      <c r="B1997" t="str">
        <f>IF(IFERROR(VLOOKUP(TRIM(A1997),Inventory!E:E,1,0),0)=0,"X","_")</f>
        <v>_</v>
      </c>
      <c r="C1997" t="str">
        <f>IF(IFERROR(VLOOKUP(TRIM(A1997),'Full Inventory'!F:F,1,0),0)=0,"X","_")</f>
        <v>X</v>
      </c>
      <c r="D1997" t="str">
        <f t="shared" si="124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F1997" t="str">
        <f t="shared" si="125"/>
        <v>_</v>
      </c>
      <c r="K1997" t="str">
        <f t="shared" ca="1" si="126"/>
        <v>_XX_</v>
      </c>
      <c r="L1997" t="str">
        <f t="shared" ca="1" si="127"/>
        <v/>
      </c>
      <c r="M1997" t="str">
        <f>IFERROR(INDEX(Inventory!A:A,MATCH(Scan!A1997,Inventory!E:E,0)),"")</f>
        <v/>
      </c>
    </row>
    <row r="1998" spans="2:13" x14ac:dyDescent="0.3">
      <c r="B1998" t="str">
        <f>IF(IFERROR(VLOOKUP(TRIM(A1998),Inventory!E:E,1,0),0)=0,"X","_")</f>
        <v>_</v>
      </c>
      <c r="C1998" t="str">
        <f>IF(IFERROR(VLOOKUP(TRIM(A1998),'Full Inventory'!F:F,1,0),0)=0,"X","_")</f>
        <v>X</v>
      </c>
      <c r="D1998" t="str">
        <f t="shared" si="124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F1998" t="str">
        <f t="shared" si="125"/>
        <v>_</v>
      </c>
      <c r="K1998" t="str">
        <f t="shared" ca="1" si="126"/>
        <v>_XX_</v>
      </c>
      <c r="L1998" t="str">
        <f t="shared" ca="1" si="127"/>
        <v/>
      </c>
      <c r="M1998" t="str">
        <f>IFERROR(INDEX(Inventory!A:A,MATCH(Scan!A1998,Inventory!E:E,0)),"")</f>
        <v/>
      </c>
    </row>
    <row r="1999" spans="2:13" x14ac:dyDescent="0.3">
      <c r="B1999" t="str">
        <f>IF(IFERROR(VLOOKUP(TRIM(A1999),Inventory!E:E,1,0),0)=0,"X","_")</f>
        <v>_</v>
      </c>
      <c r="C1999" t="str">
        <f>IF(IFERROR(VLOOKUP(TRIM(A1999),'Full Inventory'!F:F,1,0),0)=0,"X","_")</f>
        <v>X</v>
      </c>
      <c r="D1999" t="str">
        <f t="shared" si="124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F1999" t="str">
        <f t="shared" si="125"/>
        <v>_</v>
      </c>
      <c r="K1999" t="str">
        <f t="shared" ca="1" si="126"/>
        <v>_XX_</v>
      </c>
      <c r="L1999" t="str">
        <f t="shared" ca="1" si="127"/>
        <v/>
      </c>
      <c r="M1999" t="str">
        <f>IFERROR(INDEX(Inventory!A:A,MATCH(Scan!A1999,Inventory!E:E,0)),"")</f>
        <v/>
      </c>
    </row>
    <row r="2000" spans="2:13" x14ac:dyDescent="0.3">
      <c r="B2000" t="str">
        <f>IF(IFERROR(VLOOKUP(TRIM(A2000),Inventory!E:E,1,0),0)=0,"X","_")</f>
        <v>_</v>
      </c>
      <c r="C2000" t="str">
        <f>IF(IFERROR(VLOOKUP(TRIM(A2000),'Full Inventory'!F:F,1,0),0)=0,"X","_")</f>
        <v>X</v>
      </c>
      <c r="D2000" t="str">
        <f t="shared" si="124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F2000" t="str">
        <f t="shared" si="125"/>
        <v>_</v>
      </c>
      <c r="K2000" t="str">
        <f t="shared" ca="1" si="126"/>
        <v>_XX_</v>
      </c>
      <c r="L2000" t="str">
        <f t="shared" ca="1" si="127"/>
        <v/>
      </c>
      <c r="M2000" t="str">
        <f>IFERROR(INDEX(Inventory!A:A,MATCH(Scan!A2000,Inventory!E:E,0)),"")</f>
        <v/>
      </c>
    </row>
  </sheetData>
  <sheetProtection algorithmName="SHA-512" hashValue="Nhddnrx7zlmFukhgg2oVuryxbIxZG8dp1IS3NpIpruEFBYKnRdMGGHl8j4wsPRzP6ILCcKk9nMdUdLzT0g27pg==" saltValue="Dul8E/Srs0BjxXnn+iddAw==" spinCount="100000" sheet="1" objects="1" scenarios="1"/>
  <conditionalFormatting sqref="A1">
    <cfRule type="duplicateValues" dxfId="85" priority="16"/>
  </conditionalFormatting>
  <conditionalFormatting sqref="A1 A20:A43 A102:A108 A110:A1048576">
    <cfRule type="duplicateValues" dxfId="84" priority="14"/>
  </conditionalFormatting>
  <conditionalFormatting sqref="A8:A19">
    <cfRule type="duplicateValues" dxfId="83" priority="12"/>
  </conditionalFormatting>
  <conditionalFormatting sqref="L2:L2000">
    <cfRule type="beginsWith" dxfId="82" priority="9" operator="beginsWith" text="NOT IN FULL INVENTORY">
      <formula>LEFT(L2,LEN("NOT IN FULL INVENTORY"))="NOT IN FULL INVENTORY"</formula>
    </cfRule>
  </conditionalFormatting>
  <conditionalFormatting sqref="L2:L2000">
    <cfRule type="beginsWith" dxfId="81" priority="8" stopIfTrue="1" operator="beginsWith" text="NOT IN INVENTORY">
      <formula>LEFT(L2,LEN("NOT IN INVENTORY"))="NOT IN INVENTORY"</formula>
    </cfRule>
  </conditionalFormatting>
  <conditionalFormatting sqref="L2:L2000">
    <cfRule type="endsWith" dxfId="80" priority="7" stopIfTrue="1" operator="endsWith" text="AND INVENTORY">
      <formula>RIGHT(L2,LEN("AND INVENTORY"))="AND INVENTORY"</formula>
    </cfRule>
  </conditionalFormatting>
  <conditionalFormatting sqref="L2:L2000">
    <cfRule type="beginsWith" dxfId="79" priority="6" operator="beginsWith" text="OK">
      <formula>LEFT(L2,LEN("OK"))="OK"</formula>
    </cfRule>
  </conditionalFormatting>
  <conditionalFormatting sqref="A2:A7">
    <cfRule type="duplicateValues" dxfId="78" priority="5"/>
  </conditionalFormatting>
  <conditionalFormatting sqref="A62:A101">
    <cfRule type="duplicateValues" dxfId="77" priority="4"/>
  </conditionalFormatting>
  <conditionalFormatting sqref="A44:A61">
    <cfRule type="duplicateValues" dxfId="76" priority="3"/>
  </conditionalFormatting>
  <conditionalFormatting sqref="A109">
    <cfRule type="duplicateValues" dxfId="75" priority="2"/>
  </conditionalFormatting>
  <conditionalFormatting sqref="A1:A1048576">
    <cfRule type="containsText" dxfId="74" priority="1" operator="containsText" text="Ö">
      <formula>NOT(ISERROR(SEARCH("Ö",A1)))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K500"/>
  <sheetViews>
    <sheetView workbookViewId="0">
      <pane ySplit="1" topLeftCell="A140" activePane="bottomLeft" state="frozen"/>
      <selection pane="bottomLeft" activeCell="E148" sqref="E148"/>
    </sheetView>
  </sheetViews>
  <sheetFormatPr defaultColWidth="8.88671875" defaultRowHeight="14.4" x14ac:dyDescent="0.3"/>
  <cols>
    <col min="1" max="1" width="64.44140625" bestFit="1" customWidth="1"/>
    <col min="2" max="2" width="16.6640625" bestFit="1" customWidth="1"/>
    <col min="3" max="3" width="13.88671875" bestFit="1" customWidth="1"/>
    <col min="4" max="4" width="26.88671875" bestFit="1" customWidth="1"/>
    <col min="5" max="5" width="17.109375" style="3" bestFit="1" customWidth="1"/>
    <col min="6" max="6" width="8.6640625" bestFit="1" customWidth="1"/>
    <col min="7" max="7" width="26.44140625" bestFit="1" customWidth="1"/>
    <col min="8" max="8" width="19.44140625" bestFit="1" customWidth="1"/>
    <col min="9" max="9" width="19.44140625" customWidth="1"/>
    <col min="10" max="10" width="14.33203125" bestFit="1" customWidth="1"/>
    <col min="11" max="11" width="22.88671875" customWidth="1"/>
  </cols>
  <sheetData>
    <row r="1" spans="1:11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234</v>
      </c>
      <c r="J1" s="7" t="s">
        <v>225</v>
      </c>
      <c r="K1" s="8" t="str">
        <f>"Not scanned: " &amp;COUNTIF(J:J,"Not scanned")</f>
        <v>Not scanned: 59</v>
      </c>
    </row>
    <row r="2" spans="1:11" s="2" customFormat="1" x14ac:dyDescent="0.3">
      <c r="A2" s="2" t="s">
        <v>9</v>
      </c>
      <c r="B2" s="2" t="s">
        <v>10</v>
      </c>
      <c r="C2" s="2" t="s">
        <v>11</v>
      </c>
      <c r="D2" s="2" t="s">
        <v>11</v>
      </c>
      <c r="E2" s="23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3">
      <c r="A3" s="2" t="s">
        <v>12</v>
      </c>
      <c r="B3" s="2" t="s">
        <v>13</v>
      </c>
      <c r="C3" s="2" t="s">
        <v>14</v>
      </c>
      <c r="D3" s="2" t="s">
        <v>15</v>
      </c>
      <c r="E3" s="23" t="s">
        <v>544</v>
      </c>
      <c r="F3" s="2">
        <v>1</v>
      </c>
      <c r="G3" s="2" t="s">
        <v>9</v>
      </c>
      <c r="H3" s="2" t="s">
        <v>545</v>
      </c>
      <c r="I3" s="2" t="str">
        <f t="shared" si="0"/>
        <v>YES</v>
      </c>
      <c r="J3" s="2" t="str">
        <f>IF(I3="YES",IFERROR(VLOOKUP(E3,Scan!A:A,1,0),"Not scanned"),"")</f>
        <v>CZJ8510C1C</v>
      </c>
    </row>
    <row r="4" spans="1:11" s="2" customFormat="1" x14ac:dyDescent="0.3">
      <c r="A4" s="2" t="s">
        <v>17</v>
      </c>
      <c r="B4" s="2" t="s">
        <v>18</v>
      </c>
      <c r="C4" s="2" t="s">
        <v>14</v>
      </c>
      <c r="D4" s="2" t="s">
        <v>19</v>
      </c>
      <c r="E4" s="23" t="s">
        <v>546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7CR841N1WK</v>
      </c>
    </row>
    <row r="5" spans="1:11" s="2" customFormat="1" x14ac:dyDescent="0.3">
      <c r="A5" s="2" t="s">
        <v>17</v>
      </c>
      <c r="B5" s="2" t="s">
        <v>18</v>
      </c>
      <c r="C5" s="2" t="s">
        <v>14</v>
      </c>
      <c r="D5" s="2" t="s">
        <v>19</v>
      </c>
      <c r="E5" s="23" t="s">
        <v>547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7CR841N1WL</v>
      </c>
    </row>
    <row r="6" spans="1:11" s="2" customFormat="1" x14ac:dyDescent="0.3">
      <c r="A6" s="2" t="s">
        <v>20</v>
      </c>
      <c r="B6" s="2" t="s">
        <v>18</v>
      </c>
      <c r="C6" s="2" t="s">
        <v>14</v>
      </c>
      <c r="D6" s="2" t="s">
        <v>21</v>
      </c>
      <c r="E6" s="23" t="s">
        <v>548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MY883701S8</v>
      </c>
    </row>
    <row r="7" spans="1:11" s="2" customFormat="1" x14ac:dyDescent="0.3">
      <c r="A7" s="2" t="s">
        <v>20</v>
      </c>
      <c r="B7" s="2" t="s">
        <v>18</v>
      </c>
      <c r="C7" s="2" t="s">
        <v>14</v>
      </c>
      <c r="D7" s="2" t="s">
        <v>21</v>
      </c>
      <c r="E7" s="23" t="s">
        <v>549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MY883701UL</v>
      </c>
    </row>
    <row r="8" spans="1:11" s="2" customFormat="1" x14ac:dyDescent="0.3">
      <c r="A8" s="2" t="s">
        <v>12</v>
      </c>
      <c r="B8" s="2" t="s">
        <v>13</v>
      </c>
      <c r="C8" s="2" t="s">
        <v>14</v>
      </c>
      <c r="D8" s="2" t="s">
        <v>15</v>
      </c>
      <c r="E8" s="23" t="s">
        <v>550</v>
      </c>
      <c r="F8" s="2">
        <v>1</v>
      </c>
      <c r="G8" s="2" t="s">
        <v>9</v>
      </c>
      <c r="H8" s="2" t="s">
        <v>551</v>
      </c>
      <c r="I8" s="2" t="str">
        <f t="shared" si="0"/>
        <v>YES</v>
      </c>
      <c r="J8" s="2" t="str">
        <f>IF(I8="YES",IFERROR(VLOOKUP(E8,Scan!A:A,1,0),"Not scanned"),"")</f>
        <v>CZJ8510C1M</v>
      </c>
    </row>
    <row r="9" spans="1:11" s="2" customFormat="1" x14ac:dyDescent="0.3">
      <c r="A9" s="2" t="s">
        <v>17</v>
      </c>
      <c r="B9" s="2" t="s">
        <v>18</v>
      </c>
      <c r="C9" s="2" t="s">
        <v>14</v>
      </c>
      <c r="D9" s="2" t="s">
        <v>19</v>
      </c>
      <c r="E9" s="23" t="s">
        <v>552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7CR841N0NX</v>
      </c>
    </row>
    <row r="10" spans="1:11" s="2" customFormat="1" x14ac:dyDescent="0.3">
      <c r="A10" s="2" t="s">
        <v>17</v>
      </c>
      <c r="B10" s="2" t="s">
        <v>18</v>
      </c>
      <c r="C10" s="2" t="s">
        <v>14</v>
      </c>
      <c r="D10" s="2" t="s">
        <v>19</v>
      </c>
      <c r="E10" s="23" t="s">
        <v>553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7CR841N1W6</v>
      </c>
    </row>
    <row r="11" spans="1:11" s="2" customFormat="1" x14ac:dyDescent="0.3">
      <c r="A11" s="2" t="s">
        <v>20</v>
      </c>
      <c r="B11" s="2" t="s">
        <v>18</v>
      </c>
      <c r="C11" s="2" t="s">
        <v>14</v>
      </c>
      <c r="D11" s="2" t="s">
        <v>21</v>
      </c>
      <c r="E11" s="23" t="s">
        <v>554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MY883701RX</v>
      </c>
    </row>
    <row r="12" spans="1:11" s="2" customFormat="1" x14ac:dyDescent="0.3">
      <c r="A12" s="2" t="s">
        <v>20</v>
      </c>
      <c r="B12" s="2" t="s">
        <v>18</v>
      </c>
      <c r="C12" s="2" t="s">
        <v>14</v>
      </c>
      <c r="D12" s="2" t="s">
        <v>21</v>
      </c>
      <c r="E12" s="23" t="s">
        <v>555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MY883701UH</v>
      </c>
    </row>
    <row r="13" spans="1:11" s="2" customFormat="1" x14ac:dyDescent="0.3">
      <c r="A13" s="2" t="s">
        <v>23</v>
      </c>
      <c r="B13" s="2" t="s">
        <v>24</v>
      </c>
      <c r="C13" s="2" t="s">
        <v>25</v>
      </c>
      <c r="D13" s="2" t="s">
        <v>26</v>
      </c>
      <c r="E13" s="23" t="s">
        <v>556</v>
      </c>
      <c r="F13" s="2">
        <v>1</v>
      </c>
      <c r="G13" s="2" t="s">
        <v>9</v>
      </c>
      <c r="H13" s="2" t="s">
        <v>557</v>
      </c>
      <c r="I13" s="2" t="str">
        <f t="shared" si="0"/>
        <v>YES</v>
      </c>
      <c r="J13" s="2" t="str">
        <f>IF(I13="YES",IFERROR(VLOOKUP(E13,Scan!A:A,1,0),"Not scanned"),"")</f>
        <v>FCW2247D0AC</v>
      </c>
    </row>
    <row r="14" spans="1:11" s="2" customFormat="1" x14ac:dyDescent="0.3">
      <c r="A14" s="2" t="s">
        <v>28</v>
      </c>
      <c r="B14" s="2" t="s">
        <v>18</v>
      </c>
      <c r="C14" s="2" t="s">
        <v>25</v>
      </c>
      <c r="D14" s="2" t="s">
        <v>29</v>
      </c>
      <c r="E14" s="23" t="s">
        <v>1039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Not scanned</v>
      </c>
    </row>
    <row r="15" spans="1:11" s="2" customFormat="1" x14ac:dyDescent="0.3">
      <c r="A15" s="2" t="s">
        <v>28</v>
      </c>
      <c r="B15" s="2" t="s">
        <v>18</v>
      </c>
      <c r="C15" s="2" t="s">
        <v>25</v>
      </c>
      <c r="D15" s="2" t="s">
        <v>29</v>
      </c>
      <c r="E15" s="23" t="s">
        <v>1040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Not scanned</v>
      </c>
    </row>
    <row r="16" spans="1:11" s="2" customFormat="1" x14ac:dyDescent="0.3">
      <c r="A16" s="2" t="s">
        <v>28</v>
      </c>
      <c r="B16" s="2" t="s">
        <v>18</v>
      </c>
      <c r="C16" s="2" t="s">
        <v>25</v>
      </c>
      <c r="D16" s="2" t="s">
        <v>29</v>
      </c>
      <c r="E16" s="23" t="s">
        <v>1041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Not scanned</v>
      </c>
    </row>
    <row r="17" spans="1:10" s="2" customFormat="1" x14ac:dyDescent="0.3">
      <c r="A17" s="2" t="s">
        <v>28</v>
      </c>
      <c r="B17" s="2" t="s">
        <v>18</v>
      </c>
      <c r="C17" s="2" t="s">
        <v>25</v>
      </c>
      <c r="D17" s="2" t="s">
        <v>29</v>
      </c>
      <c r="E17" s="23" t="s">
        <v>1042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Not scanned</v>
      </c>
    </row>
    <row r="18" spans="1:10" s="2" customFormat="1" x14ac:dyDescent="0.3">
      <c r="A18" s="2" t="s">
        <v>28</v>
      </c>
      <c r="B18" s="2" t="s">
        <v>18</v>
      </c>
      <c r="C18" s="2" t="s">
        <v>25</v>
      </c>
      <c r="D18" s="2" t="s">
        <v>29</v>
      </c>
      <c r="E18" s="23" t="s">
        <v>1043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Not scanned</v>
      </c>
    </row>
    <row r="19" spans="1:10" s="2" customFormat="1" x14ac:dyDescent="0.3">
      <c r="A19" s="2" t="s">
        <v>30</v>
      </c>
      <c r="B19" s="2" t="s">
        <v>18</v>
      </c>
      <c r="C19" s="2" t="s">
        <v>25</v>
      </c>
      <c r="D19" s="2" t="s">
        <v>31</v>
      </c>
      <c r="E19" s="23" t="s">
        <v>1044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Not scanned</v>
      </c>
    </row>
    <row r="20" spans="1:10" s="2" customFormat="1" x14ac:dyDescent="0.3">
      <c r="A20" s="2" t="s">
        <v>30</v>
      </c>
      <c r="B20" s="2" t="s">
        <v>18</v>
      </c>
      <c r="C20" s="2" t="s">
        <v>25</v>
      </c>
      <c r="D20" s="2" t="s">
        <v>31</v>
      </c>
      <c r="E20" s="23" t="s">
        <v>1045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Not scanned</v>
      </c>
    </row>
    <row r="21" spans="1:10" s="2" customFormat="1" x14ac:dyDescent="0.3">
      <c r="A21" s="2" t="s">
        <v>30</v>
      </c>
      <c r="B21" s="2" t="s">
        <v>18</v>
      </c>
      <c r="C21" s="2" t="s">
        <v>25</v>
      </c>
      <c r="D21" s="2" t="s">
        <v>31</v>
      </c>
      <c r="E21" s="23" t="s">
        <v>1046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Not scanned</v>
      </c>
    </row>
    <row r="22" spans="1:10" s="2" customFormat="1" x14ac:dyDescent="0.3">
      <c r="A22" s="2" t="s">
        <v>32</v>
      </c>
      <c r="B22" s="2" t="s">
        <v>18</v>
      </c>
      <c r="C22" s="2" t="s">
        <v>25</v>
      </c>
      <c r="D22" s="2" t="s">
        <v>33</v>
      </c>
      <c r="E22" s="23" t="s">
        <v>1047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Not scanned</v>
      </c>
    </row>
    <row r="23" spans="1:10" s="2" customFormat="1" x14ac:dyDescent="0.3">
      <c r="A23" s="2" t="s">
        <v>32</v>
      </c>
      <c r="B23" s="2" t="s">
        <v>18</v>
      </c>
      <c r="C23" s="2" t="s">
        <v>25</v>
      </c>
      <c r="D23" s="2" t="s">
        <v>33</v>
      </c>
      <c r="E23" s="23" t="s">
        <v>1048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Not scanned</v>
      </c>
    </row>
    <row r="24" spans="1:10" s="2" customFormat="1" x14ac:dyDescent="0.3">
      <c r="A24" s="2" t="s">
        <v>32</v>
      </c>
      <c r="B24" s="2" t="s">
        <v>18</v>
      </c>
      <c r="C24" s="2" t="s">
        <v>25</v>
      </c>
      <c r="D24" s="2" t="s">
        <v>33</v>
      </c>
      <c r="E24" s="23" t="s">
        <v>1049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Not scanned</v>
      </c>
    </row>
    <row r="25" spans="1:10" s="2" customFormat="1" x14ac:dyDescent="0.3">
      <c r="A25" s="2" t="s">
        <v>32</v>
      </c>
      <c r="B25" s="2" t="s">
        <v>18</v>
      </c>
      <c r="C25" s="2" t="s">
        <v>25</v>
      </c>
      <c r="D25" s="2" t="s">
        <v>33</v>
      </c>
      <c r="E25" s="23" t="s">
        <v>1050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Not scanned</v>
      </c>
    </row>
    <row r="26" spans="1:10" s="2" customFormat="1" x14ac:dyDescent="0.3">
      <c r="A26" s="2" t="s">
        <v>23</v>
      </c>
      <c r="B26" s="2" t="s">
        <v>24</v>
      </c>
      <c r="C26" s="2" t="s">
        <v>25</v>
      </c>
      <c r="D26" s="2" t="s">
        <v>26</v>
      </c>
      <c r="E26" s="23" t="s">
        <v>558</v>
      </c>
      <c r="F26" s="2">
        <v>1</v>
      </c>
      <c r="G26" s="2" t="s">
        <v>9</v>
      </c>
      <c r="H26" s="2" t="s">
        <v>559</v>
      </c>
      <c r="I26" s="2" t="str">
        <f t="shared" si="0"/>
        <v>YES</v>
      </c>
      <c r="J26" s="2" t="str">
        <f>IF(I26="YES",IFERROR(VLOOKUP(E26,Scan!A:A,1,0),"Not scanned"),"")</f>
        <v>FOC2247X096</v>
      </c>
    </row>
    <row r="27" spans="1:10" s="2" customFormat="1" x14ac:dyDescent="0.3">
      <c r="A27" s="2" t="s">
        <v>28</v>
      </c>
      <c r="B27" s="2" t="s">
        <v>18</v>
      </c>
      <c r="C27" s="2" t="s">
        <v>25</v>
      </c>
      <c r="D27" s="2" t="s">
        <v>29</v>
      </c>
      <c r="E27" s="23" t="s">
        <v>1051</v>
      </c>
      <c r="F27" s="2">
        <v>1</v>
      </c>
      <c r="G27" s="2" t="s">
        <v>11</v>
      </c>
      <c r="H27" s="2" t="s">
        <v>11</v>
      </c>
      <c r="I27" s="2" t="str">
        <f t="shared" si="0"/>
        <v>YES</v>
      </c>
      <c r="J27" s="2" t="str">
        <f>IF(I27="YES",IFERROR(VLOOKUP(E27,Scan!A:A,1,0),"Not scanned"),"")</f>
        <v>Not scanned</v>
      </c>
    </row>
    <row r="28" spans="1:10" s="2" customFormat="1" x14ac:dyDescent="0.3">
      <c r="A28" s="2" t="s">
        <v>28</v>
      </c>
      <c r="B28" s="2" t="s">
        <v>18</v>
      </c>
      <c r="C28" s="2" t="s">
        <v>25</v>
      </c>
      <c r="D28" s="2" t="s">
        <v>29</v>
      </c>
      <c r="E28" s="23" t="s">
        <v>1052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Not scanned</v>
      </c>
    </row>
    <row r="29" spans="1:10" s="2" customFormat="1" x14ac:dyDescent="0.3">
      <c r="A29" s="2" t="s">
        <v>28</v>
      </c>
      <c r="B29" s="2" t="s">
        <v>18</v>
      </c>
      <c r="C29" s="2" t="s">
        <v>25</v>
      </c>
      <c r="D29" s="2" t="s">
        <v>29</v>
      </c>
      <c r="E29" s="23" t="s">
        <v>1053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3">
      <c r="A30" s="2" t="s">
        <v>28</v>
      </c>
      <c r="B30" s="2" t="s">
        <v>18</v>
      </c>
      <c r="C30" s="2" t="s">
        <v>25</v>
      </c>
      <c r="D30" s="2" t="s">
        <v>29</v>
      </c>
      <c r="E30" s="23" t="s">
        <v>1054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3">
      <c r="A31" s="2" t="s">
        <v>28</v>
      </c>
      <c r="B31" s="2" t="s">
        <v>18</v>
      </c>
      <c r="C31" s="2" t="s">
        <v>25</v>
      </c>
      <c r="D31" s="2" t="s">
        <v>29</v>
      </c>
      <c r="E31" s="23" t="s">
        <v>1055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3">
      <c r="A32" s="2" t="s">
        <v>30</v>
      </c>
      <c r="B32" s="2" t="s">
        <v>18</v>
      </c>
      <c r="C32" s="2" t="s">
        <v>25</v>
      </c>
      <c r="D32" s="2" t="s">
        <v>31</v>
      </c>
      <c r="E32" s="23" t="s">
        <v>1056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3">
      <c r="A33" s="2" t="s">
        <v>30</v>
      </c>
      <c r="B33" s="2" t="s">
        <v>18</v>
      </c>
      <c r="C33" s="2" t="s">
        <v>25</v>
      </c>
      <c r="D33" s="2" t="s">
        <v>31</v>
      </c>
      <c r="E33" s="23" t="s">
        <v>1057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3">
      <c r="A34" s="2" t="s">
        <v>30</v>
      </c>
      <c r="B34" s="2" t="s">
        <v>18</v>
      </c>
      <c r="C34" s="2" t="s">
        <v>25</v>
      </c>
      <c r="D34" s="2" t="s">
        <v>31</v>
      </c>
      <c r="E34" s="23" t="s">
        <v>1058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3">
      <c r="A35" s="2" t="s">
        <v>32</v>
      </c>
      <c r="B35" s="2" t="s">
        <v>18</v>
      </c>
      <c r="C35" s="2" t="s">
        <v>25</v>
      </c>
      <c r="D35" s="2" t="s">
        <v>33</v>
      </c>
      <c r="E35" s="23" t="s">
        <v>1059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3">
      <c r="A36" s="2" t="s">
        <v>32</v>
      </c>
      <c r="B36" s="2" t="s">
        <v>18</v>
      </c>
      <c r="C36" s="2" t="s">
        <v>25</v>
      </c>
      <c r="D36" s="2" t="s">
        <v>33</v>
      </c>
      <c r="E36" s="23" t="s">
        <v>1060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3">
      <c r="A37" s="2" t="s">
        <v>32</v>
      </c>
      <c r="B37" s="2" t="s">
        <v>18</v>
      </c>
      <c r="C37" s="2" t="s">
        <v>25</v>
      </c>
      <c r="D37" s="2" t="s">
        <v>33</v>
      </c>
      <c r="E37" s="23" t="s">
        <v>1061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3">
      <c r="A38" s="2" t="s">
        <v>32</v>
      </c>
      <c r="B38" s="2" t="s">
        <v>18</v>
      </c>
      <c r="C38" s="2" t="s">
        <v>25</v>
      </c>
      <c r="D38" s="2" t="s">
        <v>33</v>
      </c>
      <c r="E38" s="23" t="s">
        <v>1062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3">
      <c r="A39" s="2" t="s">
        <v>35</v>
      </c>
      <c r="B39" s="2" t="s">
        <v>10</v>
      </c>
      <c r="C39" s="2" t="s">
        <v>11</v>
      </c>
      <c r="D39" s="2" t="s">
        <v>11</v>
      </c>
      <c r="E39" s="23" t="s">
        <v>11</v>
      </c>
      <c r="F39" s="2">
        <v>1</v>
      </c>
      <c r="G39" s="2" t="s">
        <v>35</v>
      </c>
      <c r="H39" s="2" t="s">
        <v>11</v>
      </c>
      <c r="I39" s="2" t="str">
        <f t="shared" si="0"/>
        <v>NO</v>
      </c>
      <c r="J39" s="2" t="str">
        <f>IF(I39="YES",IFERROR(VLOOKUP(E39,Scan!A:A,1,0),"Not scanned"),"")</f>
        <v/>
      </c>
    </row>
    <row r="40" spans="1:10" s="2" customFormat="1" x14ac:dyDescent="0.3">
      <c r="A40" s="2" t="s">
        <v>12</v>
      </c>
      <c r="B40" s="2" t="s">
        <v>13</v>
      </c>
      <c r="C40" s="2" t="s">
        <v>14</v>
      </c>
      <c r="D40" s="2" t="s">
        <v>15</v>
      </c>
      <c r="E40" s="23" t="s">
        <v>560</v>
      </c>
      <c r="F40" s="2">
        <v>1</v>
      </c>
      <c r="G40" s="2" t="s">
        <v>35</v>
      </c>
      <c r="H40" s="2" t="s">
        <v>561</v>
      </c>
      <c r="I40" s="2" t="str">
        <f t="shared" si="0"/>
        <v>YES</v>
      </c>
      <c r="J40" s="2" t="str">
        <f>IF(I40="YES",IFERROR(VLOOKUP(E40,Scan!A:A,1,0),"Not scanned"),"")</f>
        <v>CZJ8510C11</v>
      </c>
    </row>
    <row r="41" spans="1:10" s="2" customFormat="1" x14ac:dyDescent="0.3">
      <c r="A41" s="2" t="s">
        <v>17</v>
      </c>
      <c r="B41" s="2" t="s">
        <v>18</v>
      </c>
      <c r="C41" s="2" t="s">
        <v>14</v>
      </c>
      <c r="D41" s="2" t="s">
        <v>19</v>
      </c>
      <c r="E41" s="23" t="s">
        <v>562</v>
      </c>
      <c r="F41" s="2">
        <v>1</v>
      </c>
      <c r="G41" s="2" t="s">
        <v>11</v>
      </c>
      <c r="H41" s="2" t="s">
        <v>11</v>
      </c>
      <c r="I41" s="2" t="str">
        <f t="shared" si="0"/>
        <v>YES</v>
      </c>
      <c r="J41" s="2" t="str">
        <f>IF(I41="YES",IFERROR(VLOOKUP(E41,Scan!A:A,1,0),"Not scanned"),"")</f>
        <v>7CR841N1UB</v>
      </c>
    </row>
    <row r="42" spans="1:10" s="2" customFormat="1" x14ac:dyDescent="0.3">
      <c r="A42" s="2" t="s">
        <v>17</v>
      </c>
      <c r="B42" s="2" t="s">
        <v>18</v>
      </c>
      <c r="C42" s="2" t="s">
        <v>14</v>
      </c>
      <c r="D42" s="2" t="s">
        <v>19</v>
      </c>
      <c r="E42" s="23" t="s">
        <v>563</v>
      </c>
      <c r="F42" s="2">
        <v>1</v>
      </c>
      <c r="G42" s="2" t="s">
        <v>11</v>
      </c>
      <c r="H42" s="2" t="s">
        <v>11</v>
      </c>
      <c r="I42" s="2" t="str">
        <f t="shared" si="0"/>
        <v>YES</v>
      </c>
      <c r="J42" s="2" t="str">
        <f>IF(I42="YES",IFERROR(VLOOKUP(E42,Scan!A:A,1,0),"Not scanned"),"")</f>
        <v>7CR841N1VW</v>
      </c>
    </row>
    <row r="43" spans="1:10" s="2" customFormat="1" x14ac:dyDescent="0.3">
      <c r="A43" s="2" t="s">
        <v>20</v>
      </c>
      <c r="B43" s="2" t="s">
        <v>18</v>
      </c>
      <c r="C43" s="2" t="s">
        <v>14</v>
      </c>
      <c r="D43" s="2" t="s">
        <v>21</v>
      </c>
      <c r="E43" s="23" t="s">
        <v>564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MY883701UC</v>
      </c>
    </row>
    <row r="44" spans="1:10" s="2" customFormat="1" x14ac:dyDescent="0.3">
      <c r="A44" s="2" t="s">
        <v>20</v>
      </c>
      <c r="B44" s="2" t="s">
        <v>18</v>
      </c>
      <c r="C44" s="2" t="s">
        <v>14</v>
      </c>
      <c r="D44" s="2" t="s">
        <v>21</v>
      </c>
      <c r="E44" s="23" t="s">
        <v>565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MY883701UD</v>
      </c>
    </row>
    <row r="45" spans="1:10" s="2" customFormat="1" x14ac:dyDescent="0.3">
      <c r="A45" s="2" t="s">
        <v>12</v>
      </c>
      <c r="B45" s="2" t="s">
        <v>13</v>
      </c>
      <c r="C45" s="2" t="s">
        <v>14</v>
      </c>
      <c r="D45" s="2" t="s">
        <v>15</v>
      </c>
      <c r="E45" s="23" t="s">
        <v>566</v>
      </c>
      <c r="F45" s="2">
        <v>1</v>
      </c>
      <c r="G45" s="2" t="s">
        <v>35</v>
      </c>
      <c r="H45" s="2" t="s">
        <v>567</v>
      </c>
      <c r="I45" s="2" t="str">
        <f t="shared" si="0"/>
        <v>YES</v>
      </c>
      <c r="J45" s="2" t="str">
        <f>IF(I45="YES",IFERROR(VLOOKUP(E45,Scan!A:A,1,0),"Not scanned"),"")</f>
        <v>CZJ8510C17</v>
      </c>
    </row>
    <row r="46" spans="1:10" s="2" customFormat="1" x14ac:dyDescent="0.3">
      <c r="A46" s="2" t="s">
        <v>17</v>
      </c>
      <c r="B46" s="2" t="s">
        <v>18</v>
      </c>
      <c r="C46" s="2" t="s">
        <v>14</v>
      </c>
      <c r="D46" s="2" t="s">
        <v>19</v>
      </c>
      <c r="E46" s="23" t="s">
        <v>568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7CR841N1VZ</v>
      </c>
    </row>
    <row r="47" spans="1:10" s="2" customFormat="1" x14ac:dyDescent="0.3">
      <c r="A47" s="2" t="s">
        <v>17</v>
      </c>
      <c r="B47" s="2" t="s">
        <v>18</v>
      </c>
      <c r="C47" s="2" t="s">
        <v>14</v>
      </c>
      <c r="D47" s="2" t="s">
        <v>19</v>
      </c>
      <c r="E47" s="23" t="s">
        <v>569</v>
      </c>
      <c r="F47" s="2">
        <v>1</v>
      </c>
      <c r="G47" s="2" t="s">
        <v>11</v>
      </c>
      <c r="H47" s="2" t="s">
        <v>11</v>
      </c>
      <c r="I47" s="2" t="str">
        <f t="shared" si="0"/>
        <v>YES</v>
      </c>
      <c r="J47" s="2" t="str">
        <f>IF(I47="YES",IFERROR(VLOOKUP(E47,Scan!A:A,1,0),"Not scanned"),"")</f>
        <v>7CR841N1WH</v>
      </c>
    </row>
    <row r="48" spans="1:10" s="2" customFormat="1" x14ac:dyDescent="0.3">
      <c r="A48" s="2" t="s">
        <v>20</v>
      </c>
      <c r="B48" s="2" t="s">
        <v>18</v>
      </c>
      <c r="C48" s="2" t="s">
        <v>14</v>
      </c>
      <c r="D48" s="2" t="s">
        <v>21</v>
      </c>
      <c r="E48" s="23" t="s">
        <v>570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MY884805UV</v>
      </c>
    </row>
    <row r="49" spans="1:10" s="2" customFormat="1" x14ac:dyDescent="0.3">
      <c r="A49" s="2" t="s">
        <v>20</v>
      </c>
      <c r="B49" s="2" t="s">
        <v>18</v>
      </c>
      <c r="C49" s="2" t="s">
        <v>14</v>
      </c>
      <c r="D49" s="2" t="s">
        <v>21</v>
      </c>
      <c r="E49" s="23" t="s">
        <v>571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MY884805PC</v>
      </c>
    </row>
    <row r="50" spans="1:10" s="2" customFormat="1" x14ac:dyDescent="0.3">
      <c r="A50" s="2" t="s">
        <v>38</v>
      </c>
      <c r="B50" s="2" t="s">
        <v>39</v>
      </c>
      <c r="C50" s="2" t="s">
        <v>14</v>
      </c>
      <c r="D50" s="2" t="s">
        <v>572</v>
      </c>
      <c r="E50" s="23" t="s">
        <v>573</v>
      </c>
      <c r="F50" s="2">
        <v>1</v>
      </c>
      <c r="G50" s="2" t="s">
        <v>574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3">
      <c r="A51" s="2" t="s">
        <v>38</v>
      </c>
      <c r="B51" s="2" t="s">
        <v>39</v>
      </c>
      <c r="C51" s="2" t="s">
        <v>14</v>
      </c>
      <c r="D51" s="2" t="s">
        <v>572</v>
      </c>
      <c r="E51" s="23" t="s">
        <v>575</v>
      </c>
      <c r="F51" s="2">
        <v>1</v>
      </c>
      <c r="G51" s="2" t="s">
        <v>576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3">
      <c r="A52" s="2" t="s">
        <v>40</v>
      </c>
      <c r="B52" s="2" t="s">
        <v>41</v>
      </c>
      <c r="C52" s="2" t="s">
        <v>14</v>
      </c>
      <c r="D52" s="2" t="s">
        <v>42</v>
      </c>
      <c r="E52" s="23" t="s">
        <v>577</v>
      </c>
      <c r="F52" s="2">
        <v>1</v>
      </c>
      <c r="G52" s="2" t="s">
        <v>35</v>
      </c>
      <c r="H52" s="2" t="s">
        <v>578</v>
      </c>
      <c r="I52" s="2" t="str">
        <f t="shared" si="0"/>
        <v>YES</v>
      </c>
      <c r="J52" s="2" t="str">
        <f>IF(I52="YES",IFERROR(VLOOKUP(E52,Scan!A:A,1,0),"Not scanned"),"")</f>
        <v>2S6849B200</v>
      </c>
    </row>
    <row r="53" spans="1:10" s="2" customFormat="1" x14ac:dyDescent="0.3">
      <c r="A53" s="2" t="s">
        <v>44</v>
      </c>
      <c r="B53" s="2" t="s">
        <v>41</v>
      </c>
      <c r="C53" s="2" t="s">
        <v>14</v>
      </c>
      <c r="D53" s="2" t="s">
        <v>45</v>
      </c>
      <c r="E53" s="23" t="s">
        <v>579</v>
      </c>
      <c r="F53" s="2">
        <v>1</v>
      </c>
      <c r="G53" s="2" t="s">
        <v>11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7CE847M249</v>
      </c>
    </row>
    <row r="54" spans="1:10" s="2" customFormat="1" x14ac:dyDescent="0.3">
      <c r="A54" s="2" t="s">
        <v>44</v>
      </c>
      <c r="B54" s="2" t="s">
        <v>41</v>
      </c>
      <c r="C54" s="2" t="s">
        <v>14</v>
      </c>
      <c r="D54" s="2" t="s">
        <v>45</v>
      </c>
      <c r="E54" s="23" t="s">
        <v>580</v>
      </c>
      <c r="F54" s="2">
        <v>1</v>
      </c>
      <c r="G54" s="2" t="s">
        <v>11</v>
      </c>
      <c r="H54" s="2" t="s">
        <v>11</v>
      </c>
      <c r="I54" s="2" t="str">
        <f t="shared" si="0"/>
        <v>YES</v>
      </c>
      <c r="J54" s="2" t="str">
        <f>IF(I54="YES",IFERROR(VLOOKUP(E54,Scan!A:A,1,0),"Not scanned"),"")</f>
        <v>7CE847M256</v>
      </c>
    </row>
    <row r="55" spans="1:10" s="2" customFormat="1" x14ac:dyDescent="0.3">
      <c r="A55" s="2" t="s">
        <v>46</v>
      </c>
      <c r="B55" s="2" t="s">
        <v>39</v>
      </c>
      <c r="C55" s="2" t="s">
        <v>14</v>
      </c>
      <c r="D55" s="2" t="s">
        <v>47</v>
      </c>
      <c r="E55" s="23" t="s">
        <v>581</v>
      </c>
      <c r="F55" s="2">
        <v>1</v>
      </c>
      <c r="G55" s="2" t="s">
        <v>582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3">
      <c r="A56" s="2" t="s">
        <v>46</v>
      </c>
      <c r="B56" s="2" t="s">
        <v>39</v>
      </c>
      <c r="C56" s="2" t="s">
        <v>14</v>
      </c>
      <c r="D56" s="2" t="s">
        <v>47</v>
      </c>
      <c r="E56" s="23" t="s">
        <v>583</v>
      </c>
      <c r="F56" s="2">
        <v>1</v>
      </c>
      <c r="G56" s="2" t="s">
        <v>584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3">
      <c r="A57" s="2" t="s">
        <v>46</v>
      </c>
      <c r="B57" s="2" t="s">
        <v>39</v>
      </c>
      <c r="C57" s="2" t="s">
        <v>14</v>
      </c>
      <c r="D57" s="2" t="s">
        <v>47</v>
      </c>
      <c r="E57" s="23" t="s">
        <v>585</v>
      </c>
      <c r="F57" s="2">
        <v>1</v>
      </c>
      <c r="G57" s="2" t="s">
        <v>586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3">
      <c r="A58" s="2" t="s">
        <v>46</v>
      </c>
      <c r="B58" s="2" t="s">
        <v>39</v>
      </c>
      <c r="C58" s="2" t="s">
        <v>14</v>
      </c>
      <c r="D58" s="2" t="s">
        <v>47</v>
      </c>
      <c r="E58" s="23" t="s">
        <v>587</v>
      </c>
      <c r="F58" s="2">
        <v>1</v>
      </c>
      <c r="G58" s="2" t="s">
        <v>588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3">
      <c r="A59" s="2" t="s">
        <v>46</v>
      </c>
      <c r="B59" s="2" t="s">
        <v>39</v>
      </c>
      <c r="C59" s="2" t="s">
        <v>14</v>
      </c>
      <c r="D59" s="2" t="s">
        <v>47</v>
      </c>
      <c r="E59" s="23" t="s">
        <v>589</v>
      </c>
      <c r="F59" s="2">
        <v>1</v>
      </c>
      <c r="G59" s="2" t="s">
        <v>590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3">
      <c r="A60" s="2" t="s">
        <v>46</v>
      </c>
      <c r="B60" s="2" t="s">
        <v>39</v>
      </c>
      <c r="C60" s="2" t="s">
        <v>14</v>
      </c>
      <c r="D60" s="2" t="s">
        <v>47</v>
      </c>
      <c r="E60" s="23" t="s">
        <v>591</v>
      </c>
      <c r="F60" s="2">
        <v>1</v>
      </c>
      <c r="G60" s="2" t="s">
        <v>592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3">
      <c r="A61" s="2" t="s">
        <v>46</v>
      </c>
      <c r="B61" s="2" t="s">
        <v>39</v>
      </c>
      <c r="C61" s="2" t="s">
        <v>14</v>
      </c>
      <c r="D61" s="2" t="s">
        <v>47</v>
      </c>
      <c r="E61" s="23" t="s">
        <v>593</v>
      </c>
      <c r="F61" s="2">
        <v>1</v>
      </c>
      <c r="G61" s="2" t="s">
        <v>594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3">
      <c r="A62" s="2" t="s">
        <v>46</v>
      </c>
      <c r="B62" s="2" t="s">
        <v>39</v>
      </c>
      <c r="C62" s="2" t="s">
        <v>14</v>
      </c>
      <c r="D62" s="2" t="s">
        <v>47</v>
      </c>
      <c r="E62" s="23" t="s">
        <v>595</v>
      </c>
      <c r="F62" s="2">
        <v>1</v>
      </c>
      <c r="G62" s="2" t="s">
        <v>596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3">
      <c r="A63" s="2" t="s">
        <v>46</v>
      </c>
      <c r="B63" s="2" t="s">
        <v>39</v>
      </c>
      <c r="C63" s="2" t="s">
        <v>14</v>
      </c>
      <c r="D63" s="2" t="s">
        <v>47</v>
      </c>
      <c r="E63" s="23" t="s">
        <v>597</v>
      </c>
      <c r="F63" s="2">
        <v>1</v>
      </c>
      <c r="G63" s="2" t="s">
        <v>598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3">
      <c r="A64" s="2" t="s">
        <v>46</v>
      </c>
      <c r="B64" s="2" t="s">
        <v>39</v>
      </c>
      <c r="C64" s="2" t="s">
        <v>14</v>
      </c>
      <c r="D64" s="2" t="s">
        <v>47</v>
      </c>
      <c r="E64" s="23" t="s">
        <v>599</v>
      </c>
      <c r="F64" s="2">
        <v>1</v>
      </c>
      <c r="G64" s="2" t="s">
        <v>600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3">
      <c r="A65" s="2" t="s">
        <v>46</v>
      </c>
      <c r="B65" s="2" t="s">
        <v>39</v>
      </c>
      <c r="C65" s="2" t="s">
        <v>14</v>
      </c>
      <c r="D65" s="2" t="s">
        <v>47</v>
      </c>
      <c r="E65" s="23" t="s">
        <v>601</v>
      </c>
      <c r="F65" s="2">
        <v>1</v>
      </c>
      <c r="G65" s="2" t="s">
        <v>602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3">
      <c r="A66" s="2" t="s">
        <v>46</v>
      </c>
      <c r="B66" s="2" t="s">
        <v>39</v>
      </c>
      <c r="C66" s="2" t="s">
        <v>14</v>
      </c>
      <c r="D66" s="2" t="s">
        <v>47</v>
      </c>
      <c r="E66" s="23" t="s">
        <v>603</v>
      </c>
      <c r="F66" s="2">
        <v>1</v>
      </c>
      <c r="G66" s="2" t="s">
        <v>604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3">
      <c r="A67" s="2" t="s">
        <v>48</v>
      </c>
      <c r="B67" s="2" t="s">
        <v>18</v>
      </c>
      <c r="C67" s="2" t="s">
        <v>14</v>
      </c>
      <c r="D67" s="2" t="s">
        <v>49</v>
      </c>
      <c r="E67" s="23" t="s">
        <v>605</v>
      </c>
      <c r="F67" s="2">
        <v>1</v>
      </c>
      <c r="G67" s="2" t="s">
        <v>11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MY884204T3</v>
      </c>
    </row>
    <row r="68" spans="1:10" s="2" customFormat="1" x14ac:dyDescent="0.3">
      <c r="A68" s="2" t="s">
        <v>48</v>
      </c>
      <c r="B68" s="2" t="s">
        <v>18</v>
      </c>
      <c r="C68" s="2" t="s">
        <v>14</v>
      </c>
      <c r="D68" s="2" t="s">
        <v>49</v>
      </c>
      <c r="E68" s="23" t="s">
        <v>606</v>
      </c>
      <c r="F68" s="2">
        <v>1</v>
      </c>
      <c r="G68" s="2" t="s">
        <v>11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MY884204FU</v>
      </c>
    </row>
    <row r="69" spans="1:10" s="2" customFormat="1" x14ac:dyDescent="0.3">
      <c r="A69" s="2" t="s">
        <v>48</v>
      </c>
      <c r="B69" s="2" t="s">
        <v>18</v>
      </c>
      <c r="C69" s="2" t="s">
        <v>14</v>
      </c>
      <c r="D69" s="2" t="s">
        <v>49</v>
      </c>
      <c r="E69" s="23" t="s">
        <v>607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MY884201PP</v>
      </c>
    </row>
    <row r="70" spans="1:10" s="2" customFormat="1" x14ac:dyDescent="0.3">
      <c r="A70" s="2" t="s">
        <v>48</v>
      </c>
      <c r="B70" s="2" t="s">
        <v>18</v>
      </c>
      <c r="C70" s="2" t="s">
        <v>14</v>
      </c>
      <c r="D70" s="2" t="s">
        <v>49</v>
      </c>
      <c r="E70" s="23" t="s">
        <v>608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MY884201N9</v>
      </c>
    </row>
    <row r="71" spans="1:10" s="2" customFormat="1" x14ac:dyDescent="0.3">
      <c r="A71" s="2" t="s">
        <v>48</v>
      </c>
      <c r="B71" s="2" t="s">
        <v>18</v>
      </c>
      <c r="C71" s="2" t="s">
        <v>14</v>
      </c>
      <c r="D71" s="2" t="s">
        <v>49</v>
      </c>
      <c r="E71" s="23" t="s">
        <v>609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MY884204ZQ</v>
      </c>
    </row>
    <row r="72" spans="1:10" s="2" customFormat="1" x14ac:dyDescent="0.3">
      <c r="A72" s="2" t="s">
        <v>48</v>
      </c>
      <c r="B72" s="2" t="s">
        <v>18</v>
      </c>
      <c r="C72" s="2" t="s">
        <v>14</v>
      </c>
      <c r="D72" s="2" t="s">
        <v>49</v>
      </c>
      <c r="E72" s="23" t="s">
        <v>610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MY884302B7</v>
      </c>
    </row>
    <row r="73" spans="1:10" s="2" customFormat="1" x14ac:dyDescent="0.3">
      <c r="A73" s="2" t="s">
        <v>48</v>
      </c>
      <c r="B73" s="2" t="s">
        <v>18</v>
      </c>
      <c r="C73" s="2" t="s">
        <v>14</v>
      </c>
      <c r="D73" s="2" t="s">
        <v>49</v>
      </c>
      <c r="E73" s="23" t="s">
        <v>611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MY884201PE</v>
      </c>
    </row>
    <row r="74" spans="1:10" s="2" customFormat="1" x14ac:dyDescent="0.3">
      <c r="A74" s="2" t="s">
        <v>48</v>
      </c>
      <c r="B74" s="2" t="s">
        <v>18</v>
      </c>
      <c r="C74" s="2" t="s">
        <v>14</v>
      </c>
      <c r="D74" s="2" t="s">
        <v>49</v>
      </c>
      <c r="E74" s="23" t="s">
        <v>612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MY884201CG</v>
      </c>
    </row>
    <row r="75" spans="1:10" s="2" customFormat="1" x14ac:dyDescent="0.3">
      <c r="A75" s="2" t="s">
        <v>50</v>
      </c>
      <c r="B75" s="2" t="s">
        <v>10</v>
      </c>
      <c r="C75" s="2" t="s">
        <v>11</v>
      </c>
      <c r="D75" s="2" t="s">
        <v>11</v>
      </c>
      <c r="E75" s="23" t="s">
        <v>11</v>
      </c>
      <c r="F75" s="2">
        <v>1</v>
      </c>
      <c r="G75" s="2" t="s">
        <v>50</v>
      </c>
      <c r="H75" s="2" t="s">
        <v>11</v>
      </c>
      <c r="I75" s="2" t="str">
        <f t="shared" si="1"/>
        <v>NO</v>
      </c>
      <c r="J75" s="2" t="str">
        <f>IF(I75="YES",IFERROR(VLOOKUP(E75,Scan!A:A,1,0),"Not scanned"),"")</f>
        <v/>
      </c>
    </row>
    <row r="76" spans="1:10" s="2" customFormat="1" x14ac:dyDescent="0.3">
      <c r="A76" s="2" t="s">
        <v>51</v>
      </c>
      <c r="B76" s="2" t="s">
        <v>52</v>
      </c>
      <c r="C76" s="2" t="s">
        <v>53</v>
      </c>
      <c r="D76" s="2" t="s">
        <v>54</v>
      </c>
      <c r="E76" s="23" t="s">
        <v>613</v>
      </c>
      <c r="F76" s="2">
        <v>1</v>
      </c>
      <c r="G76" s="2" t="s">
        <v>50</v>
      </c>
      <c r="H76" s="2" t="s">
        <v>614</v>
      </c>
      <c r="I76" s="2" t="str">
        <f t="shared" si="1"/>
        <v>YES</v>
      </c>
      <c r="J76" s="2" t="str">
        <f>IF(I76="YES",IFERROR(VLOOKUP(E76,Scan!A:A,1,0),"Not scanned"),"")</f>
        <v>0814292</v>
      </c>
    </row>
    <row r="77" spans="1:10" s="2" customFormat="1" x14ac:dyDescent="0.3">
      <c r="A77" s="2" t="s">
        <v>56</v>
      </c>
      <c r="B77" s="2" t="s">
        <v>57</v>
      </c>
      <c r="C77" s="2" t="s">
        <v>14</v>
      </c>
      <c r="D77" s="2" t="s">
        <v>58</v>
      </c>
      <c r="E77" s="23" t="s">
        <v>615</v>
      </c>
      <c r="F77" s="2">
        <v>1</v>
      </c>
      <c r="G77" s="2" t="s">
        <v>50</v>
      </c>
      <c r="H77" s="2" t="s">
        <v>616</v>
      </c>
      <c r="I77" s="2" t="str">
        <f t="shared" si="1"/>
        <v>YES</v>
      </c>
      <c r="J77" s="2" t="str">
        <f>IF(I77="YES",IFERROR(VLOOKUP(E77,Scan!A:A,1,0),"Not scanned"),"")</f>
        <v>ACC8390056</v>
      </c>
    </row>
    <row r="78" spans="1:10" s="2" customFormat="1" x14ac:dyDescent="0.3">
      <c r="A78" s="2" t="s">
        <v>617</v>
      </c>
      <c r="B78" s="2" t="s">
        <v>61</v>
      </c>
      <c r="C78" s="2" t="s">
        <v>11</v>
      </c>
      <c r="D78" s="2" t="s">
        <v>11</v>
      </c>
      <c r="E78" s="23" t="s">
        <v>11</v>
      </c>
      <c r="F78" s="2">
        <v>1</v>
      </c>
      <c r="G78" s="2" t="s">
        <v>617</v>
      </c>
      <c r="H78" s="2" t="s">
        <v>11</v>
      </c>
      <c r="I78" s="2" t="str">
        <f t="shared" si="1"/>
        <v>NO</v>
      </c>
      <c r="J78" s="2" t="str">
        <f>IF(I78="YES",IFERROR(VLOOKUP(E78,Scan!A:A,1,0),"Not scanned"),"")</f>
        <v/>
      </c>
    </row>
    <row r="79" spans="1:10" s="2" customFormat="1" x14ac:dyDescent="0.3">
      <c r="A79" s="2" t="s">
        <v>378</v>
      </c>
      <c r="B79" s="2" t="s">
        <v>379</v>
      </c>
      <c r="C79" s="2" t="s">
        <v>380</v>
      </c>
      <c r="D79" s="2" t="s">
        <v>381</v>
      </c>
      <c r="E79" s="23" t="s">
        <v>618</v>
      </c>
      <c r="G79" s="2" t="s">
        <v>11</v>
      </c>
      <c r="H79" s="2" t="s">
        <v>11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3">
      <c r="A80" s="2" t="s">
        <v>383</v>
      </c>
      <c r="B80" s="2" t="s">
        <v>384</v>
      </c>
      <c r="C80" s="2" t="s">
        <v>380</v>
      </c>
      <c r="D80" s="2" t="s">
        <v>385</v>
      </c>
      <c r="E80" s="23" t="s">
        <v>619</v>
      </c>
      <c r="G80" s="2" t="s">
        <v>11</v>
      </c>
      <c r="H80" s="2" t="s">
        <v>11</v>
      </c>
      <c r="I80" s="2" t="str">
        <f t="shared" si="1"/>
        <v>YES</v>
      </c>
      <c r="J80" s="2" t="str">
        <f>IF(I80="YES",IFERROR(VLOOKUP(E80,Scan!A:A,1,0),"Not scanned"),"")</f>
        <v>Not scanned</v>
      </c>
    </row>
    <row r="81" spans="1:10" s="2" customFormat="1" x14ac:dyDescent="0.3">
      <c r="A81" s="2" t="s">
        <v>387</v>
      </c>
      <c r="B81" s="2" t="s">
        <v>388</v>
      </c>
      <c r="C81" s="2" t="s">
        <v>380</v>
      </c>
      <c r="D81" s="2" t="s">
        <v>388</v>
      </c>
      <c r="E81" s="23" t="s">
        <v>389</v>
      </c>
      <c r="F81" s="2">
        <v>1</v>
      </c>
      <c r="G81" s="2" t="s">
        <v>11</v>
      </c>
      <c r="H81" s="2" t="s">
        <v>11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3">
      <c r="A82" s="2" t="s">
        <v>387</v>
      </c>
      <c r="B82" s="2" t="s">
        <v>388</v>
      </c>
      <c r="C82" s="2" t="s">
        <v>380</v>
      </c>
      <c r="D82" s="2" t="s">
        <v>388</v>
      </c>
      <c r="E82" s="23" t="s">
        <v>389</v>
      </c>
      <c r="F82" s="2">
        <v>1</v>
      </c>
      <c r="G82" s="2" t="s">
        <v>11</v>
      </c>
      <c r="H82" s="2" t="s">
        <v>11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3">
      <c r="A83" s="2" t="s">
        <v>62</v>
      </c>
      <c r="B83" s="2" t="s">
        <v>63</v>
      </c>
      <c r="C83" s="2" t="s">
        <v>64</v>
      </c>
      <c r="D83" s="2" t="s">
        <v>65</v>
      </c>
      <c r="E83" s="23" t="s">
        <v>620</v>
      </c>
      <c r="F83" s="2">
        <v>1</v>
      </c>
      <c r="G83" s="2" t="s">
        <v>621</v>
      </c>
      <c r="H83" s="2" t="s">
        <v>622</v>
      </c>
      <c r="I83" s="2" t="str">
        <f t="shared" si="1"/>
        <v>YES</v>
      </c>
      <c r="J83" s="2" t="str">
        <f>IF(I83="YES",IFERROR(VLOOKUP(E83,Scan!A:A,1,0),"Not scanned"),"")</f>
        <v>2019.01.3204</v>
      </c>
    </row>
    <row r="84" spans="1:10" s="2" customFormat="1" x14ac:dyDescent="0.3">
      <c r="A84" s="2" t="s">
        <v>393</v>
      </c>
      <c r="B84" s="2" t="s">
        <v>394</v>
      </c>
      <c r="C84" s="2" t="s">
        <v>380</v>
      </c>
      <c r="D84" s="2" t="s">
        <v>395</v>
      </c>
      <c r="E84" s="23" t="s">
        <v>240</v>
      </c>
      <c r="F84" s="2">
        <v>1</v>
      </c>
      <c r="G84" s="2" t="s">
        <v>622</v>
      </c>
      <c r="H84" s="2" t="s">
        <v>11</v>
      </c>
      <c r="I84" s="2" t="str">
        <f t="shared" si="1"/>
        <v>NO</v>
      </c>
      <c r="J84" s="2" t="str">
        <f>IF(I84="YES",IFERROR(VLOOKUP(E84,Scan!A:A,1,0),"Not scanned"),"")</f>
        <v/>
      </c>
    </row>
    <row r="85" spans="1:10" s="2" customFormat="1" x14ac:dyDescent="0.3">
      <c r="A85" s="2" t="s">
        <v>623</v>
      </c>
      <c r="B85" s="2" t="s">
        <v>624</v>
      </c>
      <c r="C85" s="2" t="s">
        <v>380</v>
      </c>
      <c r="D85" s="2" t="s">
        <v>625</v>
      </c>
      <c r="E85" s="23" t="s">
        <v>240</v>
      </c>
      <c r="F85" s="2">
        <v>1</v>
      </c>
      <c r="G85" s="2" t="s">
        <v>622</v>
      </c>
      <c r="H85" s="2" t="s">
        <v>11</v>
      </c>
      <c r="I85" s="2" t="str">
        <f t="shared" si="1"/>
        <v>NO</v>
      </c>
      <c r="J85" s="2" t="str">
        <f>IF(I85="YES",IFERROR(VLOOKUP(E85,Scan!A:A,1,0),"Not scanned"),"")</f>
        <v/>
      </c>
    </row>
    <row r="86" spans="1:10" s="2" customFormat="1" x14ac:dyDescent="0.3">
      <c r="A86" s="2" t="s">
        <v>396</v>
      </c>
      <c r="B86" s="2" t="s">
        <v>397</v>
      </c>
      <c r="C86" s="2" t="s">
        <v>64</v>
      </c>
      <c r="D86" s="2" t="s">
        <v>398</v>
      </c>
      <c r="E86" s="23" t="s">
        <v>626</v>
      </c>
      <c r="F86" s="2">
        <v>1</v>
      </c>
      <c r="G86" s="2" t="s">
        <v>622</v>
      </c>
      <c r="H86" s="2" t="s">
        <v>11</v>
      </c>
      <c r="I86" s="2" t="str">
        <f t="shared" si="1"/>
        <v>YES</v>
      </c>
      <c r="J86" s="2" t="str">
        <f>IF(I86="YES",IFERROR(VLOOKUP(E86,Scan!A:A,1,0),"Not scanned"),"")</f>
        <v>2019.01.3268</v>
      </c>
    </row>
    <row r="87" spans="1:10" s="2" customFormat="1" x14ac:dyDescent="0.3">
      <c r="A87" s="2" t="s">
        <v>400</v>
      </c>
      <c r="B87" s="2" t="s">
        <v>401</v>
      </c>
      <c r="C87" s="2" t="s">
        <v>64</v>
      </c>
      <c r="D87" s="2" t="s">
        <v>402</v>
      </c>
      <c r="E87" s="23" t="s">
        <v>389</v>
      </c>
      <c r="F87" s="2">
        <v>1</v>
      </c>
      <c r="G87" s="2" t="s">
        <v>622</v>
      </c>
      <c r="H87" s="2" t="s">
        <v>11</v>
      </c>
      <c r="I87" s="2" t="str">
        <f t="shared" si="1"/>
        <v>YES</v>
      </c>
      <c r="J87" s="2" t="str">
        <f>IF(I87="YES",IFERROR(VLOOKUP(E87,Scan!A:A,1,0),"Not scanned"),"")</f>
        <v>Not scanned</v>
      </c>
    </row>
    <row r="88" spans="1:10" s="2" customFormat="1" x14ac:dyDescent="0.3">
      <c r="A88" s="2" t="s">
        <v>407</v>
      </c>
      <c r="B88" s="2" t="s">
        <v>408</v>
      </c>
      <c r="C88" s="2" t="s">
        <v>64</v>
      </c>
      <c r="D88" s="2" t="s">
        <v>409</v>
      </c>
      <c r="E88" s="23" t="s">
        <v>627</v>
      </c>
      <c r="F88" s="2">
        <v>1</v>
      </c>
      <c r="G88" s="2" t="s">
        <v>622</v>
      </c>
      <c r="H88" s="2" t="s">
        <v>11</v>
      </c>
      <c r="I88" s="2" t="str">
        <f t="shared" si="1"/>
        <v>YES</v>
      </c>
      <c r="J88" s="2" t="str">
        <f>IF(I88="YES",IFERROR(VLOOKUP(E88,Scan!A:A,1,0),"Not scanned"),"")</f>
        <v>2019.01.3088</v>
      </c>
    </row>
    <row r="89" spans="1:10" s="2" customFormat="1" x14ac:dyDescent="0.3">
      <c r="A89" s="2" t="s">
        <v>67</v>
      </c>
      <c r="B89" s="2" t="s">
        <v>68</v>
      </c>
      <c r="C89" s="2" t="s">
        <v>64</v>
      </c>
      <c r="D89" s="2" t="s">
        <v>69</v>
      </c>
      <c r="E89" s="23" t="s">
        <v>628</v>
      </c>
      <c r="F89" s="2">
        <v>1</v>
      </c>
      <c r="G89" s="2" t="s">
        <v>622</v>
      </c>
      <c r="H89" s="2" t="s">
        <v>629</v>
      </c>
      <c r="I89" s="2" t="str">
        <f t="shared" si="1"/>
        <v>YES</v>
      </c>
      <c r="J89" s="2" t="str">
        <f>IF(I89="YES",IFERROR(VLOOKUP(E89,Scan!A:A,1,0),"Not scanned"),"")</f>
        <v>2019.01.3529</v>
      </c>
    </row>
    <row r="90" spans="1:10" s="2" customFormat="1" x14ac:dyDescent="0.3">
      <c r="A90" s="2" t="s">
        <v>67</v>
      </c>
      <c r="B90" s="2" t="s">
        <v>68</v>
      </c>
      <c r="C90" s="2" t="s">
        <v>64</v>
      </c>
      <c r="D90" s="2" t="s">
        <v>69</v>
      </c>
      <c r="E90" s="23" t="s">
        <v>630</v>
      </c>
      <c r="F90" s="2">
        <v>1</v>
      </c>
      <c r="G90" s="2" t="s">
        <v>622</v>
      </c>
      <c r="H90" s="2" t="s">
        <v>631</v>
      </c>
      <c r="I90" s="2" t="str">
        <f t="shared" si="1"/>
        <v>YES</v>
      </c>
      <c r="J90" s="2" t="str">
        <f>IF(I90="YES",IFERROR(VLOOKUP(E90,Scan!A:A,1,0),"Not scanned"),"")</f>
        <v>2019.01.3530</v>
      </c>
    </row>
    <row r="91" spans="1:10" s="2" customFormat="1" x14ac:dyDescent="0.3">
      <c r="A91" s="2" t="s">
        <v>632</v>
      </c>
      <c r="B91" s="2" t="s">
        <v>633</v>
      </c>
      <c r="C91" s="2" t="s">
        <v>64</v>
      </c>
      <c r="D91" s="2" t="s">
        <v>385</v>
      </c>
      <c r="E91" s="23" t="s">
        <v>634</v>
      </c>
      <c r="G91" s="2" t="s">
        <v>622</v>
      </c>
      <c r="H91" s="2" t="s">
        <v>11</v>
      </c>
      <c r="I91" s="2" t="str">
        <f t="shared" si="1"/>
        <v>YES</v>
      </c>
      <c r="J91" s="2" t="str">
        <f>IF(I91="YES",IFERROR(VLOOKUP(E91,Scan!A:A,1,0),"Not scanned"),"")</f>
        <v>2019.01.3118</v>
      </c>
    </row>
    <row r="92" spans="1:10" s="2" customFormat="1" x14ac:dyDescent="0.3">
      <c r="A92" s="2" t="s">
        <v>632</v>
      </c>
      <c r="B92" s="2" t="s">
        <v>633</v>
      </c>
      <c r="C92" s="2" t="s">
        <v>64</v>
      </c>
      <c r="D92" s="2" t="s">
        <v>385</v>
      </c>
      <c r="E92" s="23" t="s">
        <v>635</v>
      </c>
      <c r="G92" s="2" t="s">
        <v>622</v>
      </c>
      <c r="H92" s="2" t="s">
        <v>11</v>
      </c>
      <c r="I92" s="2" t="str">
        <f t="shared" si="1"/>
        <v>YES</v>
      </c>
      <c r="J92" s="2" t="str">
        <f>IF(I92="YES",IFERROR(VLOOKUP(E92,Scan!A:A,1,0),"Not scanned"),"")</f>
        <v>2019.01.3117</v>
      </c>
    </row>
    <row r="93" spans="1:10" s="2" customFormat="1" x14ac:dyDescent="0.3">
      <c r="A93" s="2" t="s">
        <v>62</v>
      </c>
      <c r="B93" s="2" t="s">
        <v>63</v>
      </c>
      <c r="C93" s="2" t="s">
        <v>64</v>
      </c>
      <c r="D93" s="2" t="s">
        <v>65</v>
      </c>
      <c r="E93" s="23" t="s">
        <v>636</v>
      </c>
      <c r="F93" s="2">
        <v>1</v>
      </c>
      <c r="G93" s="2" t="s">
        <v>417</v>
      </c>
      <c r="H93" s="2" t="s">
        <v>637</v>
      </c>
      <c r="I93" s="2" t="str">
        <f t="shared" si="1"/>
        <v>YES</v>
      </c>
      <c r="J93" s="2" t="str">
        <f>IF(I93="YES",IFERROR(VLOOKUP(E93,Scan!A:A,1,0),"Not scanned"),"")</f>
        <v>2019.01.3175</v>
      </c>
    </row>
    <row r="94" spans="1:10" s="2" customFormat="1" x14ac:dyDescent="0.3">
      <c r="A94" s="2" t="s">
        <v>393</v>
      </c>
      <c r="B94" s="2" t="s">
        <v>394</v>
      </c>
      <c r="C94" s="2" t="s">
        <v>380</v>
      </c>
      <c r="D94" s="2" t="s">
        <v>395</v>
      </c>
      <c r="E94" s="23" t="s">
        <v>240</v>
      </c>
      <c r="F94" s="2">
        <v>1</v>
      </c>
      <c r="G94" s="2" t="s">
        <v>637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3">
      <c r="A95" s="2" t="s">
        <v>396</v>
      </c>
      <c r="B95" s="2" t="s">
        <v>397</v>
      </c>
      <c r="C95" s="2" t="s">
        <v>64</v>
      </c>
      <c r="D95" s="2" t="s">
        <v>398</v>
      </c>
      <c r="E95" s="23" t="s">
        <v>638</v>
      </c>
      <c r="F95" s="2">
        <v>1</v>
      </c>
      <c r="G95" s="2" t="s">
        <v>637</v>
      </c>
      <c r="H95" s="2" t="s">
        <v>11</v>
      </c>
      <c r="I95" s="2" t="str">
        <f t="shared" si="1"/>
        <v>YES</v>
      </c>
      <c r="J95" s="2" t="str">
        <f>IF(I95="YES",IFERROR(VLOOKUP(E95,Scan!A:A,1,0),"Not scanned"),"")</f>
        <v>2019.01.3239</v>
      </c>
    </row>
    <row r="96" spans="1:10" s="2" customFormat="1" x14ac:dyDescent="0.3">
      <c r="A96" s="2" t="s">
        <v>400</v>
      </c>
      <c r="B96" s="2" t="s">
        <v>401</v>
      </c>
      <c r="C96" s="2" t="s">
        <v>64</v>
      </c>
      <c r="D96" s="2" t="s">
        <v>402</v>
      </c>
      <c r="E96" s="23" t="s">
        <v>389</v>
      </c>
      <c r="F96" s="2">
        <v>1</v>
      </c>
      <c r="G96" s="2" t="s">
        <v>637</v>
      </c>
      <c r="H96" s="2" t="s">
        <v>11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3">
      <c r="A97" s="2" t="s">
        <v>403</v>
      </c>
      <c r="B97" s="2" t="s">
        <v>404</v>
      </c>
      <c r="C97" s="2" t="s">
        <v>64</v>
      </c>
      <c r="D97" s="2" t="s">
        <v>405</v>
      </c>
      <c r="E97" s="23" t="s">
        <v>639</v>
      </c>
      <c r="F97" s="2">
        <v>1</v>
      </c>
      <c r="G97" s="2" t="s">
        <v>637</v>
      </c>
      <c r="H97" s="2" t="s">
        <v>11</v>
      </c>
      <c r="I97" s="2" t="str">
        <f t="shared" si="1"/>
        <v>YES</v>
      </c>
      <c r="J97" s="2" t="str">
        <f>IF(I97="YES",IFERROR(VLOOKUP(E97,Scan!A:A,1,0),"Not scanned"),"")</f>
        <v>2019.01.3012</v>
      </c>
    </row>
    <row r="98" spans="1:10" s="2" customFormat="1" x14ac:dyDescent="0.3">
      <c r="A98" s="2" t="s">
        <v>407</v>
      </c>
      <c r="B98" s="2" t="s">
        <v>408</v>
      </c>
      <c r="C98" s="2" t="s">
        <v>64</v>
      </c>
      <c r="D98" s="2" t="s">
        <v>409</v>
      </c>
      <c r="E98" s="23" t="s">
        <v>640</v>
      </c>
      <c r="F98" s="2">
        <v>1</v>
      </c>
      <c r="G98" s="2" t="s">
        <v>637</v>
      </c>
      <c r="H98" s="2" t="s">
        <v>11</v>
      </c>
      <c r="I98" s="2" t="str">
        <f t="shared" si="1"/>
        <v>YES</v>
      </c>
      <c r="J98" s="2" t="str">
        <f>IF(I98="YES",IFERROR(VLOOKUP(E98,Scan!A:A,1,0),"Not scanned"),"")</f>
        <v>2019.01.3087</v>
      </c>
    </row>
    <row r="99" spans="1:10" s="2" customFormat="1" x14ac:dyDescent="0.3">
      <c r="A99" s="2" t="s">
        <v>67</v>
      </c>
      <c r="B99" s="2" t="s">
        <v>68</v>
      </c>
      <c r="C99" s="2" t="s">
        <v>64</v>
      </c>
      <c r="D99" s="2" t="s">
        <v>69</v>
      </c>
      <c r="E99" s="23" t="s">
        <v>641</v>
      </c>
      <c r="F99" s="2">
        <v>1</v>
      </c>
      <c r="G99" s="2" t="s">
        <v>637</v>
      </c>
      <c r="H99" s="2" t="s">
        <v>642</v>
      </c>
      <c r="I99" s="2" t="str">
        <f t="shared" si="1"/>
        <v>YES</v>
      </c>
      <c r="J99" s="2" t="str">
        <f>IF(I99="YES",IFERROR(VLOOKUP(E99,Scan!A:A,1,0),"Not scanned"),"")</f>
        <v>2019.01.3531</v>
      </c>
    </row>
    <row r="100" spans="1:10" s="2" customFormat="1" x14ac:dyDescent="0.3">
      <c r="A100" s="2" t="s">
        <v>67</v>
      </c>
      <c r="B100" s="2" t="s">
        <v>68</v>
      </c>
      <c r="C100" s="2" t="s">
        <v>64</v>
      </c>
      <c r="D100" s="2" t="s">
        <v>69</v>
      </c>
      <c r="E100" s="23" t="s">
        <v>643</v>
      </c>
      <c r="F100" s="2">
        <v>1</v>
      </c>
      <c r="G100" s="2" t="s">
        <v>637</v>
      </c>
      <c r="H100" s="2" t="s">
        <v>644</v>
      </c>
      <c r="I100" s="2" t="str">
        <f t="shared" si="1"/>
        <v>YES</v>
      </c>
      <c r="J100" s="2" t="str">
        <f>IF(I100="YES",IFERROR(VLOOKUP(E100,Scan!A:A,1,0),"Not scanned"),"")</f>
        <v>2019.01.3532</v>
      </c>
    </row>
    <row r="101" spans="1:10" s="2" customFormat="1" x14ac:dyDescent="0.3">
      <c r="A101" s="2" t="s">
        <v>645</v>
      </c>
      <c r="B101" s="2" t="s">
        <v>76</v>
      </c>
      <c r="C101" s="2" t="s">
        <v>11</v>
      </c>
      <c r="D101" s="2" t="s">
        <v>11</v>
      </c>
      <c r="E101" s="23" t="s">
        <v>11</v>
      </c>
      <c r="F101" s="2">
        <v>1</v>
      </c>
      <c r="G101" s="2" t="s">
        <v>645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3">
      <c r="A102" s="2" t="s">
        <v>62</v>
      </c>
      <c r="B102" s="2" t="s">
        <v>63</v>
      </c>
      <c r="C102" s="2" t="s">
        <v>64</v>
      </c>
      <c r="D102" s="2" t="s">
        <v>65</v>
      </c>
      <c r="E102" s="23" t="s">
        <v>646</v>
      </c>
      <c r="F102" s="2">
        <v>1</v>
      </c>
      <c r="G102" s="2" t="s">
        <v>417</v>
      </c>
      <c r="H102" s="2" t="s">
        <v>647</v>
      </c>
      <c r="I102" s="2" t="str">
        <f t="shared" si="1"/>
        <v>YES</v>
      </c>
      <c r="J102" s="2" t="str">
        <f>IF(I102="YES",IFERROR(VLOOKUP(E102,Scan!A:A,1,0),"Not scanned"),"")</f>
        <v>2019.01.3176</v>
      </c>
    </row>
    <row r="103" spans="1:10" s="2" customFormat="1" x14ac:dyDescent="0.3">
      <c r="A103" s="2" t="s">
        <v>393</v>
      </c>
      <c r="B103" s="2" t="s">
        <v>394</v>
      </c>
      <c r="C103" s="2" t="s">
        <v>380</v>
      </c>
      <c r="D103" s="2" t="s">
        <v>395</v>
      </c>
      <c r="E103" s="23" t="s">
        <v>240</v>
      </c>
      <c r="F103" s="2">
        <v>1</v>
      </c>
      <c r="G103" s="2" t="s">
        <v>647</v>
      </c>
      <c r="H103" s="2" t="s">
        <v>11</v>
      </c>
      <c r="I103" s="2" t="str">
        <f t="shared" si="1"/>
        <v>NO</v>
      </c>
      <c r="J103" s="2" t="str">
        <f>IF(I103="YES",IFERROR(VLOOKUP(E103,Scan!A:A,1,0),"Not scanned"),"")</f>
        <v/>
      </c>
    </row>
    <row r="104" spans="1:10" s="2" customFormat="1" x14ac:dyDescent="0.3">
      <c r="A104" s="2" t="s">
        <v>396</v>
      </c>
      <c r="B104" s="2" t="s">
        <v>397</v>
      </c>
      <c r="C104" s="2" t="s">
        <v>64</v>
      </c>
      <c r="D104" s="2" t="s">
        <v>398</v>
      </c>
      <c r="E104" s="23" t="s">
        <v>648</v>
      </c>
      <c r="F104" s="2">
        <v>1</v>
      </c>
      <c r="G104" s="2" t="s">
        <v>647</v>
      </c>
      <c r="H104" s="2" t="s">
        <v>11</v>
      </c>
      <c r="I104" s="2" t="str">
        <f t="shared" si="1"/>
        <v>YES</v>
      </c>
      <c r="J104" s="2" t="str">
        <f>IF(I104="YES",IFERROR(VLOOKUP(E104,Scan!A:A,1,0),"Not scanned"),"")</f>
        <v>2019.01.3240</v>
      </c>
    </row>
    <row r="105" spans="1:10" s="2" customFormat="1" x14ac:dyDescent="0.3">
      <c r="A105" s="2" t="s">
        <v>400</v>
      </c>
      <c r="B105" s="2" t="s">
        <v>401</v>
      </c>
      <c r="C105" s="2" t="s">
        <v>64</v>
      </c>
      <c r="D105" s="2" t="s">
        <v>402</v>
      </c>
      <c r="E105" s="23" t="s">
        <v>389</v>
      </c>
      <c r="F105" s="2">
        <v>1</v>
      </c>
      <c r="G105" s="2" t="s">
        <v>647</v>
      </c>
      <c r="H105" s="2" t="s">
        <v>11</v>
      </c>
      <c r="I105" s="2" t="str">
        <f t="shared" si="1"/>
        <v>YES</v>
      </c>
      <c r="J105" s="2" t="str">
        <f>IF(I105="YES",IFERROR(VLOOKUP(E105,Scan!A:A,1,0),"Not scanned"),"")</f>
        <v>Not scanned</v>
      </c>
    </row>
    <row r="106" spans="1:10" s="2" customFormat="1" x14ac:dyDescent="0.3">
      <c r="A106" s="2" t="s">
        <v>403</v>
      </c>
      <c r="B106" s="2" t="s">
        <v>404</v>
      </c>
      <c r="C106" s="2" t="s">
        <v>64</v>
      </c>
      <c r="D106" s="2" t="s">
        <v>405</v>
      </c>
      <c r="E106" s="23" t="s">
        <v>649</v>
      </c>
      <c r="F106" s="2">
        <v>1</v>
      </c>
      <c r="G106" s="2" t="s">
        <v>647</v>
      </c>
      <c r="H106" s="2" t="s">
        <v>11</v>
      </c>
      <c r="I106" s="2" t="str">
        <f t="shared" si="1"/>
        <v>YES</v>
      </c>
      <c r="J106" s="2" t="str">
        <f>IF(I106="YES",IFERROR(VLOOKUP(E106,Scan!A:A,1,0),"Not scanned"),"")</f>
        <v>2019.01.3009</v>
      </c>
    </row>
    <row r="107" spans="1:10" s="2" customFormat="1" x14ac:dyDescent="0.3">
      <c r="A107" s="2" t="s">
        <v>407</v>
      </c>
      <c r="B107" s="2" t="s">
        <v>408</v>
      </c>
      <c r="C107" s="2" t="s">
        <v>64</v>
      </c>
      <c r="D107" s="2" t="s">
        <v>409</v>
      </c>
      <c r="E107" s="23" t="s">
        <v>650</v>
      </c>
      <c r="F107" s="2">
        <v>1</v>
      </c>
      <c r="G107" s="2" t="s">
        <v>647</v>
      </c>
      <c r="H107" s="2" t="s">
        <v>11</v>
      </c>
      <c r="I107" s="2" t="str">
        <f t="shared" si="1"/>
        <v>YES</v>
      </c>
      <c r="J107" s="2" t="str">
        <f>IF(I107="YES",IFERROR(VLOOKUP(E107,Scan!A:A,1,0),"Not scanned"),"")</f>
        <v>2019.01.3086</v>
      </c>
    </row>
    <row r="108" spans="1:10" s="2" customFormat="1" x14ac:dyDescent="0.3">
      <c r="A108" s="2" t="s">
        <v>67</v>
      </c>
      <c r="B108" s="2" t="s">
        <v>68</v>
      </c>
      <c r="C108" s="2" t="s">
        <v>64</v>
      </c>
      <c r="D108" s="2" t="s">
        <v>69</v>
      </c>
      <c r="E108" s="23" t="s">
        <v>651</v>
      </c>
      <c r="F108" s="2">
        <v>1</v>
      </c>
      <c r="G108" s="2" t="s">
        <v>647</v>
      </c>
      <c r="H108" s="2" t="s">
        <v>652</v>
      </c>
      <c r="I108" s="2" t="str">
        <f t="shared" si="1"/>
        <v>YES</v>
      </c>
      <c r="J108" s="2" t="str">
        <f>IF(I108="YES",IFERROR(VLOOKUP(E108,Scan!A:A,1,0),"Not scanned"),"")</f>
        <v>2019.01.3533</v>
      </c>
    </row>
    <row r="109" spans="1:10" s="2" customFormat="1" x14ac:dyDescent="0.3">
      <c r="A109" s="2" t="s">
        <v>67</v>
      </c>
      <c r="B109" s="2" t="s">
        <v>68</v>
      </c>
      <c r="C109" s="2" t="s">
        <v>64</v>
      </c>
      <c r="D109" s="2" t="s">
        <v>69</v>
      </c>
      <c r="E109" s="23" t="s">
        <v>653</v>
      </c>
      <c r="F109" s="2">
        <v>1</v>
      </c>
      <c r="G109" s="2" t="s">
        <v>647</v>
      </c>
      <c r="H109" s="2" t="s">
        <v>654</v>
      </c>
      <c r="I109" s="2" t="str">
        <f t="shared" si="1"/>
        <v>YES</v>
      </c>
      <c r="J109" s="2" t="str">
        <f>IF(I109="YES",IFERROR(VLOOKUP(E109,Scan!A:A,1,0),"Not scanned"),"")</f>
        <v>2019.01.3534</v>
      </c>
    </row>
    <row r="110" spans="1:10" s="2" customFormat="1" x14ac:dyDescent="0.3">
      <c r="A110" s="2" t="s">
        <v>62</v>
      </c>
      <c r="B110" s="2" t="s">
        <v>63</v>
      </c>
      <c r="C110" s="2" t="s">
        <v>64</v>
      </c>
      <c r="D110" s="2" t="s">
        <v>65</v>
      </c>
      <c r="E110" s="23" t="s">
        <v>655</v>
      </c>
      <c r="F110" s="2">
        <v>1</v>
      </c>
      <c r="G110" s="2" t="s">
        <v>11</v>
      </c>
      <c r="H110" s="2" t="s">
        <v>656</v>
      </c>
      <c r="I110" s="2" t="str">
        <f t="shared" ref="I110:I130" si="2">IF(OR(E110="",E110="_",LEFT(E110,5)="SPARE"),"NO","YES")</f>
        <v>YES</v>
      </c>
      <c r="J110" s="2" t="str">
        <f>IF(I110="YES",IFERROR(VLOOKUP(E110,Scan!A:A,1,0),"Not scanned"),"")</f>
        <v>2019.01.3177</v>
      </c>
    </row>
    <row r="111" spans="1:10" s="2" customFormat="1" x14ac:dyDescent="0.3">
      <c r="A111" s="2" t="s">
        <v>393</v>
      </c>
      <c r="B111" s="2" t="s">
        <v>394</v>
      </c>
      <c r="C111" s="2" t="s">
        <v>380</v>
      </c>
      <c r="D111" s="2" t="s">
        <v>395</v>
      </c>
      <c r="E111" s="23" t="s">
        <v>240</v>
      </c>
      <c r="F111" s="2">
        <v>1</v>
      </c>
      <c r="G111" s="2" t="s">
        <v>656</v>
      </c>
      <c r="H111" s="2" t="s">
        <v>11</v>
      </c>
      <c r="I111" s="2" t="str">
        <f t="shared" si="2"/>
        <v>NO</v>
      </c>
      <c r="J111" s="2" t="str">
        <f>IF(I111="YES",IFERROR(VLOOKUP(E111,Scan!A:A,1,0),"Not scanned"),"")</f>
        <v/>
      </c>
    </row>
    <row r="112" spans="1:10" s="2" customFormat="1" x14ac:dyDescent="0.3">
      <c r="A112" s="2" t="s">
        <v>396</v>
      </c>
      <c r="B112" s="2" t="s">
        <v>397</v>
      </c>
      <c r="C112" s="2" t="s">
        <v>64</v>
      </c>
      <c r="D112" s="2" t="s">
        <v>398</v>
      </c>
      <c r="E112" s="23" t="s">
        <v>657</v>
      </c>
      <c r="F112" s="2">
        <v>1</v>
      </c>
      <c r="G112" s="2" t="s">
        <v>656</v>
      </c>
      <c r="H112" s="2" t="s">
        <v>11</v>
      </c>
      <c r="I112" s="2" t="str">
        <f t="shared" si="2"/>
        <v>YES</v>
      </c>
      <c r="J112" s="2" t="str">
        <f>IF(I112="YES",IFERROR(VLOOKUP(E112,Scan!A:A,1,0),"Not scanned"),"")</f>
        <v>2019.01.3241</v>
      </c>
    </row>
    <row r="113" spans="1:10" s="2" customFormat="1" x14ac:dyDescent="0.3">
      <c r="A113" s="2" t="s">
        <v>400</v>
      </c>
      <c r="B113" s="2" t="s">
        <v>401</v>
      </c>
      <c r="C113" s="2" t="s">
        <v>64</v>
      </c>
      <c r="D113" s="2" t="s">
        <v>402</v>
      </c>
      <c r="E113" s="23" t="s">
        <v>389</v>
      </c>
      <c r="F113" s="2">
        <v>1</v>
      </c>
      <c r="G113" s="2" t="s">
        <v>656</v>
      </c>
      <c r="H113" s="2" t="s">
        <v>11</v>
      </c>
      <c r="I113" s="2" t="str">
        <f t="shared" si="2"/>
        <v>YES</v>
      </c>
      <c r="J113" s="2" t="str">
        <f>IF(I113="YES",IFERROR(VLOOKUP(E113,Scan!A:A,1,0),"Not scanned"),"")</f>
        <v>Not scanned</v>
      </c>
    </row>
    <row r="114" spans="1:10" s="2" customFormat="1" x14ac:dyDescent="0.3">
      <c r="A114" s="2" t="s">
        <v>403</v>
      </c>
      <c r="B114" s="2" t="s">
        <v>404</v>
      </c>
      <c r="C114" s="2" t="s">
        <v>64</v>
      </c>
      <c r="D114" s="2" t="s">
        <v>405</v>
      </c>
      <c r="E114" s="23" t="s">
        <v>658</v>
      </c>
      <c r="F114" s="2">
        <v>1</v>
      </c>
      <c r="G114" s="2" t="s">
        <v>656</v>
      </c>
      <c r="H114" s="2" t="s">
        <v>11</v>
      </c>
      <c r="I114" s="2" t="str">
        <f t="shared" si="2"/>
        <v>YES</v>
      </c>
      <c r="J114" s="2" t="str">
        <f>IF(I114="YES",IFERROR(VLOOKUP(E114,Scan!A:A,1,0),"Not scanned"),"")</f>
        <v>2019.01.3011</v>
      </c>
    </row>
    <row r="115" spans="1:10" s="2" customFormat="1" x14ac:dyDescent="0.3">
      <c r="A115" s="2" t="s">
        <v>407</v>
      </c>
      <c r="B115" s="2" t="s">
        <v>408</v>
      </c>
      <c r="C115" s="2" t="s">
        <v>64</v>
      </c>
      <c r="D115" s="2" t="s">
        <v>409</v>
      </c>
      <c r="E115" s="23" t="s">
        <v>659</v>
      </c>
      <c r="F115" s="2">
        <v>1</v>
      </c>
      <c r="G115" s="2" t="s">
        <v>656</v>
      </c>
      <c r="H115" s="2" t="s">
        <v>11</v>
      </c>
      <c r="I115" s="2" t="str">
        <f t="shared" si="2"/>
        <v>YES</v>
      </c>
      <c r="J115" s="2" t="str">
        <f>IF(I115="YES",IFERROR(VLOOKUP(E115,Scan!A:A,1,0),"Not scanned"),"")</f>
        <v>2019.01.3085</v>
      </c>
    </row>
    <row r="116" spans="1:10" s="2" customFormat="1" x14ac:dyDescent="0.3">
      <c r="A116" s="2" t="s">
        <v>67</v>
      </c>
      <c r="B116" s="2" t="s">
        <v>68</v>
      </c>
      <c r="C116" s="2" t="s">
        <v>64</v>
      </c>
      <c r="D116" s="2" t="s">
        <v>69</v>
      </c>
      <c r="E116" s="23" t="s">
        <v>660</v>
      </c>
      <c r="F116" s="2">
        <v>1</v>
      </c>
      <c r="G116" s="2" t="s">
        <v>656</v>
      </c>
      <c r="H116" s="2" t="s">
        <v>661</v>
      </c>
      <c r="I116" s="2" t="str">
        <f t="shared" si="2"/>
        <v>YES</v>
      </c>
      <c r="J116" s="2" t="str">
        <f>IF(I116="YES",IFERROR(VLOOKUP(E116,Scan!A:A,1,0),"Not scanned"),"")</f>
        <v>2019.01.3535</v>
      </c>
    </row>
    <row r="117" spans="1:10" s="2" customFormat="1" x14ac:dyDescent="0.3">
      <c r="A117" s="2" t="s">
        <v>67</v>
      </c>
      <c r="B117" s="2" t="s">
        <v>68</v>
      </c>
      <c r="C117" s="2" t="s">
        <v>64</v>
      </c>
      <c r="D117" s="2" t="s">
        <v>69</v>
      </c>
      <c r="E117" s="23" t="s">
        <v>662</v>
      </c>
      <c r="F117" s="2">
        <v>1</v>
      </c>
      <c r="G117" s="2" t="s">
        <v>656</v>
      </c>
      <c r="H117" s="2" t="s">
        <v>663</v>
      </c>
      <c r="I117" s="2" t="str">
        <f t="shared" si="2"/>
        <v>YES</v>
      </c>
      <c r="J117" s="2" t="str">
        <f>IF(I117="YES",IFERROR(VLOOKUP(E117,Scan!A:A,1,0),"Not scanned"),"")</f>
        <v>2019.01.3536</v>
      </c>
    </row>
    <row r="118" spans="1:10" s="2" customFormat="1" x14ac:dyDescent="0.3">
      <c r="A118" s="2" t="s">
        <v>664</v>
      </c>
      <c r="B118" s="2" t="s">
        <v>84</v>
      </c>
      <c r="C118" s="2" t="s">
        <v>11</v>
      </c>
      <c r="D118" s="2" t="s">
        <v>11</v>
      </c>
      <c r="E118" s="23" t="s">
        <v>11</v>
      </c>
      <c r="F118" s="2">
        <v>1</v>
      </c>
      <c r="G118" s="2" t="s">
        <v>664</v>
      </c>
      <c r="H118" s="2" t="s">
        <v>11</v>
      </c>
      <c r="I118" s="2" t="str">
        <f t="shared" si="2"/>
        <v>NO</v>
      </c>
      <c r="J118" s="2" t="str">
        <f>IF(I118="YES",IFERROR(VLOOKUP(E118,Scan!A:A,1,0),"Not scanned"),"")</f>
        <v/>
      </c>
    </row>
    <row r="119" spans="1:10" s="2" customFormat="1" x14ac:dyDescent="0.3">
      <c r="A119" s="2" t="s">
        <v>62</v>
      </c>
      <c r="B119" s="2" t="s">
        <v>63</v>
      </c>
      <c r="C119" s="2" t="s">
        <v>64</v>
      </c>
      <c r="D119" s="2" t="s">
        <v>65</v>
      </c>
      <c r="E119" s="23" t="s">
        <v>665</v>
      </c>
      <c r="F119" s="2">
        <v>1</v>
      </c>
      <c r="G119" s="2" t="s">
        <v>11</v>
      </c>
      <c r="H119" s="2" t="s">
        <v>666</v>
      </c>
      <c r="I119" s="2" t="str">
        <f t="shared" si="2"/>
        <v>YES</v>
      </c>
      <c r="J119" s="2" t="str">
        <f>IF(I119="YES",IFERROR(VLOOKUP(E119,Scan!A:A,1,0),"Not scanned"),"")</f>
        <v>2019.01.3178</v>
      </c>
    </row>
    <row r="120" spans="1:10" s="2" customFormat="1" x14ac:dyDescent="0.3">
      <c r="A120" s="2" t="s">
        <v>393</v>
      </c>
      <c r="B120" s="2" t="s">
        <v>394</v>
      </c>
      <c r="C120" s="2" t="s">
        <v>380</v>
      </c>
      <c r="D120" s="2" t="s">
        <v>395</v>
      </c>
      <c r="E120" s="23" t="s">
        <v>240</v>
      </c>
      <c r="F120" s="2">
        <v>1</v>
      </c>
      <c r="G120" s="2" t="s">
        <v>666</v>
      </c>
      <c r="H120" s="2" t="s">
        <v>11</v>
      </c>
      <c r="I120" s="2" t="str">
        <f t="shared" si="2"/>
        <v>NO</v>
      </c>
      <c r="J120" s="2" t="str">
        <f>IF(I120="YES",IFERROR(VLOOKUP(E120,Scan!A:A,1,0),"Not scanned"),"")</f>
        <v/>
      </c>
    </row>
    <row r="121" spans="1:10" s="2" customFormat="1" x14ac:dyDescent="0.3">
      <c r="A121" s="2" t="s">
        <v>396</v>
      </c>
      <c r="B121" s="2" t="s">
        <v>397</v>
      </c>
      <c r="C121" s="2" t="s">
        <v>64</v>
      </c>
      <c r="D121" s="2" t="s">
        <v>398</v>
      </c>
      <c r="E121" s="23" t="s">
        <v>667</v>
      </c>
      <c r="F121" s="2">
        <v>1</v>
      </c>
      <c r="G121" s="2" t="s">
        <v>666</v>
      </c>
      <c r="H121" s="2" t="s">
        <v>11</v>
      </c>
      <c r="I121" s="2" t="str">
        <f t="shared" si="2"/>
        <v>YES</v>
      </c>
      <c r="J121" s="2" t="str">
        <f>IF(I121="YES",IFERROR(VLOOKUP(E121,Scan!A:A,1,0),"Not scanned"),"")</f>
        <v>2019.01.3242</v>
      </c>
    </row>
    <row r="122" spans="1:10" s="2" customFormat="1" x14ac:dyDescent="0.3">
      <c r="A122" s="2" t="s">
        <v>400</v>
      </c>
      <c r="B122" s="2" t="s">
        <v>401</v>
      </c>
      <c r="C122" s="2" t="s">
        <v>64</v>
      </c>
      <c r="D122" s="2" t="s">
        <v>402</v>
      </c>
      <c r="E122" s="23" t="s">
        <v>389</v>
      </c>
      <c r="F122" s="2">
        <v>1</v>
      </c>
      <c r="G122" s="2" t="s">
        <v>666</v>
      </c>
      <c r="H122" s="2" t="s">
        <v>11</v>
      </c>
      <c r="I122" s="2" t="str">
        <f t="shared" si="2"/>
        <v>YES</v>
      </c>
      <c r="J122" s="2" t="str">
        <f>IF(I122="YES",IFERROR(VLOOKUP(E122,Scan!A:A,1,0),"Not scanned"),"")</f>
        <v>Not scanned</v>
      </c>
    </row>
    <row r="123" spans="1:10" s="2" customFormat="1" x14ac:dyDescent="0.3">
      <c r="A123" s="2" t="s">
        <v>403</v>
      </c>
      <c r="B123" s="2" t="s">
        <v>404</v>
      </c>
      <c r="C123" s="2" t="s">
        <v>64</v>
      </c>
      <c r="D123" s="2" t="s">
        <v>405</v>
      </c>
      <c r="E123" s="23" t="s">
        <v>668</v>
      </c>
      <c r="F123" s="2">
        <v>1</v>
      </c>
      <c r="G123" s="2" t="s">
        <v>666</v>
      </c>
      <c r="H123" s="2" t="s">
        <v>11</v>
      </c>
      <c r="I123" s="2" t="str">
        <f t="shared" si="2"/>
        <v>YES</v>
      </c>
      <c r="J123" s="2" t="str">
        <f>IF(I123="YES",IFERROR(VLOOKUP(E123,Scan!A:A,1,0),"Not scanned"),"")</f>
        <v>2019.01.3010</v>
      </c>
    </row>
    <row r="124" spans="1:10" s="2" customFormat="1" x14ac:dyDescent="0.3">
      <c r="A124" s="2" t="s">
        <v>407</v>
      </c>
      <c r="B124" s="2" t="s">
        <v>408</v>
      </c>
      <c r="C124" s="2" t="s">
        <v>64</v>
      </c>
      <c r="D124" s="2" t="s">
        <v>409</v>
      </c>
      <c r="E124" s="23" t="s">
        <v>669</v>
      </c>
      <c r="F124" s="2">
        <v>1</v>
      </c>
      <c r="G124" s="2" t="s">
        <v>666</v>
      </c>
      <c r="H124" s="2" t="s">
        <v>11</v>
      </c>
      <c r="I124" s="2" t="str">
        <f t="shared" si="2"/>
        <v>YES</v>
      </c>
      <c r="J124" s="2" t="str">
        <f>IF(I124="YES",IFERROR(VLOOKUP(E124,Scan!A:A,1,0),"Not scanned"),"")</f>
        <v>2019.01.3084</v>
      </c>
    </row>
    <row r="125" spans="1:10" s="2" customFormat="1" x14ac:dyDescent="0.3">
      <c r="A125" s="2" t="s">
        <v>67</v>
      </c>
      <c r="B125" s="2" t="s">
        <v>68</v>
      </c>
      <c r="C125" s="2" t="s">
        <v>64</v>
      </c>
      <c r="D125" s="2" t="s">
        <v>69</v>
      </c>
      <c r="E125" s="23" t="s">
        <v>670</v>
      </c>
      <c r="F125" s="2">
        <v>1</v>
      </c>
      <c r="G125" s="2" t="s">
        <v>666</v>
      </c>
      <c r="H125" s="2" t="s">
        <v>671</v>
      </c>
      <c r="I125" s="2" t="str">
        <f t="shared" si="2"/>
        <v>YES</v>
      </c>
      <c r="J125" s="2" t="str">
        <f>IF(I125="YES",IFERROR(VLOOKUP(E125,Scan!A:A,1,0),"Not scanned"),"")</f>
        <v>2019.01.3537</v>
      </c>
    </row>
    <row r="126" spans="1:10" s="2" customFormat="1" x14ac:dyDescent="0.3">
      <c r="A126" s="2" t="s">
        <v>67</v>
      </c>
      <c r="B126" s="2" t="s">
        <v>68</v>
      </c>
      <c r="C126" s="2" t="s">
        <v>64</v>
      </c>
      <c r="D126" s="2" t="s">
        <v>69</v>
      </c>
      <c r="E126" s="23" t="s">
        <v>672</v>
      </c>
      <c r="F126" s="2">
        <v>1</v>
      </c>
      <c r="G126" s="2" t="s">
        <v>666</v>
      </c>
      <c r="H126" s="2" t="s">
        <v>673</v>
      </c>
      <c r="I126" s="2" t="str">
        <f t="shared" si="2"/>
        <v>YES</v>
      </c>
      <c r="J126" s="2" t="str">
        <f>IF(I126="YES",IFERROR(VLOOKUP(E126,Scan!A:A,1,0),"Not scanned"),"")</f>
        <v>2019.01.3538</v>
      </c>
    </row>
    <row r="127" spans="1:10" s="2" customFormat="1" x14ac:dyDescent="0.3">
      <c r="A127" s="2" t="s">
        <v>674</v>
      </c>
      <c r="B127" s="2" t="s">
        <v>97</v>
      </c>
      <c r="C127" s="2" t="s">
        <v>11</v>
      </c>
      <c r="D127" s="2" t="s">
        <v>11</v>
      </c>
      <c r="E127" s="23" t="s">
        <v>11</v>
      </c>
      <c r="F127" s="2">
        <v>1</v>
      </c>
      <c r="G127" s="2" t="s">
        <v>674</v>
      </c>
      <c r="H127" s="2" t="s">
        <v>11</v>
      </c>
      <c r="I127" s="2" t="str">
        <f t="shared" si="2"/>
        <v>NO</v>
      </c>
      <c r="J127" s="2" t="str">
        <f>IF(I127="YES",IFERROR(VLOOKUP(E127,Scan!A:A,1,0),"Not scanned"),"")</f>
        <v/>
      </c>
    </row>
    <row r="128" spans="1:10" s="2" customFormat="1" x14ac:dyDescent="0.3">
      <c r="A128" s="2" t="s">
        <v>62</v>
      </c>
      <c r="B128" s="2" t="s">
        <v>63</v>
      </c>
      <c r="C128" s="2" t="s">
        <v>64</v>
      </c>
      <c r="D128" s="2" t="s">
        <v>65</v>
      </c>
      <c r="E128" s="23" t="s">
        <v>675</v>
      </c>
      <c r="F128" s="2">
        <v>1</v>
      </c>
      <c r="G128" s="2" t="s">
        <v>11</v>
      </c>
      <c r="H128" s="2" t="s">
        <v>676</v>
      </c>
      <c r="I128" s="2" t="str">
        <f t="shared" si="2"/>
        <v>YES</v>
      </c>
      <c r="J128" s="2" t="str">
        <f>IF(I128="YES",IFERROR(VLOOKUP(E128,Scan!A:A,1,0),"Not scanned"),"")</f>
        <v>2019.01.3195</v>
      </c>
    </row>
    <row r="129" spans="1:10" s="2" customFormat="1" x14ac:dyDescent="0.3">
      <c r="A129" s="2" t="s">
        <v>393</v>
      </c>
      <c r="B129" s="2" t="s">
        <v>394</v>
      </c>
      <c r="C129" s="2" t="s">
        <v>380</v>
      </c>
      <c r="D129" s="2" t="s">
        <v>395</v>
      </c>
      <c r="E129" s="23" t="s">
        <v>240</v>
      </c>
      <c r="F129" s="2">
        <v>1</v>
      </c>
      <c r="G129" s="2" t="s">
        <v>676</v>
      </c>
      <c r="H129" s="2" t="s">
        <v>11</v>
      </c>
      <c r="I129" s="2" t="str">
        <f t="shared" si="2"/>
        <v>NO</v>
      </c>
      <c r="J129" s="2" t="str">
        <f>IF(I129="YES",IFERROR(VLOOKUP(E129,Scan!A:A,1,0),"Not scanned"),"")</f>
        <v/>
      </c>
    </row>
    <row r="130" spans="1:10" s="2" customFormat="1" x14ac:dyDescent="0.3">
      <c r="A130" s="2" t="s">
        <v>623</v>
      </c>
      <c r="B130" s="2" t="s">
        <v>624</v>
      </c>
      <c r="C130" s="2" t="s">
        <v>380</v>
      </c>
      <c r="D130" s="2" t="s">
        <v>625</v>
      </c>
      <c r="E130" s="23" t="s">
        <v>240</v>
      </c>
      <c r="F130" s="2">
        <v>1</v>
      </c>
      <c r="G130" s="2" t="s">
        <v>676</v>
      </c>
      <c r="H130" s="2" t="s">
        <v>11</v>
      </c>
      <c r="I130" s="2" t="str">
        <f t="shared" si="2"/>
        <v>NO</v>
      </c>
      <c r="J130" s="2" t="str">
        <f>IF(I130="YES",IFERROR(VLOOKUP(E130,Scan!A:A,1,0),"Not scanned"),"")</f>
        <v/>
      </c>
    </row>
    <row r="131" spans="1:10" s="2" customFormat="1" x14ac:dyDescent="0.3">
      <c r="A131" s="2" t="s">
        <v>396</v>
      </c>
      <c r="B131" s="2" t="s">
        <v>397</v>
      </c>
      <c r="C131" s="2" t="s">
        <v>64</v>
      </c>
      <c r="D131" s="2" t="s">
        <v>398</v>
      </c>
      <c r="E131" s="23" t="s">
        <v>677</v>
      </c>
      <c r="F131" s="2">
        <v>1</v>
      </c>
      <c r="G131" s="2" t="s">
        <v>676</v>
      </c>
      <c r="H131" s="2" t="s">
        <v>11</v>
      </c>
      <c r="I131" s="2" t="str">
        <f t="shared" ref="I131:I194" si="3">IF(OR(E131="",E131="_",LEFT(E131,5)="SPARE"),"NO","YES")</f>
        <v>YES</v>
      </c>
      <c r="J131" s="2" t="str">
        <f>IF(I131="YES",IFERROR(VLOOKUP(E131,Scan!A:A,1,0),"Not scanned"),"")</f>
        <v>2019.01.3259</v>
      </c>
    </row>
    <row r="132" spans="1:10" s="2" customFormat="1" x14ac:dyDescent="0.3">
      <c r="A132" s="2" t="s">
        <v>400</v>
      </c>
      <c r="B132" s="2" t="s">
        <v>401</v>
      </c>
      <c r="C132" s="2" t="s">
        <v>64</v>
      </c>
      <c r="D132" s="2" t="s">
        <v>402</v>
      </c>
      <c r="E132" s="23" t="s">
        <v>389</v>
      </c>
      <c r="F132" s="2">
        <v>1</v>
      </c>
      <c r="G132" s="2" t="s">
        <v>676</v>
      </c>
      <c r="H132" s="2" t="s">
        <v>11</v>
      </c>
      <c r="I132" s="2" t="str">
        <f t="shared" si="3"/>
        <v>YES</v>
      </c>
      <c r="J132" s="2" t="str">
        <f>IF(I132="YES",IFERROR(VLOOKUP(E132,Scan!A:A,1,0),"Not scanned"),"")</f>
        <v>Not scanned</v>
      </c>
    </row>
    <row r="133" spans="1:10" s="2" customFormat="1" x14ac:dyDescent="0.3">
      <c r="A133" s="2" t="s">
        <v>67</v>
      </c>
      <c r="B133" s="2" t="s">
        <v>68</v>
      </c>
      <c r="C133" s="2" t="s">
        <v>64</v>
      </c>
      <c r="D133" s="2" t="s">
        <v>69</v>
      </c>
      <c r="E133" s="23" t="s">
        <v>678</v>
      </c>
      <c r="F133" s="2">
        <v>1</v>
      </c>
      <c r="G133" s="2" t="s">
        <v>11</v>
      </c>
      <c r="H133" s="2" t="s">
        <v>679</v>
      </c>
      <c r="I133" s="2" t="str">
        <f t="shared" si="3"/>
        <v>YES</v>
      </c>
      <c r="J133" s="2" t="str">
        <f>IF(I133="YES",IFERROR(VLOOKUP(E133,Scan!A:A,1,0),"Not scanned"),"")</f>
        <v>2019.01.3539</v>
      </c>
    </row>
    <row r="134" spans="1:10" s="2" customFormat="1" x14ac:dyDescent="0.3">
      <c r="A134" s="2" t="s">
        <v>67</v>
      </c>
      <c r="B134" s="2" t="s">
        <v>68</v>
      </c>
      <c r="C134" s="2" t="s">
        <v>64</v>
      </c>
      <c r="D134" s="2" t="s">
        <v>69</v>
      </c>
      <c r="E134" s="23" t="s">
        <v>680</v>
      </c>
      <c r="F134" s="2">
        <v>1</v>
      </c>
      <c r="G134" s="2" t="s">
        <v>11</v>
      </c>
      <c r="H134" s="2" t="s">
        <v>681</v>
      </c>
      <c r="I134" s="2" t="str">
        <f t="shared" si="3"/>
        <v>YES</v>
      </c>
      <c r="J134" s="2" t="str">
        <f>IF(I134="YES",IFERROR(VLOOKUP(E134,Scan!A:A,1,0),"Not scanned"),"")</f>
        <v>2019.01.3554</v>
      </c>
    </row>
    <row r="135" spans="1:10" s="2" customFormat="1" x14ac:dyDescent="0.3">
      <c r="A135" s="2" t="s">
        <v>62</v>
      </c>
      <c r="B135" s="2" t="s">
        <v>63</v>
      </c>
      <c r="C135" s="2" t="s">
        <v>64</v>
      </c>
      <c r="D135" s="2" t="s">
        <v>65</v>
      </c>
      <c r="E135" s="23" t="s">
        <v>682</v>
      </c>
      <c r="F135" s="2">
        <v>1</v>
      </c>
      <c r="G135" s="2" t="s">
        <v>11</v>
      </c>
      <c r="H135" s="2" t="s">
        <v>683</v>
      </c>
      <c r="I135" s="2" t="str">
        <f t="shared" si="3"/>
        <v>YES</v>
      </c>
      <c r="J135" s="2" t="str">
        <f>IF(I135="YES",IFERROR(VLOOKUP(E135,Scan!A:A,1,0),"Not scanned"),"")</f>
        <v>2019.01.3192</v>
      </c>
    </row>
    <row r="136" spans="1:10" s="2" customFormat="1" x14ac:dyDescent="0.3">
      <c r="A136" s="2" t="s">
        <v>393</v>
      </c>
      <c r="B136" s="2" t="s">
        <v>394</v>
      </c>
      <c r="C136" s="2" t="s">
        <v>380</v>
      </c>
      <c r="D136" s="2" t="s">
        <v>395</v>
      </c>
      <c r="E136" s="23" t="s">
        <v>240</v>
      </c>
      <c r="F136" s="2">
        <v>1</v>
      </c>
      <c r="G136" s="2" t="s">
        <v>683</v>
      </c>
      <c r="H136" s="2" t="s">
        <v>11</v>
      </c>
      <c r="I136" s="2" t="str">
        <f t="shared" si="3"/>
        <v>NO</v>
      </c>
      <c r="J136" s="2" t="str">
        <f>IF(I136="YES",IFERROR(VLOOKUP(E136,Scan!A:A,1,0),"Not scanned"),"")</f>
        <v/>
      </c>
    </row>
    <row r="137" spans="1:10" s="2" customFormat="1" x14ac:dyDescent="0.3">
      <c r="A137" s="2" t="s">
        <v>396</v>
      </c>
      <c r="B137" s="2" t="s">
        <v>397</v>
      </c>
      <c r="C137" s="2" t="s">
        <v>64</v>
      </c>
      <c r="D137" s="2" t="s">
        <v>398</v>
      </c>
      <c r="E137" s="23" t="s">
        <v>684</v>
      </c>
      <c r="F137" s="2">
        <v>1</v>
      </c>
      <c r="G137" s="2" t="s">
        <v>683</v>
      </c>
      <c r="H137" s="2" t="s">
        <v>11</v>
      </c>
      <c r="I137" s="2" t="str">
        <f t="shared" si="3"/>
        <v>YES</v>
      </c>
      <c r="J137" s="2" t="str">
        <f>IF(I137="YES",IFERROR(VLOOKUP(E137,Scan!A:A,1,0),"Not scanned"),"")</f>
        <v>2019.01.3256</v>
      </c>
    </row>
    <row r="138" spans="1:10" s="2" customFormat="1" x14ac:dyDescent="0.3">
      <c r="A138" s="2" t="s">
        <v>400</v>
      </c>
      <c r="B138" s="2" t="s">
        <v>401</v>
      </c>
      <c r="C138" s="2" t="s">
        <v>64</v>
      </c>
      <c r="D138" s="2" t="s">
        <v>402</v>
      </c>
      <c r="E138" s="23" t="s">
        <v>389</v>
      </c>
      <c r="F138" s="2">
        <v>1</v>
      </c>
      <c r="G138" s="2" t="s">
        <v>683</v>
      </c>
      <c r="H138" s="2" t="s">
        <v>11</v>
      </c>
      <c r="I138" s="2" t="str">
        <f t="shared" si="3"/>
        <v>YES</v>
      </c>
      <c r="J138" s="2" t="str">
        <f>IF(I138="YES",IFERROR(VLOOKUP(E138,Scan!A:A,1,0),"Not scanned"),"")</f>
        <v>Not scanned</v>
      </c>
    </row>
    <row r="139" spans="1:10" s="2" customFormat="1" x14ac:dyDescent="0.3">
      <c r="A139" s="2" t="s">
        <v>67</v>
      </c>
      <c r="B139" s="2" t="s">
        <v>68</v>
      </c>
      <c r="C139" s="2" t="s">
        <v>64</v>
      </c>
      <c r="D139" s="2" t="s">
        <v>69</v>
      </c>
      <c r="E139" s="23" t="s">
        <v>685</v>
      </c>
      <c r="F139" s="2">
        <v>1</v>
      </c>
      <c r="G139" s="2" t="s">
        <v>11</v>
      </c>
      <c r="H139" s="2" t="s">
        <v>686</v>
      </c>
      <c r="I139" s="2" t="str">
        <f t="shared" si="3"/>
        <v>YES</v>
      </c>
      <c r="J139" s="2" t="str">
        <f>IF(I139="YES",IFERROR(VLOOKUP(E139,Scan!A:A,1,0),"Not scanned"),"")</f>
        <v>2019.01.3555</v>
      </c>
    </row>
    <row r="140" spans="1:10" s="2" customFormat="1" x14ac:dyDescent="0.3">
      <c r="A140" s="2" t="s">
        <v>67</v>
      </c>
      <c r="B140" s="2" t="s">
        <v>68</v>
      </c>
      <c r="C140" s="2" t="s">
        <v>64</v>
      </c>
      <c r="D140" s="2" t="s">
        <v>69</v>
      </c>
      <c r="E140" s="23" t="s">
        <v>687</v>
      </c>
      <c r="F140" s="2">
        <v>1</v>
      </c>
      <c r="G140" s="2" t="s">
        <v>11</v>
      </c>
      <c r="H140" s="2" t="s">
        <v>688</v>
      </c>
      <c r="I140" s="2" t="str">
        <f t="shared" si="3"/>
        <v>YES</v>
      </c>
      <c r="J140" s="2" t="str">
        <f>IF(I140="YES",IFERROR(VLOOKUP(E140,Scan!A:A,1,0),"Not scanned"),"")</f>
        <v>2019.01.3556</v>
      </c>
    </row>
    <row r="141" spans="1:10" s="2" customFormat="1" x14ac:dyDescent="0.3">
      <c r="A141" s="2" t="s">
        <v>403</v>
      </c>
      <c r="B141" s="2" t="s">
        <v>404</v>
      </c>
      <c r="C141" s="2" t="s">
        <v>64</v>
      </c>
      <c r="D141" s="2" t="s">
        <v>405</v>
      </c>
      <c r="E141" s="23" t="s">
        <v>689</v>
      </c>
      <c r="F141" s="2">
        <v>1</v>
      </c>
      <c r="G141" s="2" t="s">
        <v>11</v>
      </c>
      <c r="H141" s="2" t="s">
        <v>11</v>
      </c>
      <c r="I141" s="2" t="str">
        <f t="shared" si="3"/>
        <v>YES</v>
      </c>
      <c r="J141" s="2" t="str">
        <f>IF(I141="YES",IFERROR(VLOOKUP(E141,Scan!A:A,1,0),"Not scanned"),"")</f>
        <v>2019.01.3008</v>
      </c>
    </row>
    <row r="142" spans="1:10" s="2" customFormat="1" x14ac:dyDescent="0.3">
      <c r="A142" s="2" t="s">
        <v>407</v>
      </c>
      <c r="B142" s="2" t="s">
        <v>408</v>
      </c>
      <c r="C142" s="2" t="s">
        <v>64</v>
      </c>
      <c r="D142" s="2" t="s">
        <v>409</v>
      </c>
      <c r="E142" s="23" t="s">
        <v>690</v>
      </c>
      <c r="F142" s="2">
        <v>1</v>
      </c>
      <c r="G142" s="2" t="s">
        <v>11</v>
      </c>
      <c r="H142" s="2" t="s">
        <v>11</v>
      </c>
      <c r="I142" s="2" t="str">
        <f t="shared" si="3"/>
        <v>YES</v>
      </c>
      <c r="J142" s="2" t="str">
        <f>IF(I142="YES",IFERROR(VLOOKUP(E142,Scan!A:A,1,0),"Not scanned"),"")</f>
        <v>2019.01.3083</v>
      </c>
    </row>
    <row r="143" spans="1:10" s="2" customFormat="1" x14ac:dyDescent="0.3">
      <c r="A143" s="2" t="s">
        <v>407</v>
      </c>
      <c r="B143" s="2" t="s">
        <v>408</v>
      </c>
      <c r="C143" s="2" t="s">
        <v>64</v>
      </c>
      <c r="D143" s="2" t="s">
        <v>409</v>
      </c>
      <c r="E143" s="23" t="s">
        <v>691</v>
      </c>
      <c r="F143" s="2">
        <v>1</v>
      </c>
      <c r="G143" s="2" t="s">
        <v>11</v>
      </c>
      <c r="H143" s="2" t="s">
        <v>11</v>
      </c>
      <c r="I143" s="2" t="str">
        <f t="shared" si="3"/>
        <v>YES</v>
      </c>
      <c r="J143" s="2" t="str">
        <f>IF(I143="YES",IFERROR(VLOOKUP(E143,Scan!A:A,1,0),"Not scanned"),"")</f>
        <v>2019.01.3082</v>
      </c>
    </row>
    <row r="144" spans="1:10" s="2" customFormat="1" x14ac:dyDescent="0.3">
      <c r="A144" s="2" t="s">
        <v>692</v>
      </c>
      <c r="B144" s="2" t="s">
        <v>693</v>
      </c>
      <c r="C144" s="2" t="s">
        <v>11</v>
      </c>
      <c r="D144" s="2" t="s">
        <v>11</v>
      </c>
      <c r="E144" s="23" t="s">
        <v>11</v>
      </c>
      <c r="F144" s="2">
        <v>1</v>
      </c>
      <c r="G144" s="2" t="s">
        <v>692</v>
      </c>
      <c r="H144" s="2" t="s">
        <v>11</v>
      </c>
      <c r="I144" s="2" t="str">
        <f t="shared" si="3"/>
        <v>NO</v>
      </c>
      <c r="J144" s="2" t="str">
        <f>IF(I144="YES",IFERROR(VLOOKUP(E144,Scan!A:A,1,0),"Not scanned"),"")</f>
        <v/>
      </c>
    </row>
    <row r="145" spans="1:10" s="2" customFormat="1" x14ac:dyDescent="0.3">
      <c r="A145" s="2" t="s">
        <v>694</v>
      </c>
      <c r="B145" s="2" t="s">
        <v>695</v>
      </c>
      <c r="C145" s="2" t="s">
        <v>696</v>
      </c>
      <c r="D145" s="2" t="s">
        <v>697</v>
      </c>
      <c r="E145" s="23" t="s">
        <v>389</v>
      </c>
      <c r="F145" s="2">
        <v>1</v>
      </c>
      <c r="G145" s="2" t="s">
        <v>11</v>
      </c>
      <c r="H145" s="2" t="s">
        <v>698</v>
      </c>
      <c r="I145" s="2" t="str">
        <f t="shared" si="3"/>
        <v>YES</v>
      </c>
      <c r="J145" s="2" t="str">
        <f>IF(I145="YES",IFERROR(VLOOKUP(E145,Scan!A:A,1,0),"Not scanned"),"")</f>
        <v>Not scanned</v>
      </c>
    </row>
    <row r="146" spans="1:10" s="2" customFormat="1" x14ac:dyDescent="0.3">
      <c r="A146" s="2" t="s">
        <v>525</v>
      </c>
      <c r="B146" s="2" t="s">
        <v>526</v>
      </c>
      <c r="C146" s="2" t="s">
        <v>380</v>
      </c>
      <c r="D146" s="2" t="s">
        <v>527</v>
      </c>
      <c r="E146" s="23" t="s">
        <v>389</v>
      </c>
      <c r="F146" s="2">
        <v>1</v>
      </c>
      <c r="G146" s="2" t="s">
        <v>11</v>
      </c>
      <c r="H146" s="2" t="s">
        <v>699</v>
      </c>
      <c r="I146" s="2" t="str">
        <f t="shared" si="3"/>
        <v>YES</v>
      </c>
      <c r="J146" s="2" t="str">
        <f>IF(I146="YES",IFERROR(VLOOKUP(E146,Scan!A:A,1,0),"Not scanned"),"")</f>
        <v>Not scanned</v>
      </c>
    </row>
    <row r="147" spans="1:10" s="2" customFormat="1" x14ac:dyDescent="0.3">
      <c r="A147" s="2" t="s">
        <v>38</v>
      </c>
      <c r="B147" s="2" t="s">
        <v>39</v>
      </c>
      <c r="C147" s="2" t="s">
        <v>14</v>
      </c>
      <c r="D147" s="2" t="s">
        <v>572</v>
      </c>
      <c r="E147" s="23" t="s">
        <v>700</v>
      </c>
      <c r="F147" s="2">
        <v>1</v>
      </c>
      <c r="G147" s="2" t="s">
        <v>11</v>
      </c>
      <c r="H147" s="2" t="s">
        <v>701</v>
      </c>
      <c r="I147" s="2" t="str">
        <f t="shared" si="3"/>
        <v>YES</v>
      </c>
      <c r="J147" s="2" t="str">
        <f>IF(I147="YES",IFERROR(VLOOKUP(E147,Scan!A:A,1,0),"Not scanned"),"")</f>
        <v>5C3905J06A</v>
      </c>
    </row>
    <row r="148" spans="1:10" s="2" customFormat="1" x14ac:dyDescent="0.3">
      <c r="A148" s="2" t="s">
        <v>393</v>
      </c>
      <c r="B148" s="2" t="s">
        <v>394</v>
      </c>
      <c r="C148" s="2" t="s">
        <v>380</v>
      </c>
      <c r="D148" s="2" t="s">
        <v>395</v>
      </c>
      <c r="E148" s="23" t="s">
        <v>702</v>
      </c>
      <c r="F148" s="2">
        <v>1</v>
      </c>
      <c r="G148" s="2" t="s">
        <v>11</v>
      </c>
      <c r="H148" s="2" t="s">
        <v>703</v>
      </c>
      <c r="I148" s="2" t="str">
        <f t="shared" si="3"/>
        <v>YES</v>
      </c>
      <c r="J148" s="2" t="str">
        <f>IF(I148="YES",IFERROR(VLOOKUP(E148,Scan!A:A,1,0),"Not scanned"),"")</f>
        <v>Not scanned</v>
      </c>
    </row>
    <row r="149" spans="1:10" s="2" customFormat="1" x14ac:dyDescent="0.3">
      <c r="A149" s="2" t="s">
        <v>46</v>
      </c>
      <c r="B149" s="2" t="s">
        <v>39</v>
      </c>
      <c r="C149" s="2" t="s">
        <v>380</v>
      </c>
      <c r="D149" s="2" t="s">
        <v>47</v>
      </c>
      <c r="E149" s="23" t="s">
        <v>704</v>
      </c>
      <c r="F149" s="2">
        <v>1</v>
      </c>
      <c r="G149" s="2" t="s">
        <v>11</v>
      </c>
      <c r="H149" s="2" t="s">
        <v>705</v>
      </c>
      <c r="I149" s="2" t="str">
        <f t="shared" si="3"/>
        <v>YES</v>
      </c>
      <c r="J149" s="2" t="str">
        <f>IF(I149="YES",IFERROR(VLOOKUP(E149,Scan!A:A,1,0),"Not scanned"),"")</f>
        <v>Not scanned</v>
      </c>
    </row>
    <row r="150" spans="1:10" s="2" customFormat="1" x14ac:dyDescent="0.3">
      <c r="A150" s="2" t="s">
        <v>46</v>
      </c>
      <c r="B150" s="2" t="s">
        <v>39</v>
      </c>
      <c r="C150" s="2" t="s">
        <v>380</v>
      </c>
      <c r="D150" s="2" t="s">
        <v>47</v>
      </c>
      <c r="E150" s="23" t="s">
        <v>706</v>
      </c>
      <c r="F150" s="2">
        <v>1</v>
      </c>
      <c r="G150" s="2" t="s">
        <v>11</v>
      </c>
      <c r="H150" s="2" t="s">
        <v>707</v>
      </c>
      <c r="I150" s="2" t="str">
        <f t="shared" si="3"/>
        <v>YES</v>
      </c>
      <c r="J150" s="2" t="str">
        <f>IF(I150="YES",IFERROR(VLOOKUP(E150,Scan!A:A,1,0),"Not scanned"),"")</f>
        <v>Not scanned</v>
      </c>
    </row>
    <row r="151" spans="1:10" s="2" customFormat="1" x14ac:dyDescent="0.3">
      <c r="A151" s="2" t="s">
        <v>28</v>
      </c>
      <c r="B151" s="2" t="s">
        <v>18</v>
      </c>
      <c r="C151" s="2" t="s">
        <v>533</v>
      </c>
      <c r="D151" s="2" t="s">
        <v>29</v>
      </c>
      <c r="E151" s="23" t="s">
        <v>708</v>
      </c>
      <c r="F151" s="2">
        <v>1</v>
      </c>
      <c r="G151" s="2" t="s">
        <v>11</v>
      </c>
      <c r="H151" s="2" t="s">
        <v>709</v>
      </c>
      <c r="I151" s="2" t="str">
        <f t="shared" si="3"/>
        <v>YES</v>
      </c>
      <c r="J151" s="2" t="str">
        <f>IF(I151="YES",IFERROR(VLOOKUP(E151,Scan!A:A,1,0),"Not scanned"),"")</f>
        <v>Not scanned</v>
      </c>
    </row>
    <row r="152" spans="1:10" s="2" customFormat="1" x14ac:dyDescent="0.3">
      <c r="A152" s="2" t="s">
        <v>28</v>
      </c>
      <c r="B152" s="2" t="s">
        <v>18</v>
      </c>
      <c r="C152" s="2" t="s">
        <v>533</v>
      </c>
      <c r="D152" s="2" t="s">
        <v>29</v>
      </c>
      <c r="E152" s="23" t="s">
        <v>710</v>
      </c>
      <c r="F152" s="2">
        <v>1</v>
      </c>
      <c r="G152" s="2" t="s">
        <v>11</v>
      </c>
      <c r="H152" s="2" t="s">
        <v>711</v>
      </c>
      <c r="I152" s="2" t="str">
        <f t="shared" si="3"/>
        <v>YES</v>
      </c>
      <c r="J152" s="2" t="str">
        <f>IF(I152="YES",IFERROR(VLOOKUP(E152,Scan!A:A,1,0),"Not scanned"),"")</f>
        <v>Not scanned</v>
      </c>
    </row>
    <row r="153" spans="1:10" s="2" customFormat="1" x14ac:dyDescent="0.3">
      <c r="A153" s="2" t="s">
        <v>30</v>
      </c>
      <c r="B153" s="2" t="s">
        <v>18</v>
      </c>
      <c r="C153" s="2" t="s">
        <v>533</v>
      </c>
      <c r="D153" s="2" t="s">
        <v>31</v>
      </c>
      <c r="E153" s="23" t="s">
        <v>712</v>
      </c>
      <c r="F153" s="2">
        <v>1</v>
      </c>
      <c r="G153" s="2" t="s">
        <v>11</v>
      </c>
      <c r="H153" s="2" t="s">
        <v>713</v>
      </c>
      <c r="I153" s="2" t="str">
        <f t="shared" si="3"/>
        <v>YES</v>
      </c>
      <c r="J153" s="2" t="str">
        <f>IF(I153="YES",IFERROR(VLOOKUP(E153,Scan!A:A,1,0),"Not scanned"),"")</f>
        <v>Not scanned</v>
      </c>
    </row>
    <row r="154" spans="1:10" s="2" customFormat="1" x14ac:dyDescent="0.3">
      <c r="A154" s="2" t="s">
        <v>30</v>
      </c>
      <c r="B154" s="2" t="s">
        <v>18</v>
      </c>
      <c r="C154" s="2" t="s">
        <v>533</v>
      </c>
      <c r="D154" s="2" t="s">
        <v>31</v>
      </c>
      <c r="E154" s="23" t="s">
        <v>714</v>
      </c>
      <c r="F154" s="2">
        <v>1</v>
      </c>
      <c r="G154" s="2" t="s">
        <v>11</v>
      </c>
      <c r="H154" s="2" t="s">
        <v>715</v>
      </c>
      <c r="I154" s="2" t="str">
        <f t="shared" si="3"/>
        <v>YES</v>
      </c>
      <c r="J154" s="2" t="str">
        <f>IF(I154="YES",IFERROR(VLOOKUP(E154,Scan!A:A,1,0),"Not scanned"),"")</f>
        <v>Not scanned</v>
      </c>
    </row>
    <row r="155" spans="1:10" s="2" customFormat="1" x14ac:dyDescent="0.3">
      <c r="A155" s="2" t="s">
        <v>32</v>
      </c>
      <c r="B155" s="2" t="s">
        <v>18</v>
      </c>
      <c r="C155" s="2" t="s">
        <v>533</v>
      </c>
      <c r="D155" s="2" t="s">
        <v>33</v>
      </c>
      <c r="E155" s="23" t="s">
        <v>1063</v>
      </c>
      <c r="F155" s="2">
        <v>1</v>
      </c>
      <c r="G155" s="2" t="s">
        <v>11</v>
      </c>
      <c r="H155" s="2" t="s">
        <v>716</v>
      </c>
      <c r="I155" s="2" t="str">
        <f t="shared" si="3"/>
        <v>YES</v>
      </c>
      <c r="J155" s="2" t="str">
        <f>IF(I155="YES",IFERROR(VLOOKUP(E155,Scan!A:A,1,0),"Not scanned"),"")</f>
        <v>Not scanned</v>
      </c>
    </row>
    <row r="156" spans="1:10" s="2" customFormat="1" x14ac:dyDescent="0.3">
      <c r="E156" s="23"/>
      <c r="I156" s="2" t="str">
        <f t="shared" si="3"/>
        <v>NO</v>
      </c>
      <c r="J156" s="2" t="str">
        <f>IF(I156="YES",IFERROR(VLOOKUP(E156,Scan!A:A,1,0),"Not scanned"),"")</f>
        <v/>
      </c>
    </row>
    <row r="157" spans="1:10" s="2" customFormat="1" x14ac:dyDescent="0.3">
      <c r="E157" s="23"/>
      <c r="I157" s="2" t="str">
        <f t="shared" si="3"/>
        <v>NO</v>
      </c>
      <c r="J157" s="2" t="str">
        <f>IF(I157="YES",IFERROR(VLOOKUP(E157,Scan!A:A,1,0),"Not scanned"),"")</f>
        <v/>
      </c>
    </row>
    <row r="158" spans="1:10" s="2" customFormat="1" x14ac:dyDescent="0.3">
      <c r="E158" s="23"/>
      <c r="I158" s="2" t="str">
        <f t="shared" si="3"/>
        <v>NO</v>
      </c>
      <c r="J158" s="2" t="str">
        <f>IF(I158="YES",IFERROR(VLOOKUP(E158,Scan!A:A,1,0),"Not scanned"),"")</f>
        <v/>
      </c>
    </row>
    <row r="159" spans="1:10" s="2" customFormat="1" x14ac:dyDescent="0.3">
      <c r="E159" s="23"/>
      <c r="I159" s="2" t="str">
        <f t="shared" si="3"/>
        <v>NO</v>
      </c>
      <c r="J159" s="2" t="str">
        <f>IF(I159="YES",IFERROR(VLOOKUP(E159,Scan!A:A,1,0),"Not scanned"),"")</f>
        <v/>
      </c>
    </row>
    <row r="160" spans="1:10" s="2" customFormat="1" x14ac:dyDescent="0.3">
      <c r="E160" s="23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3">
      <c r="E161" s="23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3">
      <c r="E162" s="23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3">
      <c r="E163" s="23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3">
      <c r="E164" s="23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3">
      <c r="E165" s="23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3">
      <c r="E166" s="23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3">
      <c r="E167" s="23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3">
      <c r="E168" s="23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3">
      <c r="E169" s="23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3">
      <c r="E170" s="23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3">
      <c r="E171" s="23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3">
      <c r="E172" s="23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3">
      <c r="E173" s="23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3">
      <c r="E174" s="23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3">
      <c r="E175" s="23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3">
      <c r="E176" s="23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3">
      <c r="E177" s="23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3">
      <c r="E178" s="23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3">
      <c r="E179" s="23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3">
      <c r="E180" s="23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3">
      <c r="E181" s="23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3">
      <c r="E182" s="23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3">
      <c r="E183" s="23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3">
      <c r="E184" s="23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3">
      <c r="E185" s="24"/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3">
      <c r="E186" s="24"/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3">
      <c r="E187" s="24"/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3">
      <c r="E188" s="24"/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3">
      <c r="E189" s="24"/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3">
      <c r="E190" s="24"/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3">
      <c r="E191" s="24"/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3">
      <c r="E192" s="24"/>
      <c r="I192" s="2" t="str">
        <f t="shared" si="3"/>
        <v>NO</v>
      </c>
      <c r="J192" s="2" t="str">
        <f>IF(I192="YES",IFERROR(VLOOKUP(E192,Scan!A:A,1,0),"Not scanned"),"")</f>
        <v/>
      </c>
    </row>
    <row r="193" spans="1:10" x14ac:dyDescent="0.3">
      <c r="E193" s="24"/>
      <c r="I193" s="2" t="str">
        <f t="shared" si="3"/>
        <v>NO</v>
      </c>
      <c r="J193" s="2" t="str">
        <f>IF(I193="YES",IFERROR(VLOOKUP(E193,Scan!A:A,1,0),"Not scanned"),"")</f>
        <v/>
      </c>
    </row>
    <row r="194" spans="1:10" x14ac:dyDescent="0.3">
      <c r="E194" s="24"/>
      <c r="I194" s="2" t="str">
        <f t="shared" si="3"/>
        <v>NO</v>
      </c>
      <c r="J194" s="2" t="str">
        <f>IF(I194="YES",IFERROR(VLOOKUP(E194,Scan!A:A,1,0),"Not scanned"),"")</f>
        <v/>
      </c>
    </row>
    <row r="195" spans="1:10" x14ac:dyDescent="0.3">
      <c r="E195" s="24"/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1:10" x14ac:dyDescent="0.3">
      <c r="E196" s="24"/>
      <c r="I196" s="2" t="str">
        <f t="shared" si="4"/>
        <v>NO</v>
      </c>
      <c r="J196" s="2" t="str">
        <f>IF(I196="YES",IFERROR(VLOOKUP(E196,Scan!A:A,1,0),"Not scanned"),"")</f>
        <v/>
      </c>
    </row>
    <row r="197" spans="1:10" x14ac:dyDescent="0.3">
      <c r="E197" s="24"/>
      <c r="I197" s="2" t="str">
        <f t="shared" si="4"/>
        <v>NO</v>
      </c>
      <c r="J197" s="2" t="str">
        <f>IF(I197="YES",IFERROR(VLOOKUP(E197,Scan!A:A,1,0),"Not scanned"),"")</f>
        <v/>
      </c>
    </row>
    <row r="198" spans="1:10" x14ac:dyDescent="0.3">
      <c r="E198" s="24"/>
      <c r="I198" s="2" t="str">
        <f t="shared" si="4"/>
        <v>NO</v>
      </c>
      <c r="J198" s="2" t="str">
        <f>IF(I198="YES",IFERROR(VLOOKUP(E198,Scan!A:A,1,0),"Not scanned"),"")</f>
        <v/>
      </c>
    </row>
    <row r="199" spans="1:10" x14ac:dyDescent="0.3">
      <c r="E199" s="24"/>
      <c r="I199" s="2" t="str">
        <f t="shared" si="4"/>
        <v>NO</v>
      </c>
      <c r="J199" s="2" t="str">
        <f>IF(I199="YES",IFERROR(VLOOKUP(E199,Scan!A:A,1,0),"Not scanned"),"")</f>
        <v/>
      </c>
    </row>
    <row r="200" spans="1:10" x14ac:dyDescent="0.3">
      <c r="E200" s="24"/>
      <c r="I200" s="2" t="str">
        <f t="shared" si="4"/>
        <v>NO</v>
      </c>
      <c r="J200" s="2" t="str">
        <f>IF(I200="YES",IFERROR(VLOOKUP(E200,Scan!A:A,1,0),"Not scanned"),"")</f>
        <v/>
      </c>
    </row>
    <row r="201" spans="1:10" x14ac:dyDescent="0.3">
      <c r="E201" s="24"/>
      <c r="I201" s="2" t="str">
        <f t="shared" si="4"/>
        <v>NO</v>
      </c>
      <c r="J201" s="2" t="str">
        <f>IF(I201="YES",IFERROR(VLOOKUP(E201,Scan!A:A,1,0),"Not scanned"),"")</f>
        <v/>
      </c>
    </row>
    <row r="202" spans="1:10" x14ac:dyDescent="0.3">
      <c r="E202" s="24"/>
      <c r="I202" s="2" t="str">
        <f t="shared" si="4"/>
        <v>NO</v>
      </c>
      <c r="J202" s="2" t="str">
        <f>IF(I202="YES",IFERROR(VLOOKUP(E202,Scan!A:A,1,0),"Not scanned"),"")</f>
        <v/>
      </c>
    </row>
    <row r="203" spans="1:10" x14ac:dyDescent="0.3">
      <c r="E203" s="24"/>
      <c r="I203" s="2" t="str">
        <f t="shared" si="4"/>
        <v>NO</v>
      </c>
      <c r="J203" s="2" t="str">
        <f>IF(I203="YES",IFERROR(VLOOKUP(E203,Scan!A:A,1,0),"Not scanned"),"")</f>
        <v/>
      </c>
    </row>
    <row r="204" spans="1:10" x14ac:dyDescent="0.3">
      <c r="E204" s="25"/>
      <c r="I204" s="2" t="str">
        <f t="shared" si="4"/>
        <v>NO</v>
      </c>
      <c r="J204" s="2" t="str">
        <f>IF(I204="YES",IFERROR(VLOOKUP(E204,Scan!A:A,1,0),"Not scanned"),"")</f>
        <v/>
      </c>
    </row>
    <row r="205" spans="1:10" x14ac:dyDescent="0.3">
      <c r="A205" s="26"/>
      <c r="E205" s="4"/>
      <c r="I205" s="2" t="str">
        <f t="shared" si="4"/>
        <v>NO</v>
      </c>
      <c r="J205" s="2" t="str">
        <f>IF(I205="YES",IFERROR(VLOOKUP(E205,Scan!A:A,1,0),"Not scanned"),"")</f>
        <v/>
      </c>
    </row>
    <row r="206" spans="1:10" x14ac:dyDescent="0.3">
      <c r="A206" s="26"/>
      <c r="E206" s="4"/>
      <c r="I206" s="2" t="str">
        <f t="shared" si="4"/>
        <v>NO</v>
      </c>
      <c r="J206" s="2" t="str">
        <f>IF(I206="YES",IFERROR(VLOOKUP(E206,Scan!A:A,1,0),"Not scanned"),"")</f>
        <v/>
      </c>
    </row>
    <row r="207" spans="1:10" x14ac:dyDescent="0.3">
      <c r="A207" s="26"/>
      <c r="E207" s="4"/>
      <c r="I207" s="2" t="str">
        <f t="shared" si="4"/>
        <v>NO</v>
      </c>
      <c r="J207" s="2" t="str">
        <f>IF(I207="YES",IFERROR(VLOOKUP(E207,Scan!A:A,1,0),"Not scanned"),"")</f>
        <v/>
      </c>
    </row>
    <row r="208" spans="1:10" x14ac:dyDescent="0.3">
      <c r="A208" s="26"/>
      <c r="E208" s="4"/>
      <c r="I208" s="2" t="str">
        <f t="shared" si="4"/>
        <v>NO</v>
      </c>
      <c r="J208" s="2" t="str">
        <f>IF(I208="YES",IFERROR(VLOOKUP(E208,Scan!A:A,1,0),"Not scanned"),"")</f>
        <v/>
      </c>
    </row>
    <row r="209" spans="1:10" x14ac:dyDescent="0.3">
      <c r="A209" s="26"/>
      <c r="E209" s="4"/>
      <c r="I209" s="2" t="str">
        <f t="shared" si="4"/>
        <v>NO</v>
      </c>
      <c r="J209" s="2" t="str">
        <f>IF(I209="YES",IFERROR(VLOOKUP(E209,Scan!A:A,1,0),"Not scanned"),"")</f>
        <v/>
      </c>
    </row>
    <row r="210" spans="1:10" x14ac:dyDescent="0.3">
      <c r="A210" s="26"/>
      <c r="E210" s="4"/>
      <c r="I210" s="2" t="str">
        <f t="shared" si="4"/>
        <v>NO</v>
      </c>
      <c r="J210" s="2" t="str">
        <f>IF(I210="YES",IFERROR(VLOOKUP(E210,Scan!A:A,1,0),"Not scanned"),"")</f>
        <v/>
      </c>
    </row>
    <row r="211" spans="1:10" x14ac:dyDescent="0.3">
      <c r="A211" s="26"/>
      <c r="E211" s="4"/>
      <c r="I211" s="2" t="str">
        <f t="shared" si="4"/>
        <v>NO</v>
      </c>
      <c r="J211" s="2" t="str">
        <f>IF(I211="YES",IFERROR(VLOOKUP(E211,Scan!A:A,1,0),"Not scanned"),"")</f>
        <v/>
      </c>
    </row>
    <row r="212" spans="1:10" x14ac:dyDescent="0.3">
      <c r="A212" s="26"/>
      <c r="E212" s="4"/>
      <c r="I212" s="2" t="str">
        <f t="shared" si="4"/>
        <v>NO</v>
      </c>
      <c r="J212" s="2" t="str">
        <f>IF(I212="YES",IFERROR(VLOOKUP(E212,Scan!A:A,1,0),"Not scanned"),"")</f>
        <v/>
      </c>
    </row>
    <row r="213" spans="1:10" x14ac:dyDescent="0.3">
      <c r="A213" s="26"/>
      <c r="E213" s="4"/>
      <c r="I213" s="2" t="str">
        <f t="shared" si="4"/>
        <v>NO</v>
      </c>
      <c r="J213" s="2" t="str">
        <f>IF(I213="YES",IFERROR(VLOOKUP(E213,Scan!A:A,1,0),"Not scanned"),"")</f>
        <v/>
      </c>
    </row>
    <row r="214" spans="1:10" x14ac:dyDescent="0.3">
      <c r="A214" s="26"/>
      <c r="E214" s="4"/>
      <c r="I214" s="2" t="str">
        <f t="shared" si="4"/>
        <v>NO</v>
      </c>
      <c r="J214" s="2" t="str">
        <f>IF(I214="YES",IFERROR(VLOOKUP(E214,Scan!A:A,1,0),"Not scanned"),"")</f>
        <v/>
      </c>
    </row>
    <row r="215" spans="1:10" x14ac:dyDescent="0.3">
      <c r="A215" s="26"/>
      <c r="E215" s="4"/>
      <c r="I215" s="2" t="str">
        <f t="shared" si="4"/>
        <v>NO</v>
      </c>
      <c r="J215" s="2" t="str">
        <f>IF(I215="YES",IFERROR(VLOOKUP(E215,Scan!A:A,1,0),"Not scanned"),"")</f>
        <v/>
      </c>
    </row>
    <row r="216" spans="1:10" x14ac:dyDescent="0.3">
      <c r="E216" s="24"/>
      <c r="I216" s="2" t="str">
        <f t="shared" si="4"/>
        <v>NO</v>
      </c>
      <c r="J216" s="2" t="str">
        <f>IF(I216="YES",IFERROR(VLOOKUP(E216,Scan!A:A,1,0),"Not scanned"),"")</f>
        <v/>
      </c>
    </row>
    <row r="217" spans="1:10" x14ac:dyDescent="0.3">
      <c r="E217" s="24"/>
      <c r="I217" s="2" t="str">
        <f t="shared" si="4"/>
        <v>NO</v>
      </c>
      <c r="J217" s="2" t="str">
        <f>IF(I217="YES",IFERROR(VLOOKUP(E217,Scan!A:A,1,0),"Not scanned"),"")</f>
        <v/>
      </c>
    </row>
    <row r="218" spans="1:10" x14ac:dyDescent="0.3">
      <c r="E218" s="24"/>
      <c r="I218" s="2" t="str">
        <f t="shared" si="4"/>
        <v>NO</v>
      </c>
      <c r="J218" s="2" t="str">
        <f>IF(I218="YES",IFERROR(VLOOKUP(E218,Scan!A:A,1,0),"Not scanned"),"")</f>
        <v/>
      </c>
    </row>
    <row r="219" spans="1:10" x14ac:dyDescent="0.3">
      <c r="E219" s="24"/>
      <c r="I219" s="2" t="str">
        <f t="shared" si="4"/>
        <v>NO</v>
      </c>
      <c r="J219" s="2" t="str">
        <f>IF(I219="YES",IFERROR(VLOOKUP(E219,Scan!A:A,1,0),"Not scanned"),"")</f>
        <v/>
      </c>
    </row>
    <row r="220" spans="1:10" x14ac:dyDescent="0.3">
      <c r="E220" s="24"/>
      <c r="I220" s="2" t="str">
        <f t="shared" si="4"/>
        <v>NO</v>
      </c>
      <c r="J220" s="2" t="str">
        <f>IF(I220="YES",IFERROR(VLOOKUP(E220,Scan!A:A,1,0),"Not scanned"),"")</f>
        <v/>
      </c>
    </row>
    <row r="221" spans="1:10" x14ac:dyDescent="0.3">
      <c r="E221" s="24"/>
      <c r="I221" s="2" t="str">
        <f t="shared" si="4"/>
        <v>NO</v>
      </c>
      <c r="J221" s="2" t="str">
        <f>IF(I221="YES",IFERROR(VLOOKUP(E221,Scan!A:A,1,0),"Not scanned"),"")</f>
        <v/>
      </c>
    </row>
    <row r="222" spans="1:10" x14ac:dyDescent="0.3">
      <c r="E222" s="24"/>
      <c r="I222" s="2" t="str">
        <f t="shared" si="4"/>
        <v>NO</v>
      </c>
      <c r="J222" s="2" t="str">
        <f>IF(I222="YES",IFERROR(VLOOKUP(E222,Scan!A:A,1,0),"Not scanned"),"")</f>
        <v/>
      </c>
    </row>
    <row r="223" spans="1:10" x14ac:dyDescent="0.3">
      <c r="E223" s="24"/>
      <c r="I223" s="2" t="str">
        <f t="shared" si="4"/>
        <v>NO</v>
      </c>
      <c r="J223" s="2" t="str">
        <f>IF(I223="YES",IFERROR(VLOOKUP(E223,Scan!A:A,1,0),"Not scanned"),"")</f>
        <v/>
      </c>
    </row>
    <row r="224" spans="1:10" x14ac:dyDescent="0.3">
      <c r="E224" s="24"/>
      <c r="I224" s="2" t="str">
        <f t="shared" si="4"/>
        <v>NO</v>
      </c>
      <c r="J224" s="2" t="str">
        <f>IF(I224="YES",IFERROR(VLOOKUP(E224,Scan!A:A,1,0),"Not scanned"),"")</f>
        <v/>
      </c>
    </row>
    <row r="225" spans="5:10" x14ac:dyDescent="0.3">
      <c r="E225" s="24"/>
      <c r="I225" s="2" t="str">
        <f t="shared" si="4"/>
        <v>NO</v>
      </c>
      <c r="J225" s="2" t="str">
        <f>IF(I225="YES",IFERROR(VLOOKUP(E225,Scan!A:A,1,0),"Not scanned"),"")</f>
        <v/>
      </c>
    </row>
    <row r="226" spans="5:10" x14ac:dyDescent="0.3">
      <c r="E226" s="24"/>
      <c r="I226" s="2" t="str">
        <f t="shared" si="4"/>
        <v>NO</v>
      </c>
      <c r="J226" s="2" t="str">
        <f>IF(I226="YES",IFERROR(VLOOKUP(E226,Scan!A:A,1,0),"Not scanned"),"")</f>
        <v/>
      </c>
    </row>
    <row r="227" spans="5:10" x14ac:dyDescent="0.3">
      <c r="E227" s="24"/>
      <c r="I227" s="2" t="str">
        <f t="shared" si="4"/>
        <v>NO</v>
      </c>
      <c r="J227" s="2" t="str">
        <f>IF(I227="YES",IFERROR(VLOOKUP(E227,Scan!A:A,1,0),"Not scanned"),"")</f>
        <v/>
      </c>
    </row>
    <row r="228" spans="5:10" x14ac:dyDescent="0.3">
      <c r="E228" s="24"/>
      <c r="I228" s="2" t="str">
        <f t="shared" si="4"/>
        <v>NO</v>
      </c>
      <c r="J228" s="2" t="str">
        <f>IF(I228="YES",IFERROR(VLOOKUP(E228,Scan!A:A,1,0),"Not scanned"),"")</f>
        <v/>
      </c>
    </row>
    <row r="229" spans="5:10" x14ac:dyDescent="0.3">
      <c r="E229" s="24"/>
      <c r="I229" s="2" t="str">
        <f t="shared" si="4"/>
        <v>NO</v>
      </c>
      <c r="J229" s="2" t="str">
        <f>IF(I229="YES",IFERROR(VLOOKUP(E229,Scan!A:A,1,0),"Not scanned"),"")</f>
        <v/>
      </c>
    </row>
    <row r="230" spans="5:10" x14ac:dyDescent="0.3">
      <c r="E230" s="24"/>
      <c r="I230" s="2" t="str">
        <f t="shared" si="4"/>
        <v>NO</v>
      </c>
      <c r="J230" s="2" t="str">
        <f>IF(I230="YES",IFERROR(VLOOKUP(E230,Scan!A:A,1,0),"Not scanned"),"")</f>
        <v/>
      </c>
    </row>
    <row r="231" spans="5:10" x14ac:dyDescent="0.3">
      <c r="E231" s="24"/>
      <c r="I231" s="2" t="str">
        <f t="shared" si="4"/>
        <v>NO</v>
      </c>
      <c r="J231" s="2" t="str">
        <f>IF(I231="YES",IFERROR(VLOOKUP(E231,Scan!A:A,1,0),"Not scanned"),"")</f>
        <v/>
      </c>
    </row>
    <row r="232" spans="5:10" x14ac:dyDescent="0.3">
      <c r="E232" s="24"/>
      <c r="I232" s="2" t="str">
        <f t="shared" si="4"/>
        <v>NO</v>
      </c>
      <c r="J232" s="2" t="str">
        <f>IF(I232="YES",IFERROR(VLOOKUP(E232,Scan!A:A,1,0),"Not scanned"),"")</f>
        <v/>
      </c>
    </row>
    <row r="233" spans="5:10" x14ac:dyDescent="0.3">
      <c r="E233" s="24"/>
      <c r="I233" s="2" t="str">
        <f t="shared" si="4"/>
        <v>NO</v>
      </c>
      <c r="J233" s="2" t="str">
        <f>IF(I233="YES",IFERROR(VLOOKUP(E233,Scan!A:A,1,0),"Not scanned"),"")</f>
        <v/>
      </c>
    </row>
    <row r="234" spans="5:10" x14ac:dyDescent="0.3">
      <c r="E234" s="24"/>
      <c r="I234" s="2" t="str">
        <f t="shared" si="4"/>
        <v>NO</v>
      </c>
      <c r="J234" s="2" t="str">
        <f>IF(I234="YES",IFERROR(VLOOKUP(E234,Scan!A:A,1,0),"Not scanned"),"")</f>
        <v/>
      </c>
    </row>
    <row r="235" spans="5:10" x14ac:dyDescent="0.3">
      <c r="E235" s="24"/>
      <c r="I235" s="2" t="str">
        <f t="shared" si="4"/>
        <v>NO</v>
      </c>
      <c r="J235" s="2" t="str">
        <f>IF(I235="YES",IFERROR(VLOOKUP(E235,Scan!A:A,1,0),"Not scanned"),"")</f>
        <v/>
      </c>
    </row>
    <row r="236" spans="5:10" x14ac:dyDescent="0.3">
      <c r="E236" s="24"/>
      <c r="I236" s="2" t="str">
        <f t="shared" si="4"/>
        <v>NO</v>
      </c>
      <c r="J236" s="2" t="str">
        <f>IF(I236="YES",IFERROR(VLOOKUP(E236,Scan!A:A,1,0),"Not scanned"),"")</f>
        <v/>
      </c>
    </row>
    <row r="237" spans="5:10" x14ac:dyDescent="0.3">
      <c r="E237" s="24"/>
      <c r="I237" s="2" t="str">
        <f t="shared" si="4"/>
        <v>NO</v>
      </c>
      <c r="J237" s="2" t="str">
        <f>IF(I237="YES",IFERROR(VLOOKUP(E237,Scan!A:A,1,0),"Not scanned"),"")</f>
        <v/>
      </c>
    </row>
    <row r="238" spans="5:10" x14ac:dyDescent="0.3">
      <c r="E238" s="24"/>
      <c r="I238" s="2" t="str">
        <f t="shared" si="4"/>
        <v>NO</v>
      </c>
      <c r="J238" s="2" t="str">
        <f>IF(I238="YES",IFERROR(VLOOKUP(E238,Scan!A:A,1,0),"Not scanned"),"")</f>
        <v/>
      </c>
    </row>
    <row r="239" spans="5:10" x14ac:dyDescent="0.3">
      <c r="E239" s="24"/>
      <c r="I239" s="2" t="str">
        <f t="shared" si="4"/>
        <v>NO</v>
      </c>
      <c r="J239" s="2" t="str">
        <f>IF(I239="YES",IFERROR(VLOOKUP(E239,Scan!A:A,1,0),"Not scanned"),"")</f>
        <v/>
      </c>
    </row>
    <row r="240" spans="5:10" x14ac:dyDescent="0.3">
      <c r="E240" s="24"/>
      <c r="I240" s="2" t="str">
        <f t="shared" si="4"/>
        <v>NO</v>
      </c>
      <c r="J240" s="2" t="str">
        <f>IF(I240="YES",IFERROR(VLOOKUP(E240,Scan!A:A,1,0),"Not scanned"),"")</f>
        <v/>
      </c>
    </row>
    <row r="241" spans="5:10" x14ac:dyDescent="0.3">
      <c r="E241" s="24"/>
      <c r="I241" s="2" t="str">
        <f t="shared" si="4"/>
        <v>NO</v>
      </c>
      <c r="J241" s="2" t="str">
        <f>IF(I241="YES",IFERROR(VLOOKUP(E241,Scan!A:A,1,0),"Not scanned"),"")</f>
        <v/>
      </c>
    </row>
    <row r="242" spans="5:10" x14ac:dyDescent="0.3">
      <c r="E242" s="24"/>
      <c r="I242" s="2" t="str">
        <f t="shared" si="4"/>
        <v>NO</v>
      </c>
      <c r="J242" s="2" t="str">
        <f>IF(I242="YES",IFERROR(VLOOKUP(E242,Scan!A:A,1,0),"Not scanned"),"")</f>
        <v/>
      </c>
    </row>
    <row r="243" spans="5:10" x14ac:dyDescent="0.3">
      <c r="E243" s="24"/>
      <c r="I243" s="2" t="str">
        <f t="shared" si="4"/>
        <v>NO</v>
      </c>
      <c r="J243" s="2" t="str">
        <f>IF(I243="YES",IFERROR(VLOOKUP(E243,Scan!A:A,1,0),"Not scanned"),"")</f>
        <v/>
      </c>
    </row>
    <row r="244" spans="5:10" x14ac:dyDescent="0.3">
      <c r="E244" s="24"/>
      <c r="I244" s="2" t="str">
        <f t="shared" si="4"/>
        <v>NO</v>
      </c>
      <c r="J244" s="2" t="str">
        <f>IF(I244="YES",IFERROR(VLOOKUP(E244,Scan!A:A,1,0),"Not scanned"),"")</f>
        <v/>
      </c>
    </row>
    <row r="245" spans="5:10" x14ac:dyDescent="0.3">
      <c r="E245" s="24"/>
      <c r="I245" s="2" t="str">
        <f t="shared" si="4"/>
        <v>NO</v>
      </c>
      <c r="J245" s="2" t="str">
        <f>IF(I245="YES",IFERROR(VLOOKUP(E245,Scan!A:A,1,0),"Not scanned"),"")</f>
        <v/>
      </c>
    </row>
    <row r="246" spans="5:10" x14ac:dyDescent="0.3">
      <c r="E246" s="24"/>
      <c r="I246" s="2" t="str">
        <f t="shared" si="4"/>
        <v>NO</v>
      </c>
      <c r="J246" s="2" t="str">
        <f>IF(I246="YES",IFERROR(VLOOKUP(E246,Scan!A:A,1,0),"Not scanned"),"")</f>
        <v/>
      </c>
    </row>
    <row r="247" spans="5:10" x14ac:dyDescent="0.3">
      <c r="E247" s="24"/>
      <c r="I247" s="2" t="str">
        <f t="shared" si="4"/>
        <v>NO</v>
      </c>
      <c r="J247" s="2" t="str">
        <f>IF(I247="YES",IFERROR(VLOOKUP(E247,Scan!A:A,1,0),"Not scanned"),"")</f>
        <v/>
      </c>
    </row>
    <row r="248" spans="5:10" x14ac:dyDescent="0.3">
      <c r="E248" s="24"/>
      <c r="I248" s="2" t="str">
        <f t="shared" si="4"/>
        <v>NO</v>
      </c>
      <c r="J248" s="2" t="str">
        <f>IF(I248="YES",IFERROR(VLOOKUP(E248,Scan!A:A,1,0),"Not scanned"),"")</f>
        <v/>
      </c>
    </row>
    <row r="249" spans="5:10" x14ac:dyDescent="0.3">
      <c r="E249" s="24"/>
      <c r="I249" s="2" t="str">
        <f t="shared" si="4"/>
        <v>NO</v>
      </c>
      <c r="J249" s="2" t="str">
        <f>IF(I249="YES",IFERROR(VLOOKUP(E249,Scan!A:A,1,0),"Not scanned"),"")</f>
        <v/>
      </c>
    </row>
    <row r="250" spans="5:10" x14ac:dyDescent="0.3">
      <c r="E250" s="24"/>
      <c r="I250" s="2" t="str">
        <f t="shared" si="4"/>
        <v>NO</v>
      </c>
      <c r="J250" s="2" t="str">
        <f>IF(I250="YES",IFERROR(VLOOKUP(E250,Scan!A:A,1,0),"Not scanned"),"")</f>
        <v/>
      </c>
    </row>
    <row r="251" spans="5:10" x14ac:dyDescent="0.3">
      <c r="E251" s="24"/>
      <c r="I251" s="2" t="str">
        <f t="shared" si="4"/>
        <v>NO</v>
      </c>
      <c r="J251" s="2" t="str">
        <f>IF(I251="YES",IFERROR(VLOOKUP(E251,Scan!A:A,1,0),"Not scanned"),"")</f>
        <v/>
      </c>
    </row>
    <row r="252" spans="5:10" x14ac:dyDescent="0.3">
      <c r="E252" s="24"/>
      <c r="I252" s="2" t="str">
        <f t="shared" si="4"/>
        <v>NO</v>
      </c>
      <c r="J252" s="2" t="str">
        <f>IF(I252="YES",IFERROR(VLOOKUP(E252,Scan!A:A,1,0),"Not scanned"),"")</f>
        <v/>
      </c>
    </row>
    <row r="253" spans="5:10" x14ac:dyDescent="0.3">
      <c r="E253" s="24"/>
      <c r="I253" s="2" t="str">
        <f t="shared" si="4"/>
        <v>NO</v>
      </c>
      <c r="J253" s="2" t="str">
        <f>IF(I253="YES",IFERROR(VLOOKUP(E253,Scan!A:A,1,0),"Not scanned"),"")</f>
        <v/>
      </c>
    </row>
    <row r="254" spans="5:10" x14ac:dyDescent="0.3">
      <c r="E254" s="24"/>
      <c r="I254" s="2" t="str">
        <f t="shared" si="4"/>
        <v>NO</v>
      </c>
      <c r="J254" s="2" t="str">
        <f>IF(I254="YES",IFERROR(VLOOKUP(E254,Scan!A:A,1,0),"Not scanned"),"")</f>
        <v/>
      </c>
    </row>
    <row r="255" spans="5:10" x14ac:dyDescent="0.3">
      <c r="E255" s="24"/>
      <c r="I255" s="2" t="str">
        <f t="shared" si="4"/>
        <v>NO</v>
      </c>
      <c r="J255" s="2" t="str">
        <f>IF(I255="YES",IFERROR(VLOOKUP(E255,Scan!A:A,1,0),"Not scanned"),"")</f>
        <v/>
      </c>
    </row>
    <row r="256" spans="5:10" x14ac:dyDescent="0.3">
      <c r="E256" s="24"/>
      <c r="I256" s="2" t="str">
        <f t="shared" si="4"/>
        <v>NO</v>
      </c>
      <c r="J256" s="2" t="str">
        <f>IF(I256="YES",IFERROR(VLOOKUP(E256,Scan!A:A,1,0),"Not scanned"),"")</f>
        <v/>
      </c>
    </row>
    <row r="257" spans="5:10" x14ac:dyDescent="0.3">
      <c r="E257" s="24"/>
      <c r="I257" s="2" t="str">
        <f t="shared" si="4"/>
        <v>NO</v>
      </c>
      <c r="J257" s="2" t="str">
        <f>IF(I257="YES",IFERROR(VLOOKUP(E257,Scan!A:A,1,0),"Not scanned"),"")</f>
        <v/>
      </c>
    </row>
    <row r="258" spans="5:10" x14ac:dyDescent="0.3">
      <c r="E258" s="24"/>
      <c r="I258" s="2" t="str">
        <f t="shared" si="4"/>
        <v>NO</v>
      </c>
      <c r="J258" s="2" t="str">
        <f>IF(I258="YES",IFERROR(VLOOKUP(E258,Scan!A:A,1,0),"Not scanned"),"")</f>
        <v/>
      </c>
    </row>
    <row r="259" spans="5:10" x14ac:dyDescent="0.3">
      <c r="E259" s="24"/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5:10" x14ac:dyDescent="0.3">
      <c r="E260" s="24"/>
      <c r="I260" s="2" t="str">
        <f t="shared" si="5"/>
        <v>NO</v>
      </c>
      <c r="J260" s="2" t="str">
        <f>IF(I260="YES",IFERROR(VLOOKUP(E260,Scan!A:A,1,0),"Not scanned"),"")</f>
        <v/>
      </c>
    </row>
    <row r="261" spans="5:10" x14ac:dyDescent="0.3">
      <c r="E261" s="24"/>
      <c r="I261" s="2" t="str">
        <f t="shared" si="5"/>
        <v>NO</v>
      </c>
      <c r="J261" s="2" t="str">
        <f>IF(I261="YES",IFERROR(VLOOKUP(E261,Scan!A:A,1,0),"Not scanned"),"")</f>
        <v/>
      </c>
    </row>
    <row r="262" spans="5:10" x14ac:dyDescent="0.3">
      <c r="E262" s="24"/>
      <c r="I262" s="2" t="str">
        <f t="shared" si="5"/>
        <v>NO</v>
      </c>
      <c r="J262" s="2" t="str">
        <f>IF(I262="YES",IFERROR(VLOOKUP(E262,Scan!A:A,1,0),"Not scanned"),"")</f>
        <v/>
      </c>
    </row>
    <row r="263" spans="5:10" x14ac:dyDescent="0.3">
      <c r="E263" s="24"/>
      <c r="I263" s="2" t="str">
        <f t="shared" si="5"/>
        <v>NO</v>
      </c>
      <c r="J263" s="2" t="str">
        <f>IF(I263="YES",IFERROR(VLOOKUP(E263,Scan!A:A,1,0),"Not scanned"),"")</f>
        <v/>
      </c>
    </row>
    <row r="264" spans="5:10" x14ac:dyDescent="0.3">
      <c r="E264" s="24"/>
      <c r="I264" s="2" t="str">
        <f t="shared" si="5"/>
        <v>NO</v>
      </c>
      <c r="J264" s="2" t="str">
        <f>IF(I264="YES",IFERROR(VLOOKUP(E264,Scan!A:A,1,0),"Not scanned"),"")</f>
        <v/>
      </c>
    </row>
    <row r="265" spans="5:10" x14ac:dyDescent="0.3">
      <c r="E265" s="24"/>
      <c r="I265" s="2" t="str">
        <f t="shared" si="5"/>
        <v>NO</v>
      </c>
      <c r="J265" s="2" t="str">
        <f>IF(I265="YES",IFERROR(VLOOKUP(E265,Scan!A:A,1,0),"Not scanned"),"")</f>
        <v/>
      </c>
    </row>
    <row r="266" spans="5:10" x14ac:dyDescent="0.3">
      <c r="E266" s="24"/>
      <c r="I266" s="2" t="str">
        <f t="shared" si="5"/>
        <v>NO</v>
      </c>
      <c r="J266" s="2" t="str">
        <f>IF(I266="YES",IFERROR(VLOOKUP(E266,Scan!A:A,1,0),"Not scanned"),"")</f>
        <v/>
      </c>
    </row>
    <row r="267" spans="5:10" x14ac:dyDescent="0.3">
      <c r="E267" s="24"/>
      <c r="I267" s="2" t="str">
        <f t="shared" si="5"/>
        <v>NO</v>
      </c>
      <c r="J267" s="2" t="str">
        <f>IF(I267="YES",IFERROR(VLOOKUP(E267,Scan!A:A,1,0),"Not scanned"),"")</f>
        <v/>
      </c>
    </row>
    <row r="268" spans="5:10" x14ac:dyDescent="0.3">
      <c r="E268" s="24"/>
      <c r="I268" s="2" t="str">
        <f t="shared" si="5"/>
        <v>NO</v>
      </c>
      <c r="J268" s="2" t="str">
        <f>IF(I268="YES",IFERROR(VLOOKUP(E268,Scan!A:A,1,0),"Not scanned"),"")</f>
        <v/>
      </c>
    </row>
    <row r="269" spans="5:10" x14ac:dyDescent="0.3">
      <c r="E269" s="24"/>
      <c r="I269" s="2" t="str">
        <f t="shared" si="5"/>
        <v>NO</v>
      </c>
      <c r="J269" s="2" t="str">
        <f>IF(I269="YES",IFERROR(VLOOKUP(E269,Scan!A:A,1,0),"Not scanned"),"")</f>
        <v/>
      </c>
    </row>
    <row r="270" spans="5:10" x14ac:dyDescent="0.3">
      <c r="E270" s="24"/>
      <c r="I270" s="2" t="str">
        <f t="shared" si="5"/>
        <v>NO</v>
      </c>
      <c r="J270" s="2" t="str">
        <f>IF(I270="YES",IFERROR(VLOOKUP(E270,Scan!A:A,1,0),"Not scanned"),"")</f>
        <v/>
      </c>
    </row>
    <row r="271" spans="5:10" x14ac:dyDescent="0.3">
      <c r="E271" s="24"/>
      <c r="I271" s="2" t="str">
        <f t="shared" si="5"/>
        <v>NO</v>
      </c>
      <c r="J271" s="2" t="str">
        <f>IF(I271="YES",IFERROR(VLOOKUP(E271,Scan!A:A,1,0),"Not scanned"),"")</f>
        <v/>
      </c>
    </row>
    <row r="272" spans="5:10" x14ac:dyDescent="0.3">
      <c r="E272" s="24"/>
      <c r="I272" s="2" t="str">
        <f t="shared" si="5"/>
        <v>NO</v>
      </c>
      <c r="J272" s="2" t="str">
        <f>IF(I272="YES",IFERROR(VLOOKUP(E272,Scan!A:A,1,0),"Not scanned"),"")</f>
        <v/>
      </c>
    </row>
    <row r="273" spans="5:10" x14ac:dyDescent="0.3">
      <c r="E273" s="24"/>
      <c r="I273" s="2" t="str">
        <f t="shared" si="5"/>
        <v>NO</v>
      </c>
      <c r="J273" s="2" t="str">
        <f>IF(I273="YES",IFERROR(VLOOKUP(E273,Scan!A:A,1,0),"Not scanned"),"")</f>
        <v/>
      </c>
    </row>
    <row r="274" spans="5:10" x14ac:dyDescent="0.3">
      <c r="E274" s="24"/>
      <c r="I274" s="2" t="str">
        <f t="shared" si="5"/>
        <v>NO</v>
      </c>
      <c r="J274" s="2" t="str">
        <f>IF(I274="YES",IFERROR(VLOOKUP(E274,Scan!A:A,1,0),"Not scanned"),"")</f>
        <v/>
      </c>
    </row>
    <row r="275" spans="5:10" x14ac:dyDescent="0.3">
      <c r="E275" s="24"/>
      <c r="I275" s="2" t="str">
        <f t="shared" si="5"/>
        <v>NO</v>
      </c>
      <c r="J275" s="2" t="str">
        <f>IF(I275="YES",IFERROR(VLOOKUP(E275,Scan!A:A,1,0),"Not scanned"),"")</f>
        <v/>
      </c>
    </row>
    <row r="276" spans="5:10" x14ac:dyDescent="0.3">
      <c r="E276" s="24"/>
      <c r="I276" s="2" t="str">
        <f t="shared" si="5"/>
        <v>NO</v>
      </c>
      <c r="J276" s="2" t="str">
        <f>IF(I276="YES",IFERROR(VLOOKUP(E276,Scan!A:A,1,0),"Not scanned"),"")</f>
        <v/>
      </c>
    </row>
    <row r="277" spans="5:10" x14ac:dyDescent="0.3">
      <c r="E277" s="24"/>
      <c r="I277" s="2" t="str">
        <f t="shared" si="5"/>
        <v>NO</v>
      </c>
      <c r="J277" s="2" t="str">
        <f>IF(I277="YES",IFERROR(VLOOKUP(E277,Scan!A:A,1,0),"Not scanned"),"")</f>
        <v/>
      </c>
    </row>
    <row r="278" spans="5:10" x14ac:dyDescent="0.3">
      <c r="E278" s="24"/>
      <c r="I278" s="2" t="str">
        <f t="shared" si="5"/>
        <v>NO</v>
      </c>
      <c r="J278" s="2" t="str">
        <f>IF(I278="YES",IFERROR(VLOOKUP(E278,Scan!A:A,1,0),"Not scanned"),"")</f>
        <v/>
      </c>
    </row>
    <row r="279" spans="5:10" x14ac:dyDescent="0.3">
      <c r="E279" s="24"/>
      <c r="I279" s="2" t="str">
        <f t="shared" si="5"/>
        <v>NO</v>
      </c>
      <c r="J279" s="2" t="str">
        <f>IF(I279="YES",IFERROR(VLOOKUP(E279,Scan!A:A,1,0),"Not scanned"),"")</f>
        <v/>
      </c>
    </row>
    <row r="280" spans="5:10" x14ac:dyDescent="0.3">
      <c r="E280" s="24"/>
      <c r="I280" s="2" t="str">
        <f t="shared" si="5"/>
        <v>NO</v>
      </c>
      <c r="J280" s="2" t="str">
        <f>IF(I280="YES",IFERROR(VLOOKUP(E280,Scan!A:A,1,0),"Not scanned"),"")</f>
        <v/>
      </c>
    </row>
    <row r="281" spans="5:10" x14ac:dyDescent="0.3">
      <c r="E281" s="24"/>
      <c r="I281" s="2" t="str">
        <f t="shared" si="5"/>
        <v>NO</v>
      </c>
      <c r="J281" s="2" t="str">
        <f>IF(I281="YES",IFERROR(VLOOKUP(E281,Scan!A:A,1,0),"Not scanned"),"")</f>
        <v/>
      </c>
    </row>
    <row r="282" spans="5:10" x14ac:dyDescent="0.3">
      <c r="E282" s="24"/>
      <c r="I282" s="2" t="str">
        <f t="shared" si="5"/>
        <v>NO</v>
      </c>
      <c r="J282" s="2" t="str">
        <f>IF(I282="YES",IFERROR(VLOOKUP(E282,Scan!A:A,1,0),"Not scanned"),"")</f>
        <v/>
      </c>
    </row>
    <row r="283" spans="5:10" x14ac:dyDescent="0.3">
      <c r="E283" s="24"/>
      <c r="I283" s="2" t="str">
        <f t="shared" si="5"/>
        <v>NO</v>
      </c>
      <c r="J283" s="2" t="str">
        <f>IF(I283="YES",IFERROR(VLOOKUP(E283,Scan!A:A,1,0),"Not scanned"),"")</f>
        <v/>
      </c>
    </row>
    <row r="284" spans="5:10" x14ac:dyDescent="0.3">
      <c r="E284" s="24"/>
      <c r="I284" s="2" t="str">
        <f t="shared" si="5"/>
        <v>NO</v>
      </c>
      <c r="J284" s="2" t="str">
        <f>IF(I284="YES",IFERROR(VLOOKUP(E284,Scan!A:A,1,0),"Not scanned"),"")</f>
        <v/>
      </c>
    </row>
    <row r="285" spans="5:10" x14ac:dyDescent="0.3">
      <c r="E285" s="24"/>
      <c r="I285" s="2" t="str">
        <f t="shared" si="5"/>
        <v>NO</v>
      </c>
      <c r="J285" s="2" t="str">
        <f>IF(I285="YES",IFERROR(VLOOKUP(E285,Scan!A:A,1,0),"Not scanned"),"")</f>
        <v/>
      </c>
    </row>
    <row r="286" spans="5:10" x14ac:dyDescent="0.3">
      <c r="E286" s="24"/>
      <c r="I286" s="2" t="str">
        <f t="shared" si="5"/>
        <v>NO</v>
      </c>
      <c r="J286" s="2" t="str">
        <f>IF(I286="YES",IFERROR(VLOOKUP(E286,Scan!A:A,1,0),"Not scanned"),"")</f>
        <v/>
      </c>
    </row>
    <row r="287" spans="5:10" x14ac:dyDescent="0.3">
      <c r="E287" s="24"/>
      <c r="I287" s="2" t="str">
        <f t="shared" si="5"/>
        <v>NO</v>
      </c>
      <c r="J287" s="2" t="str">
        <f>IF(I287="YES",IFERROR(VLOOKUP(E287,Scan!A:A,1,0),"Not scanned"),"")</f>
        <v/>
      </c>
    </row>
    <row r="288" spans="5:10" x14ac:dyDescent="0.3">
      <c r="E288" s="24"/>
      <c r="I288" s="2" t="str">
        <f t="shared" si="5"/>
        <v>NO</v>
      </c>
      <c r="J288" s="2" t="str">
        <f>IF(I288="YES",IFERROR(VLOOKUP(E288,Scan!A:A,1,0),"Not scanned"),"")</f>
        <v/>
      </c>
    </row>
    <row r="289" spans="5:10" x14ac:dyDescent="0.3">
      <c r="E289" s="24"/>
      <c r="I289" s="2" t="str">
        <f t="shared" si="5"/>
        <v>NO</v>
      </c>
      <c r="J289" s="2" t="str">
        <f>IF(I289="YES",IFERROR(VLOOKUP(E289,Scan!A:A,1,0),"Not scanned"),"")</f>
        <v/>
      </c>
    </row>
    <row r="290" spans="5:10" x14ac:dyDescent="0.3">
      <c r="E290" s="24"/>
      <c r="I290" s="2" t="str">
        <f t="shared" si="5"/>
        <v>NO</v>
      </c>
      <c r="J290" s="2" t="str">
        <f>IF(I290="YES",IFERROR(VLOOKUP(E290,Scan!A:A,1,0),"Not scanned"),"")</f>
        <v/>
      </c>
    </row>
    <row r="291" spans="5:10" x14ac:dyDescent="0.3">
      <c r="E291" s="24"/>
      <c r="I291" s="2" t="str">
        <f t="shared" si="5"/>
        <v>NO</v>
      </c>
      <c r="J291" s="2" t="str">
        <f>IF(I291="YES",IFERROR(VLOOKUP(E291,Scan!A:A,1,0),"Not scanned"),"")</f>
        <v/>
      </c>
    </row>
    <row r="292" spans="5:10" x14ac:dyDescent="0.3">
      <c r="E292" s="24"/>
      <c r="I292" s="2" t="str">
        <f t="shared" si="5"/>
        <v>NO</v>
      </c>
      <c r="J292" s="2" t="str">
        <f>IF(I292="YES",IFERROR(VLOOKUP(E292,Scan!A:A,1,0),"Not scanned"),"")</f>
        <v/>
      </c>
    </row>
    <row r="293" spans="5:10" x14ac:dyDescent="0.3">
      <c r="E293" s="24"/>
      <c r="I293" s="2" t="str">
        <f t="shared" si="5"/>
        <v>NO</v>
      </c>
      <c r="J293" s="2" t="str">
        <f>IF(I293="YES",IFERROR(VLOOKUP(E293,Scan!A:A,1,0),"Not scanned"),"")</f>
        <v/>
      </c>
    </row>
    <row r="294" spans="5:10" x14ac:dyDescent="0.3">
      <c r="E294" s="24"/>
      <c r="I294" s="2" t="str">
        <f t="shared" si="5"/>
        <v>NO</v>
      </c>
      <c r="J294" s="2" t="str">
        <f>IF(I294="YES",IFERROR(VLOOKUP(E294,Scan!A:A,1,0),"Not scanned"),"")</f>
        <v/>
      </c>
    </row>
    <row r="295" spans="5:10" x14ac:dyDescent="0.3">
      <c r="E295" s="24"/>
      <c r="I295" s="2" t="str">
        <f t="shared" si="5"/>
        <v>NO</v>
      </c>
      <c r="J295" s="2" t="str">
        <f>IF(I295="YES",IFERROR(VLOOKUP(E295,Scan!A:A,1,0),"Not scanned"),"")</f>
        <v/>
      </c>
    </row>
    <row r="296" spans="5:10" x14ac:dyDescent="0.3">
      <c r="E296" s="24"/>
      <c r="I296" s="2" t="str">
        <f t="shared" si="5"/>
        <v>NO</v>
      </c>
      <c r="J296" s="2" t="str">
        <f>IF(I296="YES",IFERROR(VLOOKUP(E296,Scan!A:A,1,0),"Not scanned"),"")</f>
        <v/>
      </c>
    </row>
    <row r="297" spans="5:10" x14ac:dyDescent="0.3">
      <c r="E297" s="24"/>
      <c r="I297" s="2" t="str">
        <f t="shared" si="5"/>
        <v>NO</v>
      </c>
      <c r="J297" s="2" t="str">
        <f>IF(I297="YES",IFERROR(VLOOKUP(E297,Scan!A:A,1,0),"Not scanned"),"")</f>
        <v/>
      </c>
    </row>
    <row r="298" spans="5:10" x14ac:dyDescent="0.3">
      <c r="E298" s="24"/>
      <c r="I298" s="2" t="str">
        <f t="shared" si="5"/>
        <v>NO</v>
      </c>
      <c r="J298" s="2" t="str">
        <f>IF(I298="YES",IFERROR(VLOOKUP(E298,Scan!A:A,1,0),"Not scanned"),"")</f>
        <v/>
      </c>
    </row>
    <row r="299" spans="5:10" x14ac:dyDescent="0.3">
      <c r="E299" s="24"/>
      <c r="I299" s="2" t="str">
        <f t="shared" si="5"/>
        <v>NO</v>
      </c>
      <c r="J299" s="2" t="str">
        <f>IF(I299="YES",IFERROR(VLOOKUP(E299,Scan!A:A,1,0),"Not scanned"),"")</f>
        <v/>
      </c>
    </row>
    <row r="300" spans="5:10" x14ac:dyDescent="0.3">
      <c r="E300" s="24"/>
      <c r="I300" s="2" t="str">
        <f t="shared" si="5"/>
        <v>NO</v>
      </c>
      <c r="J300" s="2" t="str">
        <f>IF(I300="YES",IFERROR(VLOOKUP(E300,Scan!A:A,1,0),"Not scanned"),"")</f>
        <v/>
      </c>
    </row>
    <row r="301" spans="5:10" x14ac:dyDescent="0.3">
      <c r="E301" s="24"/>
      <c r="I301" s="2" t="str">
        <f t="shared" si="5"/>
        <v>NO</v>
      </c>
      <c r="J301" s="2" t="str">
        <f>IF(I301="YES",IFERROR(VLOOKUP(E301,Scan!A:A,1,0),"Not scanned"),"")</f>
        <v/>
      </c>
    </row>
    <row r="302" spans="5:10" x14ac:dyDescent="0.3">
      <c r="E302" s="24"/>
      <c r="I302" s="2" t="str">
        <f t="shared" si="5"/>
        <v>NO</v>
      </c>
      <c r="J302" s="2" t="str">
        <f>IF(I302="YES",IFERROR(VLOOKUP(E302,Scan!A:A,1,0),"Not scanned"),"")</f>
        <v/>
      </c>
    </row>
    <row r="303" spans="5:10" x14ac:dyDescent="0.3">
      <c r="E303" s="24"/>
      <c r="I303" s="2" t="str">
        <f t="shared" si="5"/>
        <v>NO</v>
      </c>
      <c r="J303" s="2" t="str">
        <f>IF(I303="YES",IFERROR(VLOOKUP(E303,Scan!A:A,1,0),"Not scanned"),"")</f>
        <v/>
      </c>
    </row>
    <row r="304" spans="5:10" x14ac:dyDescent="0.3">
      <c r="E304" s="24"/>
      <c r="I304" s="2" t="str">
        <f t="shared" si="5"/>
        <v>NO</v>
      </c>
      <c r="J304" s="2" t="str">
        <f>IF(I304="YES",IFERROR(VLOOKUP(E304,Scan!A:A,1,0),"Not scanned"),"")</f>
        <v/>
      </c>
    </row>
    <row r="305" spans="5:10" x14ac:dyDescent="0.3">
      <c r="E305" s="24"/>
      <c r="I305" s="2" t="str">
        <f t="shared" si="5"/>
        <v>NO</v>
      </c>
      <c r="J305" s="2" t="str">
        <f>IF(I305="YES",IFERROR(VLOOKUP(E305,Scan!A:A,1,0),"Not scanned"),"")</f>
        <v/>
      </c>
    </row>
    <row r="306" spans="5:10" x14ac:dyDescent="0.3">
      <c r="E306" s="24"/>
      <c r="I306" s="2" t="str">
        <f t="shared" si="5"/>
        <v>NO</v>
      </c>
      <c r="J306" s="2" t="str">
        <f>IF(I306="YES",IFERROR(VLOOKUP(E306,Scan!A:A,1,0),"Not scanned"),"")</f>
        <v/>
      </c>
    </row>
    <row r="307" spans="5:10" x14ac:dyDescent="0.3">
      <c r="E307" s="24"/>
      <c r="I307" s="2" t="str">
        <f t="shared" si="5"/>
        <v>NO</v>
      </c>
      <c r="J307" s="2" t="str">
        <f>IF(I307="YES",IFERROR(VLOOKUP(E307,Scan!A:A,1,0),"Not scanned"),"")</f>
        <v/>
      </c>
    </row>
    <row r="308" spans="5:10" x14ac:dyDescent="0.3">
      <c r="E308" s="24"/>
      <c r="I308" s="2" t="str">
        <f t="shared" si="5"/>
        <v>NO</v>
      </c>
      <c r="J308" s="2" t="str">
        <f>IF(I308="YES",IFERROR(VLOOKUP(E308,Scan!A:A,1,0),"Not scanned"),"")</f>
        <v/>
      </c>
    </row>
    <row r="309" spans="5:10" x14ac:dyDescent="0.3">
      <c r="E309" s="24"/>
      <c r="I309" s="2" t="str">
        <f t="shared" si="5"/>
        <v>NO</v>
      </c>
      <c r="J309" s="2" t="str">
        <f>IF(I309="YES",IFERROR(VLOOKUP(E309,Scan!A:A,1,0),"Not scanned"),"")</f>
        <v/>
      </c>
    </row>
    <row r="310" spans="5:10" x14ac:dyDescent="0.3">
      <c r="E310" s="24"/>
      <c r="I310" s="2" t="str">
        <f t="shared" si="5"/>
        <v>NO</v>
      </c>
      <c r="J310" s="2" t="str">
        <f>IF(I310="YES",IFERROR(VLOOKUP(E310,Scan!A:A,1,0),"Not scanned"),"")</f>
        <v/>
      </c>
    </row>
    <row r="311" spans="5:10" x14ac:dyDescent="0.3">
      <c r="E311" s="24"/>
      <c r="I311" s="2" t="str">
        <f t="shared" si="5"/>
        <v>NO</v>
      </c>
      <c r="J311" s="2" t="str">
        <f>IF(I311="YES",IFERROR(VLOOKUP(E311,Scan!A:A,1,0),"Not scanned"),"")</f>
        <v/>
      </c>
    </row>
    <row r="312" spans="5:10" x14ac:dyDescent="0.3">
      <c r="I312" s="2" t="str">
        <f t="shared" si="5"/>
        <v>NO</v>
      </c>
      <c r="J312" s="2" t="str">
        <f>IF(I312="YES",IFERROR(VLOOKUP(E312,Scan!A:A,1,0),"Not scanned"),"")</f>
        <v/>
      </c>
    </row>
    <row r="313" spans="5:10" x14ac:dyDescent="0.3">
      <c r="I313" s="2" t="str">
        <f t="shared" si="5"/>
        <v>NO</v>
      </c>
      <c r="J313" s="2" t="str">
        <f>IF(I313="YES",IFERROR(VLOOKUP(E313,Scan!A:A,1,0),"Not scanned"),"")</f>
        <v/>
      </c>
    </row>
    <row r="314" spans="5:10" x14ac:dyDescent="0.3">
      <c r="I314" s="2" t="str">
        <f t="shared" si="5"/>
        <v>NO</v>
      </c>
      <c r="J314" s="2" t="str">
        <f>IF(I314="YES",IFERROR(VLOOKUP(E314,Scan!A:A,1,0),"Not scanned"),"")</f>
        <v/>
      </c>
    </row>
    <row r="315" spans="5:10" x14ac:dyDescent="0.3">
      <c r="I315" s="2" t="str">
        <f t="shared" si="5"/>
        <v>NO</v>
      </c>
      <c r="J315" s="2" t="str">
        <f>IF(I315="YES",IFERROR(VLOOKUP(E315,Scan!A:A,1,0),"Not scanned"),"")</f>
        <v/>
      </c>
    </row>
    <row r="316" spans="5:10" x14ac:dyDescent="0.3">
      <c r="I316" s="2" t="str">
        <f t="shared" si="5"/>
        <v>NO</v>
      </c>
      <c r="J316" s="2" t="str">
        <f>IF(I316="YES",IFERROR(VLOOKUP(E316,Scan!A:A,1,0),"Not scanned"),"")</f>
        <v/>
      </c>
    </row>
    <row r="317" spans="5:10" x14ac:dyDescent="0.3">
      <c r="I317" s="2" t="str">
        <f t="shared" si="5"/>
        <v>NO</v>
      </c>
      <c r="J317" s="2" t="str">
        <f>IF(I317="YES",IFERROR(VLOOKUP(E317,Scan!A:A,1,0),"Not scanned"),"")</f>
        <v/>
      </c>
    </row>
    <row r="318" spans="5:10" x14ac:dyDescent="0.3">
      <c r="I318" s="2" t="str">
        <f t="shared" si="5"/>
        <v>NO</v>
      </c>
      <c r="J318" s="2" t="str">
        <f>IF(I318="YES",IFERROR(VLOOKUP(E318,Scan!A:A,1,0),"Not scanned"),"")</f>
        <v/>
      </c>
    </row>
    <row r="319" spans="5:10" x14ac:dyDescent="0.3">
      <c r="I319" s="2" t="str">
        <f t="shared" si="5"/>
        <v>NO</v>
      </c>
      <c r="J319" s="2" t="str">
        <f>IF(I319="YES",IFERROR(VLOOKUP(E319,Scan!A:A,1,0),"Not scanned"),"")</f>
        <v/>
      </c>
    </row>
    <row r="320" spans="5:10" x14ac:dyDescent="0.3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3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3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3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3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3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3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3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3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3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3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3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3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3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3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3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3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3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3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3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3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3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3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3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3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3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3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3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3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3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3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3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3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3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3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3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3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3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3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3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3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3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3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3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3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3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3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3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3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3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3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3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3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3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3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3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3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3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3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3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3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3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3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3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3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3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3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3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3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3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3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3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3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3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3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3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3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3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3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3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3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3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3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3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3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3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3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3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3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3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3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3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3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3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3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3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3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3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3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3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3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3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3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3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3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3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3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3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3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3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3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3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3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3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3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3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3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3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3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3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3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3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3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3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3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3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3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3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3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3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3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3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3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3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3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3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3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3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3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3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3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3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3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3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3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3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3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3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3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3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3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3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3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3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3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3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3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3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3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3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3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3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3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3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3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3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3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3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3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3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3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3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3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3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3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3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3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3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3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3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3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/>
  <conditionalFormatting sqref="E205">
    <cfRule type="duplicateValues" dxfId="73" priority="25"/>
  </conditionalFormatting>
  <conditionalFormatting sqref="E206">
    <cfRule type="duplicateValues" dxfId="72" priority="23"/>
  </conditionalFormatting>
  <conditionalFormatting sqref="E207">
    <cfRule type="duplicateValues" dxfId="71" priority="20"/>
  </conditionalFormatting>
  <conditionalFormatting sqref="E208">
    <cfRule type="duplicateValues" dxfId="70" priority="18"/>
  </conditionalFormatting>
  <conditionalFormatting sqref="E209">
    <cfRule type="duplicateValues" dxfId="69" priority="16"/>
  </conditionalFormatting>
  <conditionalFormatting sqref="E210">
    <cfRule type="duplicateValues" dxfId="68" priority="13"/>
  </conditionalFormatting>
  <conditionalFormatting sqref="E211">
    <cfRule type="duplicateValues" dxfId="67" priority="11"/>
  </conditionalFormatting>
  <conditionalFormatting sqref="E212">
    <cfRule type="duplicateValues" dxfId="66" priority="8"/>
  </conditionalFormatting>
  <conditionalFormatting sqref="E213">
    <cfRule type="duplicateValues" dxfId="65" priority="6"/>
  </conditionalFormatting>
  <conditionalFormatting sqref="E214">
    <cfRule type="duplicateValues" dxfId="64" priority="3"/>
  </conditionalFormatting>
  <conditionalFormatting sqref="E215">
    <cfRule type="duplicateValues" dxfId="6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K2134"/>
  <sheetViews>
    <sheetView zoomScale="85" zoomScaleNormal="85" workbookViewId="0">
      <pane ySplit="1" topLeftCell="A621" activePane="bottomLeft" state="frozen"/>
      <selection pane="bottomLeft" activeCell="A2" sqref="A2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22.7773437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0" width="9.109375" style="2"/>
    <col min="11" max="11" width="14" style="2" bestFit="1" customWidth="1"/>
    <col min="12" max="16384" width="9.109375" style="2"/>
  </cols>
  <sheetData>
    <row r="1" spans="1:11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234</v>
      </c>
      <c r="K1" s="7" t="s">
        <v>959</v>
      </c>
    </row>
    <row r="2" spans="1:11" s="28" customFormat="1" x14ac:dyDescent="0.3">
      <c r="A2" s="28" t="s">
        <v>242</v>
      </c>
      <c r="B2" s="28" t="s">
        <v>12</v>
      </c>
      <c r="C2" s="28" t="s">
        <v>13</v>
      </c>
      <c r="D2" s="28" t="s">
        <v>14</v>
      </c>
      <c r="E2" s="28" t="s">
        <v>15</v>
      </c>
      <c r="F2" s="23" t="s">
        <v>243</v>
      </c>
      <c r="G2" s="28">
        <v>1</v>
      </c>
      <c r="H2" s="28" t="s">
        <v>11</v>
      </c>
      <c r="I2" s="28" t="s">
        <v>244</v>
      </c>
    </row>
    <row r="3" spans="1:11" s="28" customFormat="1" x14ac:dyDescent="0.3">
      <c r="A3" s="28" t="s">
        <v>242</v>
      </c>
      <c r="B3" s="28" t="s">
        <v>17</v>
      </c>
      <c r="C3" s="28" t="s">
        <v>18</v>
      </c>
      <c r="D3" s="28" t="s">
        <v>14</v>
      </c>
      <c r="E3" s="28" t="s">
        <v>19</v>
      </c>
      <c r="F3" s="23" t="s">
        <v>245</v>
      </c>
      <c r="G3" s="28">
        <v>1</v>
      </c>
      <c r="H3" s="28" t="s">
        <v>11</v>
      </c>
      <c r="I3" s="28" t="s">
        <v>11</v>
      </c>
    </row>
    <row r="4" spans="1:11" s="28" customFormat="1" x14ac:dyDescent="0.3">
      <c r="A4" s="28" t="s">
        <v>242</v>
      </c>
      <c r="B4" s="28" t="s">
        <v>17</v>
      </c>
      <c r="C4" s="28" t="s">
        <v>18</v>
      </c>
      <c r="D4" s="28" t="s">
        <v>14</v>
      </c>
      <c r="E4" s="28" t="s">
        <v>19</v>
      </c>
      <c r="F4" s="23" t="s">
        <v>957</v>
      </c>
      <c r="G4" s="28">
        <v>1</v>
      </c>
      <c r="H4" s="28" t="s">
        <v>11</v>
      </c>
      <c r="I4" s="28" t="s">
        <v>11</v>
      </c>
    </row>
    <row r="5" spans="1:11" s="28" customFormat="1" x14ac:dyDescent="0.3">
      <c r="A5" s="28" t="s">
        <v>242</v>
      </c>
      <c r="B5" s="28" t="s">
        <v>20</v>
      </c>
      <c r="C5" s="28" t="s">
        <v>18</v>
      </c>
      <c r="D5" s="28" t="s">
        <v>14</v>
      </c>
      <c r="E5" s="28" t="s">
        <v>21</v>
      </c>
      <c r="F5" s="23" t="s">
        <v>246</v>
      </c>
      <c r="G5" s="28">
        <v>1</v>
      </c>
      <c r="H5" s="28" t="s">
        <v>11</v>
      </c>
      <c r="I5" s="28" t="s">
        <v>11</v>
      </c>
    </row>
    <row r="6" spans="1:11" s="28" customFormat="1" x14ac:dyDescent="0.3">
      <c r="A6" s="28" t="s">
        <v>242</v>
      </c>
      <c r="B6" s="28" t="s">
        <v>20</v>
      </c>
      <c r="C6" s="28" t="s">
        <v>18</v>
      </c>
      <c r="D6" s="28" t="s">
        <v>14</v>
      </c>
      <c r="E6" s="28" t="s">
        <v>21</v>
      </c>
      <c r="F6" s="23" t="s">
        <v>247</v>
      </c>
      <c r="G6" s="28">
        <v>1</v>
      </c>
      <c r="H6" s="28" t="s">
        <v>11</v>
      </c>
      <c r="I6" s="28" t="s">
        <v>11</v>
      </c>
    </row>
    <row r="7" spans="1:11" s="28" customFormat="1" x14ac:dyDescent="0.3">
      <c r="A7" s="28" t="s">
        <v>242</v>
      </c>
      <c r="B7" s="28" t="s">
        <v>12</v>
      </c>
      <c r="C7" s="28" t="s">
        <v>13</v>
      </c>
      <c r="D7" s="28" t="s">
        <v>14</v>
      </c>
      <c r="E7" s="28" t="s">
        <v>15</v>
      </c>
      <c r="F7" s="23" t="s">
        <v>248</v>
      </c>
      <c r="G7" s="28">
        <v>1</v>
      </c>
      <c r="H7" s="28" t="s">
        <v>11</v>
      </c>
      <c r="I7" s="28" t="s">
        <v>249</v>
      </c>
    </row>
    <row r="8" spans="1:11" s="28" customFormat="1" x14ac:dyDescent="0.3">
      <c r="A8" s="28" t="s">
        <v>242</v>
      </c>
      <c r="B8" s="28" t="s">
        <v>17</v>
      </c>
      <c r="C8" s="28" t="s">
        <v>18</v>
      </c>
      <c r="D8" s="28" t="s">
        <v>14</v>
      </c>
      <c r="E8" s="28" t="s">
        <v>19</v>
      </c>
      <c r="F8" s="23" t="s">
        <v>955</v>
      </c>
      <c r="G8" s="28">
        <v>1</v>
      </c>
      <c r="H8" s="28" t="s">
        <v>11</v>
      </c>
      <c r="I8" s="28" t="s">
        <v>11</v>
      </c>
    </row>
    <row r="9" spans="1:11" s="28" customFormat="1" x14ac:dyDescent="0.3">
      <c r="A9" s="28" t="s">
        <v>242</v>
      </c>
      <c r="B9" s="28" t="s">
        <v>17</v>
      </c>
      <c r="C9" s="28" t="s">
        <v>18</v>
      </c>
      <c r="D9" s="28" t="s">
        <v>14</v>
      </c>
      <c r="E9" s="28" t="s">
        <v>19</v>
      </c>
      <c r="F9" s="23" t="s">
        <v>251</v>
      </c>
      <c r="G9" s="28">
        <v>1</v>
      </c>
      <c r="H9" s="28" t="s">
        <v>11</v>
      </c>
      <c r="I9" s="28" t="s">
        <v>11</v>
      </c>
    </row>
    <row r="10" spans="1:11" s="28" customFormat="1" x14ac:dyDescent="0.3">
      <c r="A10" s="28" t="s">
        <v>242</v>
      </c>
      <c r="B10" s="28" t="s">
        <v>20</v>
      </c>
      <c r="C10" s="28" t="s">
        <v>18</v>
      </c>
      <c r="D10" s="28" t="s">
        <v>14</v>
      </c>
      <c r="E10" s="28" t="s">
        <v>21</v>
      </c>
      <c r="F10" s="23" t="s">
        <v>252</v>
      </c>
      <c r="G10" s="28">
        <v>1</v>
      </c>
      <c r="H10" s="28" t="s">
        <v>11</v>
      </c>
      <c r="I10" s="28" t="s">
        <v>11</v>
      </c>
    </row>
    <row r="11" spans="1:11" s="28" customFormat="1" x14ac:dyDescent="0.3">
      <c r="A11" s="28" t="s">
        <v>242</v>
      </c>
      <c r="B11" s="28" t="s">
        <v>20</v>
      </c>
      <c r="C11" s="28" t="s">
        <v>18</v>
      </c>
      <c r="D11" s="28" t="s">
        <v>14</v>
      </c>
      <c r="E11" s="28" t="s">
        <v>21</v>
      </c>
      <c r="F11" s="23" t="s">
        <v>253</v>
      </c>
      <c r="G11" s="28">
        <v>1</v>
      </c>
      <c r="H11" s="28" t="s">
        <v>11</v>
      </c>
      <c r="I11" s="28" t="s">
        <v>11</v>
      </c>
    </row>
    <row r="12" spans="1:11" s="28" customFormat="1" x14ac:dyDescent="0.3">
      <c r="A12" s="28" t="s">
        <v>242</v>
      </c>
      <c r="B12" s="28" t="s">
        <v>23</v>
      </c>
      <c r="C12" s="28" t="s">
        <v>24</v>
      </c>
      <c r="D12" s="28" t="s">
        <v>25</v>
      </c>
      <c r="E12" s="28" t="s">
        <v>26</v>
      </c>
      <c r="F12" s="23" t="s">
        <v>254</v>
      </c>
      <c r="G12" s="28">
        <v>1</v>
      </c>
      <c r="H12" s="28" t="s">
        <v>11</v>
      </c>
      <c r="I12" s="28" t="s">
        <v>255</v>
      </c>
    </row>
    <row r="13" spans="1:11" s="28" customFormat="1" x14ac:dyDescent="0.3">
      <c r="A13" s="28" t="s">
        <v>242</v>
      </c>
      <c r="B13" s="28" t="s">
        <v>28</v>
      </c>
      <c r="C13" s="28" t="s">
        <v>18</v>
      </c>
      <c r="D13" s="28" t="s">
        <v>25</v>
      </c>
      <c r="E13" s="28" t="s">
        <v>29</v>
      </c>
      <c r="F13" s="23" t="s">
        <v>256</v>
      </c>
      <c r="G13" s="28">
        <v>1</v>
      </c>
      <c r="H13" s="28" t="s">
        <v>11</v>
      </c>
      <c r="I13" s="28" t="s">
        <v>11</v>
      </c>
    </row>
    <row r="14" spans="1:11" s="28" customFormat="1" x14ac:dyDescent="0.3">
      <c r="A14" s="28" t="s">
        <v>242</v>
      </c>
      <c r="B14" s="28" t="s">
        <v>28</v>
      </c>
      <c r="C14" s="28" t="s">
        <v>18</v>
      </c>
      <c r="D14" s="28" t="s">
        <v>25</v>
      </c>
      <c r="E14" s="28" t="s">
        <v>29</v>
      </c>
      <c r="F14" s="23" t="s">
        <v>257</v>
      </c>
      <c r="G14" s="28">
        <v>1</v>
      </c>
      <c r="H14" s="28" t="s">
        <v>11</v>
      </c>
      <c r="I14" s="28" t="s">
        <v>11</v>
      </c>
    </row>
    <row r="15" spans="1:11" s="28" customFormat="1" x14ac:dyDescent="0.3">
      <c r="A15" s="28" t="s">
        <v>242</v>
      </c>
      <c r="B15" s="28" t="s">
        <v>28</v>
      </c>
      <c r="C15" s="28" t="s">
        <v>18</v>
      </c>
      <c r="D15" s="28" t="s">
        <v>25</v>
      </c>
      <c r="E15" s="28" t="s">
        <v>29</v>
      </c>
      <c r="F15" s="23" t="s">
        <v>258</v>
      </c>
      <c r="G15" s="28">
        <v>1</v>
      </c>
      <c r="H15" s="28" t="s">
        <v>11</v>
      </c>
      <c r="I15" s="28" t="s">
        <v>11</v>
      </c>
    </row>
    <row r="16" spans="1:11" s="28" customFormat="1" x14ac:dyDescent="0.3">
      <c r="A16" s="28" t="s">
        <v>242</v>
      </c>
      <c r="B16" s="28" t="s">
        <v>30</v>
      </c>
      <c r="C16" s="28" t="s">
        <v>18</v>
      </c>
      <c r="D16" s="28" t="s">
        <v>25</v>
      </c>
      <c r="E16" s="28" t="s">
        <v>31</v>
      </c>
      <c r="F16" s="23" t="s">
        <v>259</v>
      </c>
      <c r="G16" s="28">
        <v>1</v>
      </c>
      <c r="H16" s="28" t="s">
        <v>11</v>
      </c>
      <c r="I16" s="28" t="s">
        <v>11</v>
      </c>
    </row>
    <row r="17" spans="1:9" s="28" customFormat="1" x14ac:dyDescent="0.3">
      <c r="A17" s="28" t="s">
        <v>242</v>
      </c>
      <c r="B17" s="28" t="s">
        <v>30</v>
      </c>
      <c r="C17" s="28" t="s">
        <v>18</v>
      </c>
      <c r="D17" s="28" t="s">
        <v>25</v>
      </c>
      <c r="E17" s="28" t="s">
        <v>31</v>
      </c>
      <c r="F17" s="23" t="s">
        <v>260</v>
      </c>
      <c r="G17" s="28">
        <v>1</v>
      </c>
      <c r="H17" s="28" t="s">
        <v>11</v>
      </c>
      <c r="I17" s="28" t="s">
        <v>11</v>
      </c>
    </row>
    <row r="18" spans="1:9" s="28" customFormat="1" x14ac:dyDescent="0.3">
      <c r="A18" s="28" t="s">
        <v>242</v>
      </c>
      <c r="B18" s="28" t="s">
        <v>30</v>
      </c>
      <c r="C18" s="28" t="s">
        <v>18</v>
      </c>
      <c r="D18" s="28" t="s">
        <v>25</v>
      </c>
      <c r="E18" s="28" t="s">
        <v>31</v>
      </c>
      <c r="F18" s="23" t="s">
        <v>261</v>
      </c>
      <c r="G18" s="28">
        <v>1</v>
      </c>
      <c r="H18" s="28" t="s">
        <v>11</v>
      </c>
      <c r="I18" s="28" t="s">
        <v>11</v>
      </c>
    </row>
    <row r="19" spans="1:9" s="28" customFormat="1" x14ac:dyDescent="0.3">
      <c r="A19" s="28" t="s">
        <v>242</v>
      </c>
      <c r="B19" s="28" t="s">
        <v>30</v>
      </c>
      <c r="C19" s="28" t="s">
        <v>18</v>
      </c>
      <c r="D19" s="28" t="s">
        <v>25</v>
      </c>
      <c r="E19" s="28" t="s">
        <v>31</v>
      </c>
      <c r="F19" s="23" t="s">
        <v>262</v>
      </c>
      <c r="G19" s="28">
        <v>1</v>
      </c>
      <c r="H19" s="28" t="s">
        <v>11</v>
      </c>
      <c r="I19" s="28" t="s">
        <v>11</v>
      </c>
    </row>
    <row r="20" spans="1:9" s="28" customFormat="1" x14ac:dyDescent="0.3">
      <c r="A20" s="28" t="s">
        <v>242</v>
      </c>
      <c r="B20" s="28" t="s">
        <v>30</v>
      </c>
      <c r="C20" s="28" t="s">
        <v>18</v>
      </c>
      <c r="D20" s="28" t="s">
        <v>25</v>
      </c>
      <c r="E20" s="28" t="s">
        <v>31</v>
      </c>
      <c r="F20" s="23" t="s">
        <v>263</v>
      </c>
      <c r="G20" s="28">
        <v>1</v>
      </c>
      <c r="H20" s="28" t="s">
        <v>11</v>
      </c>
      <c r="I20" s="28" t="s">
        <v>11</v>
      </c>
    </row>
    <row r="21" spans="1:9" s="28" customFormat="1" x14ac:dyDescent="0.3">
      <c r="A21" s="28" t="s">
        <v>242</v>
      </c>
      <c r="B21" s="28" t="s">
        <v>30</v>
      </c>
      <c r="C21" s="28" t="s">
        <v>18</v>
      </c>
      <c r="D21" s="28" t="s">
        <v>25</v>
      </c>
      <c r="E21" s="28" t="s">
        <v>31</v>
      </c>
      <c r="F21" s="23" t="s">
        <v>264</v>
      </c>
      <c r="G21" s="28">
        <v>1</v>
      </c>
      <c r="H21" s="28" t="s">
        <v>11</v>
      </c>
      <c r="I21" s="28" t="s">
        <v>11</v>
      </c>
    </row>
    <row r="22" spans="1:9" s="28" customFormat="1" x14ac:dyDescent="0.3">
      <c r="A22" s="28" t="s">
        <v>242</v>
      </c>
      <c r="B22" s="28" t="s">
        <v>32</v>
      </c>
      <c r="C22" s="28" t="s">
        <v>18</v>
      </c>
      <c r="D22" s="28" t="s">
        <v>25</v>
      </c>
      <c r="E22" s="28" t="s">
        <v>33</v>
      </c>
      <c r="F22" s="23" t="s">
        <v>265</v>
      </c>
      <c r="G22" s="28">
        <v>1</v>
      </c>
      <c r="H22" s="28" t="s">
        <v>11</v>
      </c>
      <c r="I22" s="28" t="s">
        <v>11</v>
      </c>
    </row>
    <row r="23" spans="1:9" s="28" customFormat="1" x14ac:dyDescent="0.3">
      <c r="A23" s="28" t="s">
        <v>242</v>
      </c>
      <c r="B23" s="28" t="s">
        <v>32</v>
      </c>
      <c r="C23" s="28" t="s">
        <v>18</v>
      </c>
      <c r="D23" s="28" t="s">
        <v>25</v>
      </c>
      <c r="E23" s="28" t="s">
        <v>33</v>
      </c>
      <c r="F23" s="23" t="s">
        <v>266</v>
      </c>
      <c r="G23" s="28">
        <v>1</v>
      </c>
      <c r="H23" s="28" t="s">
        <v>11</v>
      </c>
      <c r="I23" s="28" t="s">
        <v>11</v>
      </c>
    </row>
    <row r="24" spans="1:9" s="28" customFormat="1" x14ac:dyDescent="0.3">
      <c r="A24" s="28" t="s">
        <v>242</v>
      </c>
      <c r="B24" s="28" t="s">
        <v>32</v>
      </c>
      <c r="C24" s="28" t="s">
        <v>18</v>
      </c>
      <c r="D24" s="28" t="s">
        <v>25</v>
      </c>
      <c r="E24" s="28" t="s">
        <v>33</v>
      </c>
      <c r="F24" s="23" t="s">
        <v>267</v>
      </c>
      <c r="G24" s="28">
        <v>1</v>
      </c>
      <c r="H24" s="28" t="s">
        <v>11</v>
      </c>
      <c r="I24" s="28" t="s">
        <v>11</v>
      </c>
    </row>
    <row r="25" spans="1:9" s="28" customFormat="1" x14ac:dyDescent="0.3">
      <c r="A25" s="28" t="s">
        <v>242</v>
      </c>
      <c r="B25" s="28" t="s">
        <v>23</v>
      </c>
      <c r="C25" s="28" t="s">
        <v>24</v>
      </c>
      <c r="D25" s="28" t="s">
        <v>25</v>
      </c>
      <c r="E25" s="28" t="s">
        <v>26</v>
      </c>
      <c r="F25" s="23" t="s">
        <v>268</v>
      </c>
      <c r="G25" s="28">
        <v>1</v>
      </c>
      <c r="H25" s="28" t="s">
        <v>11</v>
      </c>
      <c r="I25" s="28" t="s">
        <v>269</v>
      </c>
    </row>
    <row r="26" spans="1:9" s="28" customFormat="1" x14ac:dyDescent="0.3">
      <c r="A26" s="28" t="s">
        <v>242</v>
      </c>
      <c r="B26" s="28" t="s">
        <v>28</v>
      </c>
      <c r="C26" s="28" t="s">
        <v>18</v>
      </c>
      <c r="D26" s="28" t="s">
        <v>25</v>
      </c>
      <c r="E26" s="28" t="s">
        <v>29</v>
      </c>
      <c r="F26" s="23" t="s">
        <v>270</v>
      </c>
      <c r="G26" s="28">
        <v>1</v>
      </c>
      <c r="H26" s="28" t="s">
        <v>11</v>
      </c>
      <c r="I26" s="28" t="s">
        <v>11</v>
      </c>
    </row>
    <row r="27" spans="1:9" s="28" customFormat="1" x14ac:dyDescent="0.3">
      <c r="A27" s="28" t="s">
        <v>242</v>
      </c>
      <c r="B27" s="28" t="s">
        <v>28</v>
      </c>
      <c r="C27" s="28" t="s">
        <v>18</v>
      </c>
      <c r="D27" s="28" t="s">
        <v>25</v>
      </c>
      <c r="E27" s="28" t="s">
        <v>29</v>
      </c>
      <c r="F27" s="23" t="s">
        <v>271</v>
      </c>
      <c r="G27" s="28">
        <v>1</v>
      </c>
      <c r="H27" s="28" t="s">
        <v>11</v>
      </c>
      <c r="I27" s="28" t="s">
        <v>11</v>
      </c>
    </row>
    <row r="28" spans="1:9" s="28" customFormat="1" x14ac:dyDescent="0.3">
      <c r="A28" s="28" t="s">
        <v>242</v>
      </c>
      <c r="B28" s="28" t="s">
        <v>28</v>
      </c>
      <c r="C28" s="28" t="s">
        <v>18</v>
      </c>
      <c r="D28" s="28" t="s">
        <v>25</v>
      </c>
      <c r="E28" s="28" t="s">
        <v>29</v>
      </c>
      <c r="F28" s="23" t="s">
        <v>272</v>
      </c>
      <c r="G28" s="28">
        <v>1</v>
      </c>
      <c r="H28" s="28" t="s">
        <v>11</v>
      </c>
      <c r="I28" s="28" t="s">
        <v>11</v>
      </c>
    </row>
    <row r="29" spans="1:9" s="28" customFormat="1" x14ac:dyDescent="0.3">
      <c r="A29" s="28" t="s">
        <v>242</v>
      </c>
      <c r="B29" s="28" t="s">
        <v>30</v>
      </c>
      <c r="C29" s="28" t="s">
        <v>18</v>
      </c>
      <c r="D29" s="28" t="s">
        <v>25</v>
      </c>
      <c r="E29" s="28" t="s">
        <v>31</v>
      </c>
      <c r="F29" s="23" t="s">
        <v>273</v>
      </c>
      <c r="G29" s="28">
        <v>1</v>
      </c>
      <c r="H29" s="28" t="s">
        <v>11</v>
      </c>
      <c r="I29" s="28" t="s">
        <v>11</v>
      </c>
    </row>
    <row r="30" spans="1:9" s="28" customFormat="1" x14ac:dyDescent="0.3">
      <c r="A30" s="28" t="s">
        <v>242</v>
      </c>
      <c r="B30" s="28" t="s">
        <v>30</v>
      </c>
      <c r="C30" s="28" t="s">
        <v>18</v>
      </c>
      <c r="D30" s="28" t="s">
        <v>25</v>
      </c>
      <c r="E30" s="28" t="s">
        <v>31</v>
      </c>
      <c r="F30" s="23" t="s">
        <v>274</v>
      </c>
      <c r="G30" s="28">
        <v>1</v>
      </c>
      <c r="H30" s="28" t="s">
        <v>11</v>
      </c>
      <c r="I30" s="28" t="s">
        <v>11</v>
      </c>
    </row>
    <row r="31" spans="1:9" s="28" customFormat="1" x14ac:dyDescent="0.3">
      <c r="A31" s="28" t="s">
        <v>242</v>
      </c>
      <c r="B31" s="28" t="s">
        <v>30</v>
      </c>
      <c r="C31" s="28" t="s">
        <v>18</v>
      </c>
      <c r="D31" s="28" t="s">
        <v>25</v>
      </c>
      <c r="E31" s="28" t="s">
        <v>31</v>
      </c>
      <c r="F31" s="23" t="s">
        <v>275</v>
      </c>
      <c r="G31" s="28">
        <v>1</v>
      </c>
      <c r="H31" s="28" t="s">
        <v>11</v>
      </c>
      <c r="I31" s="28" t="s">
        <v>11</v>
      </c>
    </row>
    <row r="32" spans="1:9" s="28" customFormat="1" x14ac:dyDescent="0.3">
      <c r="A32" s="28" t="s">
        <v>242</v>
      </c>
      <c r="B32" s="28" t="s">
        <v>30</v>
      </c>
      <c r="C32" s="28" t="s">
        <v>18</v>
      </c>
      <c r="D32" s="28" t="s">
        <v>25</v>
      </c>
      <c r="E32" s="28" t="s">
        <v>31</v>
      </c>
      <c r="F32" s="23" t="s">
        <v>276</v>
      </c>
      <c r="G32" s="28">
        <v>1</v>
      </c>
      <c r="H32" s="28" t="s">
        <v>11</v>
      </c>
      <c r="I32" s="28" t="s">
        <v>11</v>
      </c>
    </row>
    <row r="33" spans="1:9" s="28" customFormat="1" x14ac:dyDescent="0.3">
      <c r="A33" s="28" t="s">
        <v>242</v>
      </c>
      <c r="B33" s="28" t="s">
        <v>30</v>
      </c>
      <c r="C33" s="28" t="s">
        <v>18</v>
      </c>
      <c r="D33" s="28" t="s">
        <v>25</v>
      </c>
      <c r="E33" s="28" t="s">
        <v>31</v>
      </c>
      <c r="F33" s="23" t="s">
        <v>277</v>
      </c>
      <c r="G33" s="28">
        <v>1</v>
      </c>
      <c r="H33" s="28" t="s">
        <v>11</v>
      </c>
      <c r="I33" s="28" t="s">
        <v>11</v>
      </c>
    </row>
    <row r="34" spans="1:9" s="28" customFormat="1" x14ac:dyDescent="0.3">
      <c r="A34" s="28" t="s">
        <v>242</v>
      </c>
      <c r="B34" s="28" t="s">
        <v>32</v>
      </c>
      <c r="C34" s="28" t="s">
        <v>18</v>
      </c>
      <c r="D34" s="28" t="s">
        <v>25</v>
      </c>
      <c r="E34" s="28" t="s">
        <v>33</v>
      </c>
      <c r="F34" s="23" t="s">
        <v>278</v>
      </c>
      <c r="G34" s="28">
        <v>1</v>
      </c>
      <c r="H34" s="28" t="s">
        <v>11</v>
      </c>
      <c r="I34" s="28" t="s">
        <v>11</v>
      </c>
    </row>
    <row r="35" spans="1:9" s="28" customFormat="1" x14ac:dyDescent="0.3">
      <c r="A35" s="28" t="s">
        <v>242</v>
      </c>
      <c r="B35" s="28" t="s">
        <v>32</v>
      </c>
      <c r="C35" s="28" t="s">
        <v>18</v>
      </c>
      <c r="D35" s="28" t="s">
        <v>25</v>
      </c>
      <c r="E35" s="28" t="s">
        <v>33</v>
      </c>
      <c r="F35" s="23" t="s">
        <v>279</v>
      </c>
      <c r="G35" s="28">
        <v>1</v>
      </c>
      <c r="H35" s="28" t="s">
        <v>11</v>
      </c>
      <c r="I35" s="28" t="s">
        <v>11</v>
      </c>
    </row>
    <row r="36" spans="1:9" s="28" customFormat="1" x14ac:dyDescent="0.3">
      <c r="A36" s="28" t="s">
        <v>242</v>
      </c>
      <c r="B36" s="28" t="s">
        <v>32</v>
      </c>
      <c r="C36" s="28" t="s">
        <v>18</v>
      </c>
      <c r="D36" s="28" t="s">
        <v>25</v>
      </c>
      <c r="E36" s="28" t="s">
        <v>33</v>
      </c>
      <c r="F36" s="23" t="s">
        <v>280</v>
      </c>
      <c r="G36" s="28">
        <v>1</v>
      </c>
      <c r="H36" s="28" t="s">
        <v>11</v>
      </c>
      <c r="I36" s="28" t="s">
        <v>11</v>
      </c>
    </row>
    <row r="37" spans="1:9" s="28" customFormat="1" x14ac:dyDescent="0.3">
      <c r="A37" s="28" t="s">
        <v>242</v>
      </c>
      <c r="B37" s="28" t="s">
        <v>40</v>
      </c>
      <c r="C37" s="28" t="s">
        <v>41</v>
      </c>
      <c r="D37" s="28" t="s">
        <v>14</v>
      </c>
      <c r="E37" s="28" t="s">
        <v>42</v>
      </c>
      <c r="F37" s="23" t="s">
        <v>281</v>
      </c>
      <c r="G37" s="28">
        <v>1</v>
      </c>
      <c r="H37" s="28" t="s">
        <v>11</v>
      </c>
      <c r="I37" s="28" t="s">
        <v>282</v>
      </c>
    </row>
    <row r="38" spans="1:9" s="28" customFormat="1" x14ac:dyDescent="0.3">
      <c r="A38" s="28" t="s">
        <v>242</v>
      </c>
      <c r="B38" s="28" t="s">
        <v>44</v>
      </c>
      <c r="C38" s="28" t="s">
        <v>41</v>
      </c>
      <c r="D38" s="28" t="s">
        <v>14</v>
      </c>
      <c r="E38" s="28" t="s">
        <v>45</v>
      </c>
      <c r="F38" s="23" t="s">
        <v>283</v>
      </c>
      <c r="G38" s="28">
        <v>1</v>
      </c>
      <c r="H38" s="28" t="s">
        <v>11</v>
      </c>
      <c r="I38" s="28" t="s">
        <v>11</v>
      </c>
    </row>
    <row r="39" spans="1:9" s="28" customFormat="1" x14ac:dyDescent="0.3">
      <c r="A39" s="28" t="s">
        <v>242</v>
      </c>
      <c r="B39" s="28" t="s">
        <v>44</v>
      </c>
      <c r="C39" s="28" t="s">
        <v>41</v>
      </c>
      <c r="D39" s="28" t="s">
        <v>14</v>
      </c>
      <c r="E39" s="28" t="s">
        <v>45</v>
      </c>
      <c r="F39" s="23" t="s">
        <v>284</v>
      </c>
      <c r="G39" s="28">
        <v>1</v>
      </c>
      <c r="H39" s="28" t="s">
        <v>11</v>
      </c>
      <c r="I39" s="28" t="s">
        <v>11</v>
      </c>
    </row>
    <row r="40" spans="1:9" s="28" customFormat="1" x14ac:dyDescent="0.3">
      <c r="A40" s="28" t="s">
        <v>242</v>
      </c>
      <c r="B40" s="28" t="s">
        <v>46</v>
      </c>
      <c r="C40" s="28" t="s">
        <v>39</v>
      </c>
      <c r="D40" s="28" t="s">
        <v>14</v>
      </c>
      <c r="E40" s="28" t="s">
        <v>47</v>
      </c>
      <c r="F40" s="23" t="s">
        <v>285</v>
      </c>
      <c r="G40" s="28">
        <v>1</v>
      </c>
      <c r="H40" s="28" t="s">
        <v>286</v>
      </c>
      <c r="I40" s="28" t="s">
        <v>11</v>
      </c>
    </row>
    <row r="41" spans="1:9" s="28" customFormat="1" x14ac:dyDescent="0.3">
      <c r="A41" s="28" t="s">
        <v>242</v>
      </c>
      <c r="B41" s="28" t="s">
        <v>46</v>
      </c>
      <c r="C41" s="28" t="s">
        <v>39</v>
      </c>
      <c r="D41" s="28" t="s">
        <v>14</v>
      </c>
      <c r="E41" s="28" t="s">
        <v>47</v>
      </c>
      <c r="F41" s="23" t="s">
        <v>287</v>
      </c>
      <c r="G41" s="28">
        <v>1</v>
      </c>
      <c r="H41" s="28" t="s">
        <v>288</v>
      </c>
      <c r="I41" s="28" t="s">
        <v>11</v>
      </c>
    </row>
    <row r="42" spans="1:9" s="28" customFormat="1" x14ac:dyDescent="0.3">
      <c r="A42" s="28" t="s">
        <v>242</v>
      </c>
      <c r="B42" s="28" t="s">
        <v>46</v>
      </c>
      <c r="C42" s="28" t="s">
        <v>39</v>
      </c>
      <c r="D42" s="28" t="s">
        <v>14</v>
      </c>
      <c r="E42" s="28" t="s">
        <v>47</v>
      </c>
      <c r="F42" s="23" t="s">
        <v>289</v>
      </c>
      <c r="G42" s="28">
        <v>1</v>
      </c>
      <c r="H42" s="28" t="s">
        <v>290</v>
      </c>
      <c r="I42" s="28" t="s">
        <v>11</v>
      </c>
    </row>
    <row r="43" spans="1:9" s="28" customFormat="1" x14ac:dyDescent="0.3">
      <c r="A43" s="28" t="s">
        <v>242</v>
      </c>
      <c r="B43" s="28" t="s">
        <v>46</v>
      </c>
      <c r="C43" s="28" t="s">
        <v>39</v>
      </c>
      <c r="D43" s="28" t="s">
        <v>14</v>
      </c>
      <c r="E43" s="28" t="s">
        <v>47</v>
      </c>
      <c r="F43" s="23" t="s">
        <v>291</v>
      </c>
      <c r="G43" s="28">
        <v>1</v>
      </c>
      <c r="H43" s="28" t="s">
        <v>292</v>
      </c>
      <c r="I43" s="28" t="s">
        <v>11</v>
      </c>
    </row>
    <row r="44" spans="1:9" s="28" customFormat="1" x14ac:dyDescent="0.3">
      <c r="A44" s="28" t="s">
        <v>242</v>
      </c>
      <c r="B44" s="28" t="s">
        <v>46</v>
      </c>
      <c r="C44" s="28" t="s">
        <v>39</v>
      </c>
      <c r="D44" s="28" t="s">
        <v>14</v>
      </c>
      <c r="E44" s="28" t="s">
        <v>47</v>
      </c>
      <c r="F44" s="23" t="s">
        <v>293</v>
      </c>
      <c r="G44" s="28">
        <v>1</v>
      </c>
      <c r="H44" s="28" t="s">
        <v>294</v>
      </c>
      <c r="I44" s="28" t="s">
        <v>11</v>
      </c>
    </row>
    <row r="45" spans="1:9" s="28" customFormat="1" x14ac:dyDescent="0.3">
      <c r="A45" s="28" t="s">
        <v>242</v>
      </c>
      <c r="B45" s="28" t="s">
        <v>46</v>
      </c>
      <c r="C45" s="28" t="s">
        <v>39</v>
      </c>
      <c r="D45" s="28" t="s">
        <v>14</v>
      </c>
      <c r="E45" s="28" t="s">
        <v>47</v>
      </c>
      <c r="F45" s="23" t="s">
        <v>295</v>
      </c>
      <c r="G45" s="28">
        <v>1</v>
      </c>
      <c r="H45" s="28" t="s">
        <v>296</v>
      </c>
      <c r="I45" s="28" t="s">
        <v>11</v>
      </c>
    </row>
    <row r="46" spans="1:9" s="28" customFormat="1" x14ac:dyDescent="0.3">
      <c r="A46" s="28" t="s">
        <v>242</v>
      </c>
      <c r="B46" s="28" t="s">
        <v>46</v>
      </c>
      <c r="C46" s="28" t="s">
        <v>39</v>
      </c>
      <c r="D46" s="28" t="s">
        <v>14</v>
      </c>
      <c r="E46" s="28" t="s">
        <v>47</v>
      </c>
      <c r="F46" s="23" t="s">
        <v>297</v>
      </c>
      <c r="G46" s="28">
        <v>1</v>
      </c>
      <c r="H46" s="28" t="s">
        <v>298</v>
      </c>
      <c r="I46" s="28" t="s">
        <v>11</v>
      </c>
    </row>
    <row r="47" spans="1:9" s="28" customFormat="1" x14ac:dyDescent="0.3">
      <c r="A47" s="28" t="s">
        <v>242</v>
      </c>
      <c r="B47" s="28" t="s">
        <v>46</v>
      </c>
      <c r="C47" s="28" t="s">
        <v>39</v>
      </c>
      <c r="D47" s="28" t="s">
        <v>14</v>
      </c>
      <c r="E47" s="28" t="s">
        <v>47</v>
      </c>
      <c r="F47" s="23" t="s">
        <v>299</v>
      </c>
      <c r="G47" s="28">
        <v>1</v>
      </c>
      <c r="H47" s="28" t="s">
        <v>300</v>
      </c>
      <c r="I47" s="28" t="s">
        <v>11</v>
      </c>
    </row>
    <row r="48" spans="1:9" s="28" customFormat="1" x14ac:dyDescent="0.3">
      <c r="A48" s="28" t="s">
        <v>242</v>
      </c>
      <c r="B48" s="28" t="s">
        <v>46</v>
      </c>
      <c r="C48" s="28" t="s">
        <v>39</v>
      </c>
      <c r="D48" s="28" t="s">
        <v>14</v>
      </c>
      <c r="E48" s="28" t="s">
        <v>47</v>
      </c>
      <c r="F48" s="23" t="s">
        <v>301</v>
      </c>
      <c r="G48" s="28">
        <v>1</v>
      </c>
      <c r="H48" s="28" t="s">
        <v>302</v>
      </c>
      <c r="I48" s="28" t="s">
        <v>11</v>
      </c>
    </row>
    <row r="49" spans="1:9" s="28" customFormat="1" x14ac:dyDescent="0.3">
      <c r="A49" s="28" t="s">
        <v>242</v>
      </c>
      <c r="B49" s="28" t="s">
        <v>46</v>
      </c>
      <c r="C49" s="28" t="s">
        <v>39</v>
      </c>
      <c r="D49" s="28" t="s">
        <v>14</v>
      </c>
      <c r="E49" s="28" t="s">
        <v>47</v>
      </c>
      <c r="F49" s="23" t="s">
        <v>303</v>
      </c>
      <c r="G49" s="28">
        <v>1</v>
      </c>
      <c r="H49" s="28" t="s">
        <v>304</v>
      </c>
      <c r="I49" s="28" t="s">
        <v>11</v>
      </c>
    </row>
    <row r="50" spans="1:9" s="28" customFormat="1" x14ac:dyDescent="0.3">
      <c r="A50" s="28" t="s">
        <v>242</v>
      </c>
      <c r="B50" s="28" t="s">
        <v>46</v>
      </c>
      <c r="C50" s="28" t="s">
        <v>39</v>
      </c>
      <c r="D50" s="28" t="s">
        <v>14</v>
      </c>
      <c r="E50" s="28" t="s">
        <v>47</v>
      </c>
      <c r="F50" s="23" t="s">
        <v>305</v>
      </c>
      <c r="G50" s="28">
        <v>1</v>
      </c>
      <c r="H50" s="28" t="s">
        <v>306</v>
      </c>
      <c r="I50" s="28" t="s">
        <v>11</v>
      </c>
    </row>
    <row r="51" spans="1:9" s="28" customFormat="1" x14ac:dyDescent="0.3">
      <c r="A51" s="28" t="s">
        <v>242</v>
      </c>
      <c r="B51" s="28" t="s">
        <v>46</v>
      </c>
      <c r="C51" s="28" t="s">
        <v>39</v>
      </c>
      <c r="D51" s="28" t="s">
        <v>14</v>
      </c>
      <c r="E51" s="28" t="s">
        <v>47</v>
      </c>
      <c r="F51" s="23" t="s">
        <v>307</v>
      </c>
      <c r="G51" s="28">
        <v>1</v>
      </c>
      <c r="H51" s="28" t="s">
        <v>308</v>
      </c>
      <c r="I51" s="28" t="s">
        <v>11</v>
      </c>
    </row>
    <row r="52" spans="1:9" s="28" customFormat="1" x14ac:dyDescent="0.3">
      <c r="A52" s="28" t="s">
        <v>242</v>
      </c>
      <c r="B52" s="28" t="s">
        <v>48</v>
      </c>
      <c r="C52" s="28" t="s">
        <v>18</v>
      </c>
      <c r="D52" s="28" t="s">
        <v>14</v>
      </c>
      <c r="E52" s="28" t="s">
        <v>49</v>
      </c>
      <c r="F52" s="23" t="s">
        <v>309</v>
      </c>
      <c r="G52" s="28">
        <v>1</v>
      </c>
      <c r="H52" s="28" t="s">
        <v>11</v>
      </c>
      <c r="I52" s="28" t="s">
        <v>11</v>
      </c>
    </row>
    <row r="53" spans="1:9" s="28" customFormat="1" x14ac:dyDescent="0.3">
      <c r="A53" s="28" t="s">
        <v>242</v>
      </c>
      <c r="B53" s="28" t="s">
        <v>48</v>
      </c>
      <c r="C53" s="28" t="s">
        <v>18</v>
      </c>
      <c r="D53" s="28" t="s">
        <v>14</v>
      </c>
      <c r="E53" s="28" t="s">
        <v>49</v>
      </c>
      <c r="F53" s="23" t="s">
        <v>310</v>
      </c>
      <c r="G53" s="28">
        <v>1</v>
      </c>
      <c r="H53" s="28" t="s">
        <v>11</v>
      </c>
      <c r="I53" s="28" t="s">
        <v>11</v>
      </c>
    </row>
    <row r="54" spans="1:9" s="28" customFormat="1" x14ac:dyDescent="0.3">
      <c r="A54" s="28" t="s">
        <v>242</v>
      </c>
      <c r="B54" s="28" t="s">
        <v>48</v>
      </c>
      <c r="C54" s="28" t="s">
        <v>18</v>
      </c>
      <c r="D54" s="28" t="s">
        <v>14</v>
      </c>
      <c r="E54" s="28" t="s">
        <v>49</v>
      </c>
      <c r="F54" s="23" t="s">
        <v>311</v>
      </c>
      <c r="G54" s="28">
        <v>1</v>
      </c>
      <c r="H54" s="28" t="s">
        <v>11</v>
      </c>
      <c r="I54" s="28" t="s">
        <v>11</v>
      </c>
    </row>
    <row r="55" spans="1:9" s="28" customFormat="1" x14ac:dyDescent="0.3">
      <c r="A55" s="28" t="s">
        <v>242</v>
      </c>
      <c r="B55" s="28" t="s">
        <v>48</v>
      </c>
      <c r="C55" s="28" t="s">
        <v>18</v>
      </c>
      <c r="D55" s="28" t="s">
        <v>14</v>
      </c>
      <c r="E55" s="28" t="s">
        <v>49</v>
      </c>
      <c r="F55" s="23" t="s">
        <v>312</v>
      </c>
      <c r="G55" s="28">
        <v>1</v>
      </c>
      <c r="H55" s="28" t="s">
        <v>11</v>
      </c>
      <c r="I55" s="28" t="s">
        <v>11</v>
      </c>
    </row>
    <row r="56" spans="1:9" s="28" customFormat="1" x14ac:dyDescent="0.3">
      <c r="A56" s="28" t="s">
        <v>242</v>
      </c>
      <c r="B56" s="28" t="s">
        <v>48</v>
      </c>
      <c r="C56" s="28" t="s">
        <v>18</v>
      </c>
      <c r="D56" s="28" t="s">
        <v>14</v>
      </c>
      <c r="E56" s="28" t="s">
        <v>49</v>
      </c>
      <c r="F56" s="23" t="s">
        <v>313</v>
      </c>
      <c r="G56" s="28">
        <v>1</v>
      </c>
      <c r="H56" s="28" t="s">
        <v>11</v>
      </c>
      <c r="I56" s="28" t="s">
        <v>11</v>
      </c>
    </row>
    <row r="57" spans="1:9" s="28" customFormat="1" x14ac:dyDescent="0.3">
      <c r="A57" s="28" t="s">
        <v>242</v>
      </c>
      <c r="B57" s="28" t="s">
        <v>48</v>
      </c>
      <c r="C57" s="28" t="s">
        <v>18</v>
      </c>
      <c r="D57" s="28" t="s">
        <v>14</v>
      </c>
      <c r="E57" s="28" t="s">
        <v>49</v>
      </c>
      <c r="F57" s="23" t="s">
        <v>314</v>
      </c>
      <c r="G57" s="28">
        <v>1</v>
      </c>
      <c r="H57" s="28" t="s">
        <v>11</v>
      </c>
      <c r="I57" s="28" t="s">
        <v>11</v>
      </c>
    </row>
    <row r="58" spans="1:9" s="28" customFormat="1" x14ac:dyDescent="0.3">
      <c r="A58" s="28" t="s">
        <v>242</v>
      </c>
      <c r="B58" s="28" t="s">
        <v>48</v>
      </c>
      <c r="C58" s="28" t="s">
        <v>18</v>
      </c>
      <c r="D58" s="28" t="s">
        <v>14</v>
      </c>
      <c r="E58" s="28" t="s">
        <v>49</v>
      </c>
      <c r="F58" s="23" t="s">
        <v>315</v>
      </c>
      <c r="G58" s="28">
        <v>1</v>
      </c>
      <c r="H58" s="28" t="s">
        <v>11</v>
      </c>
      <c r="I58" s="28" t="s">
        <v>11</v>
      </c>
    </row>
    <row r="59" spans="1:9" s="28" customFormat="1" x14ac:dyDescent="0.3">
      <c r="A59" s="28" t="s">
        <v>242</v>
      </c>
      <c r="B59" s="28" t="s">
        <v>48</v>
      </c>
      <c r="C59" s="28" t="s">
        <v>18</v>
      </c>
      <c r="D59" s="28" t="s">
        <v>14</v>
      </c>
      <c r="E59" s="28" t="s">
        <v>49</v>
      </c>
      <c r="F59" s="23" t="s">
        <v>316</v>
      </c>
      <c r="G59" s="28">
        <v>1</v>
      </c>
      <c r="H59" s="28" t="s">
        <v>11</v>
      </c>
      <c r="I59" s="28" t="s">
        <v>11</v>
      </c>
    </row>
    <row r="60" spans="1:9" s="28" customFormat="1" x14ac:dyDescent="0.3">
      <c r="A60" s="28" t="s">
        <v>242</v>
      </c>
      <c r="B60" s="28" t="s">
        <v>226</v>
      </c>
      <c r="C60" s="28" t="s">
        <v>227</v>
      </c>
      <c r="D60" s="28" t="s">
        <v>14</v>
      </c>
      <c r="E60" s="28" t="s">
        <v>228</v>
      </c>
      <c r="F60" s="23" t="s">
        <v>317</v>
      </c>
      <c r="G60" s="28">
        <v>1</v>
      </c>
      <c r="H60" s="28" t="s">
        <v>11</v>
      </c>
      <c r="I60" s="28" t="s">
        <v>318</v>
      </c>
    </row>
    <row r="61" spans="1:9" s="28" customFormat="1" x14ac:dyDescent="0.3">
      <c r="A61" s="28" t="s">
        <v>242</v>
      </c>
      <c r="B61" s="28" t="s">
        <v>229</v>
      </c>
      <c r="C61" s="28" t="s">
        <v>230</v>
      </c>
      <c r="D61" s="28" t="s">
        <v>14</v>
      </c>
      <c r="E61" s="28" t="s">
        <v>231</v>
      </c>
      <c r="F61" s="23" t="s">
        <v>319</v>
      </c>
      <c r="G61" s="28">
        <v>1</v>
      </c>
      <c r="H61" s="28" t="s">
        <v>11</v>
      </c>
      <c r="I61" s="28" t="s">
        <v>11</v>
      </c>
    </row>
    <row r="62" spans="1:9" s="28" customFormat="1" x14ac:dyDescent="0.3">
      <c r="A62" s="28" t="s">
        <v>242</v>
      </c>
      <c r="B62" s="28" t="s">
        <v>229</v>
      </c>
      <c r="C62" s="28" t="s">
        <v>230</v>
      </c>
      <c r="D62" s="28" t="s">
        <v>14</v>
      </c>
      <c r="E62" s="28" t="s">
        <v>231</v>
      </c>
      <c r="F62" s="23" t="s">
        <v>320</v>
      </c>
      <c r="G62" s="28">
        <v>1</v>
      </c>
      <c r="H62" s="28" t="s">
        <v>11</v>
      </c>
      <c r="I62" s="28" t="s">
        <v>11</v>
      </c>
    </row>
    <row r="63" spans="1:9" s="28" customFormat="1" x14ac:dyDescent="0.3">
      <c r="A63" s="28" t="s">
        <v>242</v>
      </c>
      <c r="B63" s="28" t="s">
        <v>46</v>
      </c>
      <c r="C63" s="28" t="s">
        <v>39</v>
      </c>
      <c r="D63" s="28" t="s">
        <v>14</v>
      </c>
      <c r="E63" s="28" t="s">
        <v>47</v>
      </c>
      <c r="F63" s="23" t="s">
        <v>321</v>
      </c>
      <c r="G63" s="28">
        <v>1</v>
      </c>
      <c r="H63" s="28" t="s">
        <v>322</v>
      </c>
      <c r="I63" s="28" t="s">
        <v>11</v>
      </c>
    </row>
    <row r="64" spans="1:9" s="28" customFormat="1" x14ac:dyDescent="0.3">
      <c r="A64" s="28" t="s">
        <v>242</v>
      </c>
      <c r="B64" s="28" t="s">
        <v>46</v>
      </c>
      <c r="C64" s="28" t="s">
        <v>39</v>
      </c>
      <c r="D64" s="28" t="s">
        <v>14</v>
      </c>
      <c r="E64" s="28" t="s">
        <v>47</v>
      </c>
      <c r="F64" s="23" t="s">
        <v>323</v>
      </c>
      <c r="G64" s="28">
        <v>1</v>
      </c>
      <c r="H64" s="28" t="s">
        <v>324</v>
      </c>
      <c r="I64" s="28" t="s">
        <v>11</v>
      </c>
    </row>
    <row r="65" spans="1:9" s="28" customFormat="1" x14ac:dyDescent="0.3">
      <c r="A65" s="28" t="s">
        <v>242</v>
      </c>
      <c r="B65" s="28" t="s">
        <v>46</v>
      </c>
      <c r="C65" s="28" t="s">
        <v>39</v>
      </c>
      <c r="D65" s="28" t="s">
        <v>14</v>
      </c>
      <c r="E65" s="28" t="s">
        <v>47</v>
      </c>
      <c r="F65" s="23" t="s">
        <v>325</v>
      </c>
      <c r="G65" s="28">
        <v>1</v>
      </c>
      <c r="H65" s="28" t="s">
        <v>326</v>
      </c>
      <c r="I65" s="28" t="s">
        <v>11</v>
      </c>
    </row>
    <row r="66" spans="1:9" s="28" customFormat="1" x14ac:dyDescent="0.3">
      <c r="A66" s="28" t="s">
        <v>242</v>
      </c>
      <c r="B66" s="28" t="s">
        <v>46</v>
      </c>
      <c r="C66" s="28" t="s">
        <v>39</v>
      </c>
      <c r="D66" s="28" t="s">
        <v>14</v>
      </c>
      <c r="E66" s="28" t="s">
        <v>47</v>
      </c>
      <c r="F66" s="23" t="s">
        <v>327</v>
      </c>
      <c r="G66" s="28">
        <v>1</v>
      </c>
      <c r="H66" s="28" t="s">
        <v>328</v>
      </c>
      <c r="I66" s="28" t="s">
        <v>11</v>
      </c>
    </row>
    <row r="67" spans="1:9" s="28" customFormat="1" x14ac:dyDescent="0.3">
      <c r="A67" s="28" t="s">
        <v>242</v>
      </c>
      <c r="B67" s="28" t="s">
        <v>46</v>
      </c>
      <c r="C67" s="28" t="s">
        <v>39</v>
      </c>
      <c r="D67" s="28" t="s">
        <v>14</v>
      </c>
      <c r="E67" s="28" t="s">
        <v>47</v>
      </c>
      <c r="F67" s="23" t="s">
        <v>329</v>
      </c>
      <c r="G67" s="28">
        <v>1</v>
      </c>
      <c r="H67" s="28" t="s">
        <v>330</v>
      </c>
      <c r="I67" s="28" t="s">
        <v>11</v>
      </c>
    </row>
    <row r="68" spans="1:9" s="28" customFormat="1" x14ac:dyDescent="0.3">
      <c r="A68" s="28" t="s">
        <v>242</v>
      </c>
      <c r="B68" s="28" t="s">
        <v>46</v>
      </c>
      <c r="C68" s="28" t="s">
        <v>39</v>
      </c>
      <c r="D68" s="28" t="s">
        <v>14</v>
      </c>
      <c r="E68" s="28" t="s">
        <v>47</v>
      </c>
      <c r="F68" s="23" t="s">
        <v>331</v>
      </c>
      <c r="G68" s="28">
        <v>1</v>
      </c>
      <c r="H68" s="28" t="s">
        <v>332</v>
      </c>
      <c r="I68" s="28" t="s">
        <v>11</v>
      </c>
    </row>
    <row r="69" spans="1:9" s="28" customFormat="1" x14ac:dyDescent="0.3">
      <c r="A69" s="28" t="s">
        <v>242</v>
      </c>
      <c r="B69" s="28" t="s">
        <v>46</v>
      </c>
      <c r="C69" s="28" t="s">
        <v>39</v>
      </c>
      <c r="D69" s="28" t="s">
        <v>14</v>
      </c>
      <c r="E69" s="28" t="s">
        <v>47</v>
      </c>
      <c r="F69" s="23" t="s">
        <v>333</v>
      </c>
      <c r="G69" s="28">
        <v>1</v>
      </c>
      <c r="H69" s="28" t="s">
        <v>334</v>
      </c>
      <c r="I69" s="28" t="s">
        <v>11</v>
      </c>
    </row>
    <row r="70" spans="1:9" s="28" customFormat="1" x14ac:dyDescent="0.3">
      <c r="A70" s="28" t="s">
        <v>242</v>
      </c>
      <c r="B70" s="28" t="s">
        <v>46</v>
      </c>
      <c r="C70" s="28" t="s">
        <v>39</v>
      </c>
      <c r="D70" s="28" t="s">
        <v>14</v>
      </c>
      <c r="E70" s="28" t="s">
        <v>47</v>
      </c>
      <c r="F70" s="23" t="s">
        <v>335</v>
      </c>
      <c r="G70" s="28">
        <v>1</v>
      </c>
      <c r="H70" s="28" t="s">
        <v>336</v>
      </c>
      <c r="I70" s="28" t="s">
        <v>11</v>
      </c>
    </row>
    <row r="71" spans="1:9" s="28" customFormat="1" x14ac:dyDescent="0.3">
      <c r="A71" s="28" t="s">
        <v>242</v>
      </c>
      <c r="B71" s="28" t="s">
        <v>46</v>
      </c>
      <c r="C71" s="28" t="s">
        <v>39</v>
      </c>
      <c r="D71" s="28" t="s">
        <v>14</v>
      </c>
      <c r="E71" s="28" t="s">
        <v>47</v>
      </c>
      <c r="F71" s="23" t="s">
        <v>337</v>
      </c>
      <c r="G71" s="28">
        <v>1</v>
      </c>
      <c r="H71" s="28" t="s">
        <v>338</v>
      </c>
      <c r="I71" s="28" t="s">
        <v>11</v>
      </c>
    </row>
    <row r="72" spans="1:9" s="28" customFormat="1" x14ac:dyDescent="0.3">
      <c r="A72" s="28" t="s">
        <v>242</v>
      </c>
      <c r="B72" s="28" t="s">
        <v>46</v>
      </c>
      <c r="C72" s="28" t="s">
        <v>39</v>
      </c>
      <c r="D72" s="28" t="s">
        <v>14</v>
      </c>
      <c r="E72" s="28" t="s">
        <v>47</v>
      </c>
      <c r="F72" s="23" t="s">
        <v>339</v>
      </c>
      <c r="G72" s="28">
        <v>1</v>
      </c>
      <c r="H72" s="28" t="s">
        <v>340</v>
      </c>
      <c r="I72" s="28" t="s">
        <v>11</v>
      </c>
    </row>
    <row r="73" spans="1:9" s="28" customFormat="1" x14ac:dyDescent="0.3">
      <c r="A73" s="28" t="s">
        <v>242</v>
      </c>
      <c r="B73" s="28" t="s">
        <v>46</v>
      </c>
      <c r="C73" s="28" t="s">
        <v>39</v>
      </c>
      <c r="D73" s="28" t="s">
        <v>14</v>
      </c>
      <c r="E73" s="28" t="s">
        <v>47</v>
      </c>
      <c r="F73" s="23" t="s">
        <v>341</v>
      </c>
      <c r="G73" s="28">
        <v>1</v>
      </c>
      <c r="H73" s="28" t="s">
        <v>342</v>
      </c>
      <c r="I73" s="28" t="s">
        <v>11</v>
      </c>
    </row>
    <row r="74" spans="1:9" s="28" customFormat="1" x14ac:dyDescent="0.3">
      <c r="A74" s="28" t="s">
        <v>242</v>
      </c>
      <c r="B74" s="28" t="s">
        <v>46</v>
      </c>
      <c r="C74" s="28" t="s">
        <v>39</v>
      </c>
      <c r="D74" s="28" t="s">
        <v>14</v>
      </c>
      <c r="E74" s="28" t="s">
        <v>47</v>
      </c>
      <c r="F74" s="23" t="s">
        <v>343</v>
      </c>
      <c r="G74" s="28">
        <v>1</v>
      </c>
      <c r="H74" s="28" t="s">
        <v>344</v>
      </c>
      <c r="I74" s="28" t="s">
        <v>11</v>
      </c>
    </row>
    <row r="75" spans="1:9" s="28" customFormat="1" x14ac:dyDescent="0.3">
      <c r="A75" s="28" t="s">
        <v>242</v>
      </c>
      <c r="B75" s="28" t="s">
        <v>232</v>
      </c>
      <c r="C75" s="28" t="s">
        <v>233</v>
      </c>
      <c r="D75" s="28" t="s">
        <v>14</v>
      </c>
      <c r="E75" s="28" t="s">
        <v>228</v>
      </c>
      <c r="F75" s="23" t="s">
        <v>345</v>
      </c>
      <c r="G75" s="28">
        <v>1</v>
      </c>
      <c r="H75" s="28" t="s">
        <v>11</v>
      </c>
      <c r="I75" s="28" t="s">
        <v>346</v>
      </c>
    </row>
    <row r="76" spans="1:9" s="28" customFormat="1" x14ac:dyDescent="0.3">
      <c r="A76" s="28" t="s">
        <v>242</v>
      </c>
      <c r="B76" s="28" t="s">
        <v>229</v>
      </c>
      <c r="C76" s="28" t="s">
        <v>230</v>
      </c>
      <c r="D76" s="28" t="s">
        <v>14</v>
      </c>
      <c r="E76" s="28" t="s">
        <v>231</v>
      </c>
      <c r="F76" s="23" t="s">
        <v>347</v>
      </c>
      <c r="G76" s="28">
        <v>1</v>
      </c>
      <c r="H76" s="28" t="s">
        <v>11</v>
      </c>
      <c r="I76" s="28" t="s">
        <v>11</v>
      </c>
    </row>
    <row r="77" spans="1:9" s="28" customFormat="1" x14ac:dyDescent="0.3">
      <c r="A77" s="28" t="s">
        <v>242</v>
      </c>
      <c r="B77" s="28" t="s">
        <v>229</v>
      </c>
      <c r="C77" s="28" t="s">
        <v>230</v>
      </c>
      <c r="D77" s="28" t="s">
        <v>14</v>
      </c>
      <c r="E77" s="28" t="s">
        <v>231</v>
      </c>
      <c r="F77" s="23" t="s">
        <v>348</v>
      </c>
      <c r="G77" s="28">
        <v>1</v>
      </c>
      <c r="H77" s="28" t="s">
        <v>11</v>
      </c>
      <c r="I77" s="28" t="s">
        <v>11</v>
      </c>
    </row>
    <row r="78" spans="1:9" s="28" customFormat="1" x14ac:dyDescent="0.3">
      <c r="A78" s="28" t="s">
        <v>242</v>
      </c>
      <c r="B78" s="28" t="s">
        <v>46</v>
      </c>
      <c r="C78" s="28" t="s">
        <v>39</v>
      </c>
      <c r="D78" s="28" t="s">
        <v>14</v>
      </c>
      <c r="E78" s="28" t="s">
        <v>47</v>
      </c>
      <c r="F78" s="23" t="s">
        <v>349</v>
      </c>
      <c r="G78" s="28">
        <v>1</v>
      </c>
      <c r="H78" s="28" t="s">
        <v>350</v>
      </c>
      <c r="I78" s="28" t="s">
        <v>11</v>
      </c>
    </row>
    <row r="79" spans="1:9" s="28" customFormat="1" x14ac:dyDescent="0.3">
      <c r="A79" s="28" t="s">
        <v>242</v>
      </c>
      <c r="B79" s="28" t="s">
        <v>46</v>
      </c>
      <c r="C79" s="28" t="s">
        <v>39</v>
      </c>
      <c r="D79" s="28" t="s">
        <v>14</v>
      </c>
      <c r="E79" s="28" t="s">
        <v>47</v>
      </c>
      <c r="F79" s="23" t="s">
        <v>351</v>
      </c>
      <c r="G79" s="28">
        <v>1</v>
      </c>
      <c r="H79" s="28" t="s">
        <v>352</v>
      </c>
      <c r="I79" s="28" t="s">
        <v>11</v>
      </c>
    </row>
    <row r="80" spans="1:9" s="28" customFormat="1" x14ac:dyDescent="0.3">
      <c r="A80" s="28" t="s">
        <v>242</v>
      </c>
      <c r="B80" s="28" t="s">
        <v>46</v>
      </c>
      <c r="C80" s="28" t="s">
        <v>39</v>
      </c>
      <c r="D80" s="28" t="s">
        <v>14</v>
      </c>
      <c r="E80" s="28" t="s">
        <v>47</v>
      </c>
      <c r="F80" s="23" t="s">
        <v>353</v>
      </c>
      <c r="G80" s="28">
        <v>1</v>
      </c>
      <c r="H80" s="28" t="s">
        <v>354</v>
      </c>
      <c r="I80" s="28" t="s">
        <v>11</v>
      </c>
    </row>
    <row r="81" spans="1:9" s="28" customFormat="1" x14ac:dyDescent="0.3">
      <c r="A81" s="28" t="s">
        <v>242</v>
      </c>
      <c r="B81" s="28" t="s">
        <v>46</v>
      </c>
      <c r="C81" s="28" t="s">
        <v>39</v>
      </c>
      <c r="D81" s="28" t="s">
        <v>14</v>
      </c>
      <c r="E81" s="28" t="s">
        <v>47</v>
      </c>
      <c r="F81" s="23" t="s">
        <v>355</v>
      </c>
      <c r="G81" s="28">
        <v>1</v>
      </c>
      <c r="H81" s="28" t="s">
        <v>356</v>
      </c>
      <c r="I81" s="28" t="s">
        <v>11</v>
      </c>
    </row>
    <row r="82" spans="1:9" s="28" customFormat="1" x14ac:dyDescent="0.3">
      <c r="A82" s="28" t="s">
        <v>242</v>
      </c>
      <c r="B82" s="28" t="s">
        <v>46</v>
      </c>
      <c r="C82" s="28" t="s">
        <v>39</v>
      </c>
      <c r="D82" s="28" t="s">
        <v>14</v>
      </c>
      <c r="E82" s="28" t="s">
        <v>47</v>
      </c>
      <c r="F82" s="23" t="s">
        <v>357</v>
      </c>
      <c r="G82" s="28">
        <v>1</v>
      </c>
      <c r="H82" s="28" t="s">
        <v>358</v>
      </c>
      <c r="I82" s="28" t="s">
        <v>11</v>
      </c>
    </row>
    <row r="83" spans="1:9" s="28" customFormat="1" x14ac:dyDescent="0.3">
      <c r="A83" s="28" t="s">
        <v>242</v>
      </c>
      <c r="B83" s="28" t="s">
        <v>46</v>
      </c>
      <c r="C83" s="28" t="s">
        <v>39</v>
      </c>
      <c r="D83" s="28" t="s">
        <v>14</v>
      </c>
      <c r="E83" s="28" t="s">
        <v>47</v>
      </c>
      <c r="F83" s="23" t="s">
        <v>359</v>
      </c>
      <c r="G83" s="28">
        <v>1</v>
      </c>
      <c r="H83" s="28" t="s">
        <v>360</v>
      </c>
      <c r="I83" s="28" t="s">
        <v>11</v>
      </c>
    </row>
    <row r="84" spans="1:9" s="28" customFormat="1" x14ac:dyDescent="0.3">
      <c r="A84" s="28" t="s">
        <v>242</v>
      </c>
      <c r="B84" s="28" t="s">
        <v>46</v>
      </c>
      <c r="C84" s="28" t="s">
        <v>39</v>
      </c>
      <c r="D84" s="28" t="s">
        <v>14</v>
      </c>
      <c r="E84" s="28" t="s">
        <v>47</v>
      </c>
      <c r="F84" s="23" t="s">
        <v>361</v>
      </c>
      <c r="G84" s="28">
        <v>1</v>
      </c>
      <c r="H84" s="28" t="s">
        <v>362</v>
      </c>
      <c r="I84" s="28" t="s">
        <v>11</v>
      </c>
    </row>
    <row r="85" spans="1:9" s="28" customFormat="1" x14ac:dyDescent="0.3">
      <c r="A85" s="28" t="s">
        <v>242</v>
      </c>
      <c r="B85" s="28" t="s">
        <v>46</v>
      </c>
      <c r="C85" s="28" t="s">
        <v>39</v>
      </c>
      <c r="D85" s="28" t="s">
        <v>14</v>
      </c>
      <c r="E85" s="28" t="s">
        <v>47</v>
      </c>
      <c r="F85" s="23" t="s">
        <v>363</v>
      </c>
      <c r="G85" s="28">
        <v>1</v>
      </c>
      <c r="H85" s="28" t="s">
        <v>364</v>
      </c>
      <c r="I85" s="28" t="s">
        <v>11</v>
      </c>
    </row>
    <row r="86" spans="1:9" s="28" customFormat="1" x14ac:dyDescent="0.3">
      <c r="A86" s="28" t="s">
        <v>242</v>
      </c>
      <c r="B86" s="28" t="s">
        <v>46</v>
      </c>
      <c r="C86" s="28" t="s">
        <v>39</v>
      </c>
      <c r="D86" s="28" t="s">
        <v>14</v>
      </c>
      <c r="E86" s="28" t="s">
        <v>47</v>
      </c>
      <c r="F86" s="23" t="s">
        <v>365</v>
      </c>
      <c r="G86" s="28">
        <v>1</v>
      </c>
      <c r="H86" s="28" t="s">
        <v>366</v>
      </c>
      <c r="I86" s="28" t="s">
        <v>11</v>
      </c>
    </row>
    <row r="87" spans="1:9" s="28" customFormat="1" x14ac:dyDescent="0.3">
      <c r="A87" s="28" t="s">
        <v>242</v>
      </c>
      <c r="B87" s="28" t="s">
        <v>46</v>
      </c>
      <c r="C87" s="28" t="s">
        <v>39</v>
      </c>
      <c r="D87" s="28" t="s">
        <v>14</v>
      </c>
      <c r="E87" s="28" t="s">
        <v>47</v>
      </c>
      <c r="F87" s="23" t="s">
        <v>367</v>
      </c>
      <c r="G87" s="28">
        <v>1</v>
      </c>
      <c r="H87" s="28" t="s">
        <v>368</v>
      </c>
      <c r="I87" s="28" t="s">
        <v>11</v>
      </c>
    </row>
    <row r="88" spans="1:9" s="28" customFormat="1" x14ac:dyDescent="0.3">
      <c r="A88" s="28" t="s">
        <v>242</v>
      </c>
      <c r="B88" s="28" t="s">
        <v>46</v>
      </c>
      <c r="C88" s="28" t="s">
        <v>39</v>
      </c>
      <c r="D88" s="28" t="s">
        <v>14</v>
      </c>
      <c r="E88" s="28" t="s">
        <v>47</v>
      </c>
      <c r="F88" s="23" t="s">
        <v>369</v>
      </c>
      <c r="G88" s="28">
        <v>1</v>
      </c>
      <c r="H88" s="28" t="s">
        <v>370</v>
      </c>
      <c r="I88" s="28" t="s">
        <v>11</v>
      </c>
    </row>
    <row r="89" spans="1:9" s="28" customFormat="1" x14ac:dyDescent="0.3">
      <c r="A89" s="28" t="s">
        <v>242</v>
      </c>
      <c r="B89" s="28" t="s">
        <v>46</v>
      </c>
      <c r="C89" s="28" t="s">
        <v>39</v>
      </c>
      <c r="D89" s="28" t="s">
        <v>14</v>
      </c>
      <c r="E89" s="28" t="s">
        <v>47</v>
      </c>
      <c r="F89" s="23" t="s">
        <v>371</v>
      </c>
      <c r="G89" s="28">
        <v>1</v>
      </c>
      <c r="H89" s="28" t="s">
        <v>372</v>
      </c>
      <c r="I89" s="28" t="s">
        <v>11</v>
      </c>
    </row>
    <row r="90" spans="1:9" s="28" customFormat="1" x14ac:dyDescent="0.3">
      <c r="A90" s="28" t="s">
        <v>242</v>
      </c>
      <c r="B90" s="28" t="s">
        <v>51</v>
      </c>
      <c r="C90" s="28" t="s">
        <v>52</v>
      </c>
      <c r="D90" s="28" t="s">
        <v>53</v>
      </c>
      <c r="E90" s="28" t="s">
        <v>54</v>
      </c>
      <c r="F90" s="23" t="s">
        <v>373</v>
      </c>
      <c r="G90" s="28">
        <v>1</v>
      </c>
      <c r="H90" s="28" t="s">
        <v>11</v>
      </c>
      <c r="I90" s="28" t="s">
        <v>374</v>
      </c>
    </row>
    <row r="91" spans="1:9" s="28" customFormat="1" x14ac:dyDescent="0.3">
      <c r="A91" s="28" t="s">
        <v>242</v>
      </c>
      <c r="B91" s="28" t="s">
        <v>56</v>
      </c>
      <c r="C91" s="28" t="s">
        <v>57</v>
      </c>
      <c r="D91" s="28" t="s">
        <v>14</v>
      </c>
      <c r="E91" s="28" t="s">
        <v>58</v>
      </c>
      <c r="F91" s="23" t="s">
        <v>375</v>
      </c>
      <c r="G91" s="28">
        <v>1</v>
      </c>
      <c r="H91" s="28" t="s">
        <v>11</v>
      </c>
      <c r="I91" s="28" t="s">
        <v>376</v>
      </c>
    </row>
    <row r="92" spans="1:9" s="28" customFormat="1" x14ac:dyDescent="0.3">
      <c r="A92" s="28" t="s">
        <v>242</v>
      </c>
      <c r="B92" s="28" t="s">
        <v>377</v>
      </c>
      <c r="C92" s="28" t="s">
        <v>377</v>
      </c>
      <c r="D92" s="28" t="s">
        <v>377</v>
      </c>
      <c r="E92" s="28" t="s">
        <v>377</v>
      </c>
      <c r="F92" s="23" t="s">
        <v>377</v>
      </c>
      <c r="G92" s="28" t="s">
        <v>377</v>
      </c>
      <c r="H92" s="28" t="s">
        <v>377</v>
      </c>
      <c r="I92" s="28" t="s">
        <v>377</v>
      </c>
    </row>
    <row r="93" spans="1:9" s="28" customFormat="1" x14ac:dyDescent="0.3">
      <c r="A93" s="28" t="s">
        <v>242</v>
      </c>
      <c r="B93" s="28" t="s">
        <v>378</v>
      </c>
      <c r="C93" s="28" t="s">
        <v>379</v>
      </c>
      <c r="D93" s="28" t="s">
        <v>380</v>
      </c>
      <c r="E93" s="28" t="s">
        <v>381</v>
      </c>
      <c r="F93" s="23" t="s">
        <v>382</v>
      </c>
      <c r="G93" s="28">
        <v>1</v>
      </c>
      <c r="H93" s="28" t="s">
        <v>11</v>
      </c>
      <c r="I93" s="28" t="s">
        <v>11</v>
      </c>
    </row>
    <row r="94" spans="1:9" s="28" customFormat="1" x14ac:dyDescent="0.3">
      <c r="A94" s="28" t="s">
        <v>242</v>
      </c>
      <c r="B94" s="28" t="s">
        <v>383</v>
      </c>
      <c r="C94" s="28" t="s">
        <v>384</v>
      </c>
      <c r="D94" s="28" t="s">
        <v>380</v>
      </c>
      <c r="E94" s="28" t="s">
        <v>385</v>
      </c>
      <c r="F94" s="23" t="s">
        <v>386</v>
      </c>
      <c r="G94" s="28">
        <v>1</v>
      </c>
      <c r="H94" s="28" t="s">
        <v>11</v>
      </c>
      <c r="I94" s="28" t="s">
        <v>11</v>
      </c>
    </row>
    <row r="95" spans="1:9" s="28" customFormat="1" x14ac:dyDescent="0.3">
      <c r="A95" s="28" t="s">
        <v>242</v>
      </c>
      <c r="B95" s="28" t="s">
        <v>387</v>
      </c>
      <c r="C95" s="28" t="s">
        <v>388</v>
      </c>
      <c r="D95" s="28" t="s">
        <v>380</v>
      </c>
      <c r="E95" s="28" t="s">
        <v>388</v>
      </c>
      <c r="F95" s="23" t="s">
        <v>389</v>
      </c>
      <c r="G95" s="28">
        <v>1</v>
      </c>
      <c r="H95" s="28" t="s">
        <v>11</v>
      </c>
      <c r="I95" s="28" t="s">
        <v>11</v>
      </c>
    </row>
    <row r="96" spans="1:9" s="28" customFormat="1" x14ac:dyDescent="0.3">
      <c r="A96" s="28" t="s">
        <v>242</v>
      </c>
      <c r="B96" s="28" t="s">
        <v>387</v>
      </c>
      <c r="C96" s="28" t="s">
        <v>388</v>
      </c>
      <c r="D96" s="28" t="s">
        <v>380</v>
      </c>
      <c r="E96" s="28" t="s">
        <v>388</v>
      </c>
      <c r="F96" s="23" t="s">
        <v>389</v>
      </c>
      <c r="G96" s="28">
        <v>1</v>
      </c>
      <c r="H96" s="28" t="s">
        <v>11</v>
      </c>
      <c r="I96" s="28" t="s">
        <v>11</v>
      </c>
    </row>
    <row r="97" spans="1:11" s="28" customFormat="1" x14ac:dyDescent="0.3">
      <c r="A97" s="28" t="s">
        <v>242</v>
      </c>
      <c r="B97" s="28" t="s">
        <v>62</v>
      </c>
      <c r="C97" s="28" t="s">
        <v>63</v>
      </c>
      <c r="D97" s="28" t="s">
        <v>64</v>
      </c>
      <c r="E97" s="28" t="s">
        <v>65</v>
      </c>
      <c r="F97" s="23" t="s">
        <v>390</v>
      </c>
      <c r="G97" s="28">
        <v>1</v>
      </c>
      <c r="H97" s="28" t="s">
        <v>391</v>
      </c>
      <c r="I97" s="28" t="s">
        <v>392</v>
      </c>
    </row>
    <row r="98" spans="1:11" s="28" customFormat="1" x14ac:dyDescent="0.3">
      <c r="A98" s="28" t="s">
        <v>242</v>
      </c>
      <c r="B98" s="28" t="s">
        <v>393</v>
      </c>
      <c r="C98" s="28" t="s">
        <v>394</v>
      </c>
      <c r="D98" s="28" t="s">
        <v>380</v>
      </c>
      <c r="E98" s="28" t="s">
        <v>395</v>
      </c>
      <c r="F98" s="23" t="s">
        <v>1064</v>
      </c>
      <c r="G98" s="28">
        <v>1</v>
      </c>
      <c r="H98" s="28" t="s">
        <v>392</v>
      </c>
      <c r="I98" s="28" t="s">
        <v>11</v>
      </c>
      <c r="K98" s="23"/>
    </row>
    <row r="99" spans="1:11" s="28" customFormat="1" x14ac:dyDescent="0.3">
      <c r="A99" s="28" t="s">
        <v>242</v>
      </c>
      <c r="B99" s="28" t="s">
        <v>396</v>
      </c>
      <c r="C99" s="28" t="s">
        <v>397</v>
      </c>
      <c r="D99" s="28" t="s">
        <v>64</v>
      </c>
      <c r="E99" s="28" t="s">
        <v>398</v>
      </c>
      <c r="F99" s="23" t="s">
        <v>399</v>
      </c>
      <c r="G99" s="28">
        <v>1</v>
      </c>
      <c r="H99" s="28" t="s">
        <v>392</v>
      </c>
      <c r="I99" s="28" t="s">
        <v>11</v>
      </c>
    </row>
    <row r="100" spans="1:11" s="28" customFormat="1" x14ac:dyDescent="0.3">
      <c r="A100" s="28" t="s">
        <v>242</v>
      </c>
      <c r="B100" s="28" t="s">
        <v>400</v>
      </c>
      <c r="C100" s="28" t="s">
        <v>401</v>
      </c>
      <c r="D100" s="28" t="s">
        <v>64</v>
      </c>
      <c r="E100" s="28" t="s">
        <v>402</v>
      </c>
      <c r="F100" s="23" t="s">
        <v>389</v>
      </c>
      <c r="G100" s="28">
        <v>1</v>
      </c>
      <c r="H100" s="28" t="s">
        <v>392</v>
      </c>
      <c r="I100" s="28" t="s">
        <v>11</v>
      </c>
    </row>
    <row r="101" spans="1:11" s="28" customFormat="1" x14ac:dyDescent="0.3">
      <c r="A101" s="28" t="s">
        <v>242</v>
      </c>
      <c r="B101" s="28" t="s">
        <v>403</v>
      </c>
      <c r="C101" s="28" t="s">
        <v>404</v>
      </c>
      <c r="D101" s="28" t="s">
        <v>64</v>
      </c>
      <c r="E101" s="28" t="s">
        <v>405</v>
      </c>
      <c r="F101" s="23" t="s">
        <v>406</v>
      </c>
      <c r="G101" s="28">
        <v>1</v>
      </c>
      <c r="H101" s="28" t="s">
        <v>392</v>
      </c>
      <c r="I101" s="28" t="s">
        <v>11</v>
      </c>
    </row>
    <row r="102" spans="1:11" s="28" customFormat="1" x14ac:dyDescent="0.3">
      <c r="A102" s="28" t="s">
        <v>242</v>
      </c>
      <c r="B102" s="28" t="s">
        <v>407</v>
      </c>
      <c r="C102" s="28" t="s">
        <v>408</v>
      </c>
      <c r="D102" s="28" t="s">
        <v>64</v>
      </c>
      <c r="E102" s="28" t="s">
        <v>409</v>
      </c>
      <c r="F102" s="23" t="s">
        <v>410</v>
      </c>
      <c r="G102" s="28">
        <v>1</v>
      </c>
      <c r="H102" s="28" t="s">
        <v>392</v>
      </c>
      <c r="I102" s="28" t="s">
        <v>11</v>
      </c>
    </row>
    <row r="103" spans="1:11" s="28" customFormat="1" x14ac:dyDescent="0.3">
      <c r="A103" s="28" t="s">
        <v>242</v>
      </c>
      <c r="B103" s="28" t="s">
        <v>67</v>
      </c>
      <c r="C103" s="28" t="s">
        <v>68</v>
      </c>
      <c r="D103" s="28" t="s">
        <v>64</v>
      </c>
      <c r="E103" s="28" t="s">
        <v>69</v>
      </c>
      <c r="F103" s="23" t="s">
        <v>411</v>
      </c>
      <c r="G103" s="28">
        <v>1</v>
      </c>
      <c r="H103" s="28" t="s">
        <v>392</v>
      </c>
      <c r="I103" s="28" t="s">
        <v>412</v>
      </c>
    </row>
    <row r="104" spans="1:11" s="28" customFormat="1" x14ac:dyDescent="0.3">
      <c r="A104" s="28" t="s">
        <v>242</v>
      </c>
      <c r="B104" s="28" t="s">
        <v>67</v>
      </c>
      <c r="C104" s="28" t="s">
        <v>68</v>
      </c>
      <c r="D104" s="28" t="s">
        <v>64</v>
      </c>
      <c r="E104" s="28" t="s">
        <v>69</v>
      </c>
      <c r="F104" s="23" t="s">
        <v>413</v>
      </c>
      <c r="G104" s="28">
        <v>1</v>
      </c>
      <c r="H104" s="28" t="s">
        <v>392</v>
      </c>
      <c r="I104" s="28" t="s">
        <v>414</v>
      </c>
    </row>
    <row r="105" spans="1:11" s="28" customFormat="1" x14ac:dyDescent="0.3">
      <c r="A105" s="28" t="s">
        <v>242</v>
      </c>
      <c r="B105" s="28" t="s">
        <v>415</v>
      </c>
      <c r="C105" s="28" t="s">
        <v>61</v>
      </c>
      <c r="D105" s="28" t="s">
        <v>11</v>
      </c>
      <c r="E105" s="28" t="s">
        <v>11</v>
      </c>
      <c r="F105" s="23" t="s">
        <v>11</v>
      </c>
      <c r="G105" s="28">
        <v>1</v>
      </c>
      <c r="H105" s="28" t="s">
        <v>415</v>
      </c>
      <c r="I105" s="28" t="s">
        <v>11</v>
      </c>
    </row>
    <row r="106" spans="1:11" s="28" customFormat="1" x14ac:dyDescent="0.3">
      <c r="A106" s="28" t="s">
        <v>242</v>
      </c>
      <c r="B106" s="28" t="s">
        <v>62</v>
      </c>
      <c r="C106" s="28" t="s">
        <v>63</v>
      </c>
      <c r="D106" s="28" t="s">
        <v>64</v>
      </c>
      <c r="E106" s="28" t="s">
        <v>65</v>
      </c>
      <c r="F106" s="23" t="s">
        <v>416</v>
      </c>
      <c r="G106" s="28">
        <v>1</v>
      </c>
      <c r="H106" s="28" t="s">
        <v>417</v>
      </c>
      <c r="I106" s="28" t="s">
        <v>418</v>
      </c>
    </row>
    <row r="107" spans="1:11" s="28" customFormat="1" x14ac:dyDescent="0.3">
      <c r="A107" s="28" t="s">
        <v>242</v>
      </c>
      <c r="B107" s="28" t="s">
        <v>393</v>
      </c>
      <c r="C107" s="28" t="s">
        <v>394</v>
      </c>
      <c r="D107" s="28" t="s">
        <v>380</v>
      </c>
      <c r="E107" s="28" t="s">
        <v>395</v>
      </c>
      <c r="F107" s="23" t="s">
        <v>1065</v>
      </c>
      <c r="G107" s="28">
        <v>1</v>
      </c>
      <c r="H107" s="28" t="s">
        <v>418</v>
      </c>
      <c r="I107" s="28" t="s">
        <v>11</v>
      </c>
    </row>
    <row r="108" spans="1:11" s="28" customFormat="1" x14ac:dyDescent="0.3">
      <c r="A108" s="28" t="s">
        <v>242</v>
      </c>
      <c r="B108" s="28" t="s">
        <v>396</v>
      </c>
      <c r="C108" s="28" t="s">
        <v>397</v>
      </c>
      <c r="D108" s="28" t="s">
        <v>64</v>
      </c>
      <c r="E108" s="28" t="s">
        <v>398</v>
      </c>
      <c r="F108" s="23" t="s">
        <v>419</v>
      </c>
      <c r="G108" s="28">
        <v>1</v>
      </c>
      <c r="H108" s="28" t="s">
        <v>418</v>
      </c>
      <c r="I108" s="28" t="s">
        <v>11</v>
      </c>
    </row>
    <row r="109" spans="1:11" s="28" customFormat="1" x14ac:dyDescent="0.3">
      <c r="A109" s="28" t="s">
        <v>242</v>
      </c>
      <c r="B109" s="28" t="s">
        <v>400</v>
      </c>
      <c r="C109" s="28" t="s">
        <v>401</v>
      </c>
      <c r="D109" s="28" t="s">
        <v>64</v>
      </c>
      <c r="E109" s="28" t="s">
        <v>402</v>
      </c>
      <c r="F109" s="23" t="s">
        <v>389</v>
      </c>
      <c r="G109" s="28">
        <v>1</v>
      </c>
      <c r="H109" s="28" t="s">
        <v>418</v>
      </c>
      <c r="I109" s="28" t="s">
        <v>11</v>
      </c>
    </row>
    <row r="110" spans="1:11" s="28" customFormat="1" x14ac:dyDescent="0.3">
      <c r="A110" s="28" t="s">
        <v>242</v>
      </c>
      <c r="B110" s="28" t="s">
        <v>403</v>
      </c>
      <c r="C110" s="28" t="s">
        <v>404</v>
      </c>
      <c r="D110" s="28" t="s">
        <v>64</v>
      </c>
      <c r="E110" s="28" t="s">
        <v>405</v>
      </c>
      <c r="F110" s="23" t="s">
        <v>420</v>
      </c>
      <c r="G110" s="28">
        <v>1</v>
      </c>
      <c r="H110" s="28" t="s">
        <v>418</v>
      </c>
      <c r="I110" s="28" t="s">
        <v>11</v>
      </c>
    </row>
    <row r="111" spans="1:11" s="28" customFormat="1" x14ac:dyDescent="0.3">
      <c r="A111" s="28" t="s">
        <v>242</v>
      </c>
      <c r="B111" s="28" t="s">
        <v>407</v>
      </c>
      <c r="C111" s="28" t="s">
        <v>408</v>
      </c>
      <c r="D111" s="28" t="s">
        <v>64</v>
      </c>
      <c r="E111" s="28" t="s">
        <v>409</v>
      </c>
      <c r="F111" s="23" t="s">
        <v>421</v>
      </c>
      <c r="G111" s="28">
        <v>1</v>
      </c>
      <c r="H111" s="28" t="s">
        <v>418</v>
      </c>
      <c r="I111" s="28" t="s">
        <v>11</v>
      </c>
    </row>
    <row r="112" spans="1:11" s="28" customFormat="1" x14ac:dyDescent="0.3">
      <c r="A112" s="28" t="s">
        <v>242</v>
      </c>
      <c r="B112" s="28" t="s">
        <v>67</v>
      </c>
      <c r="C112" s="28" t="s">
        <v>68</v>
      </c>
      <c r="D112" s="28" t="s">
        <v>64</v>
      </c>
      <c r="E112" s="28" t="s">
        <v>69</v>
      </c>
      <c r="F112" s="23" t="s">
        <v>422</v>
      </c>
      <c r="G112" s="28">
        <v>1</v>
      </c>
      <c r="H112" s="28" t="s">
        <v>418</v>
      </c>
      <c r="I112" s="28" t="s">
        <v>423</v>
      </c>
    </row>
    <row r="113" spans="1:9" s="28" customFormat="1" x14ac:dyDescent="0.3">
      <c r="A113" s="28" t="s">
        <v>242</v>
      </c>
      <c r="B113" s="28" t="s">
        <v>67</v>
      </c>
      <c r="C113" s="28" t="s">
        <v>68</v>
      </c>
      <c r="D113" s="28" t="s">
        <v>64</v>
      </c>
      <c r="E113" s="28" t="s">
        <v>69</v>
      </c>
      <c r="F113" s="23" t="s">
        <v>424</v>
      </c>
      <c r="G113" s="28">
        <v>1</v>
      </c>
      <c r="H113" s="28" t="s">
        <v>418</v>
      </c>
      <c r="I113" s="28" t="s">
        <v>425</v>
      </c>
    </row>
    <row r="114" spans="1:9" s="28" customFormat="1" x14ac:dyDescent="0.3">
      <c r="A114" s="28" t="s">
        <v>242</v>
      </c>
      <c r="B114" s="28" t="s">
        <v>62</v>
      </c>
      <c r="C114" s="28" t="s">
        <v>63</v>
      </c>
      <c r="D114" s="28" t="s">
        <v>64</v>
      </c>
      <c r="E114" s="28" t="s">
        <v>65</v>
      </c>
      <c r="F114" s="23" t="s">
        <v>426</v>
      </c>
      <c r="G114" s="28">
        <v>1</v>
      </c>
      <c r="H114" s="28" t="s">
        <v>417</v>
      </c>
      <c r="I114" s="28" t="s">
        <v>427</v>
      </c>
    </row>
    <row r="115" spans="1:9" s="28" customFormat="1" x14ac:dyDescent="0.3">
      <c r="A115" s="28" t="s">
        <v>242</v>
      </c>
      <c r="B115" s="28" t="s">
        <v>393</v>
      </c>
      <c r="C115" s="28" t="s">
        <v>394</v>
      </c>
      <c r="D115" s="28" t="s">
        <v>380</v>
      </c>
      <c r="E115" s="28" t="s">
        <v>395</v>
      </c>
      <c r="F115" s="23" t="s">
        <v>1066</v>
      </c>
      <c r="G115" s="28">
        <v>1</v>
      </c>
      <c r="H115" s="28" t="s">
        <v>427</v>
      </c>
      <c r="I115" s="28" t="s">
        <v>11</v>
      </c>
    </row>
    <row r="116" spans="1:9" s="28" customFormat="1" x14ac:dyDescent="0.3">
      <c r="A116" s="28" t="s">
        <v>242</v>
      </c>
      <c r="B116" s="28" t="s">
        <v>396</v>
      </c>
      <c r="C116" s="28" t="s">
        <v>397</v>
      </c>
      <c r="D116" s="28" t="s">
        <v>64</v>
      </c>
      <c r="E116" s="28" t="s">
        <v>398</v>
      </c>
      <c r="F116" s="23" t="s">
        <v>428</v>
      </c>
      <c r="G116" s="28">
        <v>1</v>
      </c>
      <c r="H116" s="28" t="s">
        <v>427</v>
      </c>
      <c r="I116" s="28" t="s">
        <v>11</v>
      </c>
    </row>
    <row r="117" spans="1:9" s="28" customFormat="1" x14ac:dyDescent="0.3">
      <c r="A117" s="28" t="s">
        <v>242</v>
      </c>
      <c r="B117" s="28" t="s">
        <v>400</v>
      </c>
      <c r="C117" s="28" t="s">
        <v>401</v>
      </c>
      <c r="D117" s="28" t="s">
        <v>64</v>
      </c>
      <c r="E117" s="28" t="s">
        <v>402</v>
      </c>
      <c r="F117" s="23" t="s">
        <v>389</v>
      </c>
      <c r="G117" s="28">
        <v>1</v>
      </c>
      <c r="H117" s="28" t="s">
        <v>427</v>
      </c>
      <c r="I117" s="28" t="s">
        <v>11</v>
      </c>
    </row>
    <row r="118" spans="1:9" s="28" customFormat="1" x14ac:dyDescent="0.3">
      <c r="A118" s="28" t="s">
        <v>242</v>
      </c>
      <c r="B118" s="28" t="s">
        <v>403</v>
      </c>
      <c r="C118" s="28" t="s">
        <v>404</v>
      </c>
      <c r="D118" s="28" t="s">
        <v>64</v>
      </c>
      <c r="E118" s="28" t="s">
        <v>405</v>
      </c>
      <c r="F118" s="23" t="s">
        <v>429</v>
      </c>
      <c r="G118" s="28">
        <v>1</v>
      </c>
      <c r="H118" s="28" t="s">
        <v>427</v>
      </c>
      <c r="I118" s="28" t="s">
        <v>11</v>
      </c>
    </row>
    <row r="119" spans="1:9" s="28" customFormat="1" x14ac:dyDescent="0.3">
      <c r="A119" s="28" t="s">
        <v>242</v>
      </c>
      <c r="B119" s="28" t="s">
        <v>407</v>
      </c>
      <c r="C119" s="28" t="s">
        <v>408</v>
      </c>
      <c r="D119" s="28" t="s">
        <v>64</v>
      </c>
      <c r="E119" s="28" t="s">
        <v>409</v>
      </c>
      <c r="F119" s="23" t="s">
        <v>430</v>
      </c>
      <c r="G119" s="28">
        <v>1</v>
      </c>
      <c r="H119" s="28" t="s">
        <v>427</v>
      </c>
      <c r="I119" s="28" t="s">
        <v>11</v>
      </c>
    </row>
    <row r="120" spans="1:9" s="28" customFormat="1" x14ac:dyDescent="0.3">
      <c r="A120" s="28" t="s">
        <v>242</v>
      </c>
      <c r="B120" s="28" t="s">
        <v>67</v>
      </c>
      <c r="C120" s="28" t="s">
        <v>68</v>
      </c>
      <c r="D120" s="28" t="s">
        <v>64</v>
      </c>
      <c r="E120" s="28" t="s">
        <v>69</v>
      </c>
      <c r="F120" s="23" t="s">
        <v>431</v>
      </c>
      <c r="G120" s="28">
        <v>1</v>
      </c>
      <c r="H120" s="28" t="s">
        <v>427</v>
      </c>
      <c r="I120" s="28" t="s">
        <v>432</v>
      </c>
    </row>
    <row r="121" spans="1:9" s="28" customFormat="1" x14ac:dyDescent="0.3">
      <c r="A121" s="28" t="s">
        <v>242</v>
      </c>
      <c r="B121" s="28" t="s">
        <v>67</v>
      </c>
      <c r="C121" s="28" t="s">
        <v>68</v>
      </c>
      <c r="D121" s="28" t="s">
        <v>64</v>
      </c>
      <c r="E121" s="28" t="s">
        <v>69</v>
      </c>
      <c r="F121" s="23" t="s">
        <v>433</v>
      </c>
      <c r="G121" s="28">
        <v>1</v>
      </c>
      <c r="H121" s="28" t="s">
        <v>427</v>
      </c>
      <c r="I121" s="28" t="s">
        <v>434</v>
      </c>
    </row>
    <row r="122" spans="1:9" s="28" customFormat="1" x14ac:dyDescent="0.3">
      <c r="A122" s="28" t="s">
        <v>242</v>
      </c>
      <c r="B122" s="28" t="s">
        <v>435</v>
      </c>
      <c r="C122" s="28" t="s">
        <v>76</v>
      </c>
      <c r="D122" s="28" t="s">
        <v>11</v>
      </c>
      <c r="E122" s="28" t="s">
        <v>11</v>
      </c>
      <c r="F122" s="23" t="s">
        <v>11</v>
      </c>
      <c r="G122" s="28">
        <v>1</v>
      </c>
      <c r="H122" s="28" t="s">
        <v>435</v>
      </c>
      <c r="I122" s="28" t="s">
        <v>11</v>
      </c>
    </row>
    <row r="123" spans="1:9" s="28" customFormat="1" x14ac:dyDescent="0.3">
      <c r="A123" s="28" t="s">
        <v>242</v>
      </c>
      <c r="B123" s="28" t="s">
        <v>62</v>
      </c>
      <c r="C123" s="28" t="s">
        <v>63</v>
      </c>
      <c r="D123" s="28" t="s">
        <v>64</v>
      </c>
      <c r="E123" s="28" t="s">
        <v>65</v>
      </c>
      <c r="F123" s="23" t="s">
        <v>436</v>
      </c>
      <c r="G123" s="28">
        <v>1</v>
      </c>
      <c r="H123" s="28" t="s">
        <v>417</v>
      </c>
      <c r="I123" s="28" t="s">
        <v>437</v>
      </c>
    </row>
    <row r="124" spans="1:9" s="28" customFormat="1" x14ac:dyDescent="0.3">
      <c r="A124" s="28" t="s">
        <v>242</v>
      </c>
      <c r="B124" s="28" t="s">
        <v>393</v>
      </c>
      <c r="C124" s="28" t="s">
        <v>394</v>
      </c>
      <c r="D124" s="28" t="s">
        <v>380</v>
      </c>
      <c r="E124" s="28" t="s">
        <v>395</v>
      </c>
      <c r="F124" s="23" t="s">
        <v>1067</v>
      </c>
      <c r="G124" s="28">
        <v>1</v>
      </c>
      <c r="H124" s="28" t="s">
        <v>437</v>
      </c>
      <c r="I124" s="28" t="s">
        <v>11</v>
      </c>
    </row>
    <row r="125" spans="1:9" s="28" customFormat="1" x14ac:dyDescent="0.3">
      <c r="A125" s="28" t="s">
        <v>242</v>
      </c>
      <c r="B125" s="28" t="s">
        <v>396</v>
      </c>
      <c r="C125" s="28" t="s">
        <v>397</v>
      </c>
      <c r="D125" s="28" t="s">
        <v>64</v>
      </c>
      <c r="E125" s="28" t="s">
        <v>398</v>
      </c>
      <c r="F125" s="23" t="s">
        <v>438</v>
      </c>
      <c r="G125" s="28">
        <v>1</v>
      </c>
      <c r="H125" s="28" t="s">
        <v>437</v>
      </c>
      <c r="I125" s="28" t="s">
        <v>11</v>
      </c>
    </row>
    <row r="126" spans="1:9" s="28" customFormat="1" x14ac:dyDescent="0.3">
      <c r="A126" s="28" t="s">
        <v>242</v>
      </c>
      <c r="B126" s="28" t="s">
        <v>400</v>
      </c>
      <c r="C126" s="28" t="s">
        <v>401</v>
      </c>
      <c r="D126" s="28" t="s">
        <v>64</v>
      </c>
      <c r="E126" s="28" t="s">
        <v>402</v>
      </c>
      <c r="F126" s="23" t="s">
        <v>389</v>
      </c>
      <c r="G126" s="28">
        <v>1</v>
      </c>
      <c r="H126" s="28" t="s">
        <v>437</v>
      </c>
      <c r="I126" s="28" t="s">
        <v>11</v>
      </c>
    </row>
    <row r="127" spans="1:9" s="28" customFormat="1" x14ac:dyDescent="0.3">
      <c r="A127" s="28" t="s">
        <v>242</v>
      </c>
      <c r="B127" s="28" t="s">
        <v>403</v>
      </c>
      <c r="C127" s="28" t="s">
        <v>404</v>
      </c>
      <c r="D127" s="28" t="s">
        <v>64</v>
      </c>
      <c r="E127" s="28" t="s">
        <v>405</v>
      </c>
      <c r="F127" s="23" t="s">
        <v>439</v>
      </c>
      <c r="G127" s="28">
        <v>1</v>
      </c>
      <c r="H127" s="28" t="s">
        <v>437</v>
      </c>
      <c r="I127" s="28" t="s">
        <v>11</v>
      </c>
    </row>
    <row r="128" spans="1:9" s="28" customFormat="1" x14ac:dyDescent="0.3">
      <c r="A128" s="28" t="s">
        <v>242</v>
      </c>
      <c r="B128" s="28" t="s">
        <v>407</v>
      </c>
      <c r="C128" s="28" t="s">
        <v>408</v>
      </c>
      <c r="D128" s="28" t="s">
        <v>64</v>
      </c>
      <c r="E128" s="28" t="s">
        <v>409</v>
      </c>
      <c r="F128" s="23" t="s">
        <v>440</v>
      </c>
      <c r="G128" s="28">
        <v>1</v>
      </c>
      <c r="H128" s="28" t="s">
        <v>437</v>
      </c>
      <c r="I128" s="28" t="s">
        <v>11</v>
      </c>
    </row>
    <row r="129" spans="1:9" s="28" customFormat="1" x14ac:dyDescent="0.3">
      <c r="A129" s="28" t="s">
        <v>242</v>
      </c>
      <c r="B129" s="28" t="s">
        <v>67</v>
      </c>
      <c r="C129" s="28" t="s">
        <v>68</v>
      </c>
      <c r="D129" s="28" t="s">
        <v>64</v>
      </c>
      <c r="E129" s="28" t="s">
        <v>69</v>
      </c>
      <c r="F129" s="23" t="s">
        <v>441</v>
      </c>
      <c r="G129" s="28">
        <v>1</v>
      </c>
      <c r="H129" s="28" t="s">
        <v>437</v>
      </c>
      <c r="I129" s="28" t="s">
        <v>442</v>
      </c>
    </row>
    <row r="130" spans="1:9" s="28" customFormat="1" x14ac:dyDescent="0.3">
      <c r="A130" s="28" t="s">
        <v>242</v>
      </c>
      <c r="B130" s="28" t="s">
        <v>67</v>
      </c>
      <c r="C130" s="28" t="s">
        <v>68</v>
      </c>
      <c r="D130" s="28" t="s">
        <v>64</v>
      </c>
      <c r="E130" s="28" t="s">
        <v>69</v>
      </c>
      <c r="F130" s="23" t="s">
        <v>443</v>
      </c>
      <c r="G130" s="28">
        <v>1</v>
      </c>
      <c r="H130" s="28" t="s">
        <v>437</v>
      </c>
      <c r="I130" s="28" t="s">
        <v>444</v>
      </c>
    </row>
    <row r="131" spans="1:9" s="28" customFormat="1" x14ac:dyDescent="0.3">
      <c r="A131" s="28" t="s">
        <v>242</v>
      </c>
      <c r="B131" s="28" t="s">
        <v>62</v>
      </c>
      <c r="C131" s="28" t="s">
        <v>63</v>
      </c>
      <c r="D131" s="28" t="s">
        <v>64</v>
      </c>
      <c r="E131" s="28" t="s">
        <v>65</v>
      </c>
      <c r="F131" s="23" t="s">
        <v>445</v>
      </c>
      <c r="G131" s="28">
        <v>1</v>
      </c>
      <c r="H131" s="28" t="s">
        <v>417</v>
      </c>
      <c r="I131" s="28" t="s">
        <v>446</v>
      </c>
    </row>
    <row r="132" spans="1:9" s="28" customFormat="1" x14ac:dyDescent="0.3">
      <c r="A132" s="28" t="s">
        <v>242</v>
      </c>
      <c r="B132" s="28" t="s">
        <v>393</v>
      </c>
      <c r="C132" s="28" t="s">
        <v>394</v>
      </c>
      <c r="D132" s="28" t="s">
        <v>380</v>
      </c>
      <c r="E132" s="28" t="s">
        <v>395</v>
      </c>
      <c r="F132" s="23" t="s">
        <v>1068</v>
      </c>
      <c r="G132" s="28">
        <v>1</v>
      </c>
      <c r="H132" s="28" t="s">
        <v>446</v>
      </c>
      <c r="I132" s="28" t="s">
        <v>11</v>
      </c>
    </row>
    <row r="133" spans="1:9" s="28" customFormat="1" x14ac:dyDescent="0.3">
      <c r="A133" s="28" t="s">
        <v>242</v>
      </c>
      <c r="B133" s="28" t="s">
        <v>396</v>
      </c>
      <c r="C133" s="28" t="s">
        <v>397</v>
      </c>
      <c r="D133" s="28" t="s">
        <v>64</v>
      </c>
      <c r="E133" s="28" t="s">
        <v>398</v>
      </c>
      <c r="F133" s="23" t="s">
        <v>447</v>
      </c>
      <c r="G133" s="28">
        <v>1</v>
      </c>
      <c r="H133" s="28" t="s">
        <v>446</v>
      </c>
      <c r="I133" s="28" t="s">
        <v>11</v>
      </c>
    </row>
    <row r="134" spans="1:9" s="28" customFormat="1" x14ac:dyDescent="0.3">
      <c r="A134" s="28" t="s">
        <v>242</v>
      </c>
      <c r="B134" s="28" t="s">
        <v>400</v>
      </c>
      <c r="C134" s="28" t="s">
        <v>401</v>
      </c>
      <c r="D134" s="28" t="s">
        <v>64</v>
      </c>
      <c r="E134" s="28" t="s">
        <v>402</v>
      </c>
      <c r="F134" s="23" t="s">
        <v>389</v>
      </c>
      <c r="G134" s="28">
        <v>1</v>
      </c>
      <c r="H134" s="28" t="s">
        <v>446</v>
      </c>
      <c r="I134" s="28" t="s">
        <v>11</v>
      </c>
    </row>
    <row r="135" spans="1:9" s="28" customFormat="1" x14ac:dyDescent="0.3">
      <c r="A135" s="28" t="s">
        <v>242</v>
      </c>
      <c r="B135" s="28" t="s">
        <v>403</v>
      </c>
      <c r="C135" s="28" t="s">
        <v>404</v>
      </c>
      <c r="D135" s="28" t="s">
        <v>64</v>
      </c>
      <c r="E135" s="28" t="s">
        <v>405</v>
      </c>
      <c r="F135" s="23" t="s">
        <v>448</v>
      </c>
      <c r="G135" s="28">
        <v>1</v>
      </c>
      <c r="H135" s="28" t="s">
        <v>446</v>
      </c>
      <c r="I135" s="28" t="s">
        <v>11</v>
      </c>
    </row>
    <row r="136" spans="1:9" s="28" customFormat="1" x14ac:dyDescent="0.3">
      <c r="A136" s="28" t="s">
        <v>242</v>
      </c>
      <c r="B136" s="28" t="s">
        <v>407</v>
      </c>
      <c r="C136" s="28" t="s">
        <v>408</v>
      </c>
      <c r="D136" s="28" t="s">
        <v>64</v>
      </c>
      <c r="E136" s="28" t="s">
        <v>409</v>
      </c>
      <c r="F136" s="23" t="s">
        <v>449</v>
      </c>
      <c r="G136" s="28">
        <v>1</v>
      </c>
      <c r="H136" s="28" t="s">
        <v>446</v>
      </c>
      <c r="I136" s="28" t="s">
        <v>11</v>
      </c>
    </row>
    <row r="137" spans="1:9" s="28" customFormat="1" x14ac:dyDescent="0.3">
      <c r="A137" s="28" t="s">
        <v>242</v>
      </c>
      <c r="B137" s="28" t="s">
        <v>67</v>
      </c>
      <c r="C137" s="28" t="s">
        <v>68</v>
      </c>
      <c r="D137" s="28" t="s">
        <v>64</v>
      </c>
      <c r="E137" s="28" t="s">
        <v>69</v>
      </c>
      <c r="F137" s="23" t="s">
        <v>450</v>
      </c>
      <c r="G137" s="28">
        <v>1</v>
      </c>
      <c r="H137" s="28" t="s">
        <v>446</v>
      </c>
      <c r="I137" s="28" t="s">
        <v>451</v>
      </c>
    </row>
    <row r="138" spans="1:9" s="28" customFormat="1" x14ac:dyDescent="0.3">
      <c r="A138" s="28" t="s">
        <v>242</v>
      </c>
      <c r="B138" s="28" t="s">
        <v>67</v>
      </c>
      <c r="C138" s="28" t="s">
        <v>68</v>
      </c>
      <c r="D138" s="28" t="s">
        <v>64</v>
      </c>
      <c r="E138" s="28" t="s">
        <v>69</v>
      </c>
      <c r="F138" s="23" t="s">
        <v>452</v>
      </c>
      <c r="G138" s="28">
        <v>1</v>
      </c>
      <c r="H138" s="28" t="s">
        <v>446</v>
      </c>
      <c r="I138" s="28" t="s">
        <v>453</v>
      </c>
    </row>
    <row r="139" spans="1:9" s="28" customFormat="1" x14ac:dyDescent="0.3">
      <c r="A139" s="28" t="s">
        <v>242</v>
      </c>
      <c r="B139" s="28" t="s">
        <v>454</v>
      </c>
      <c r="C139" s="28" t="s">
        <v>84</v>
      </c>
      <c r="D139" s="28" t="s">
        <v>11</v>
      </c>
      <c r="E139" s="28" t="s">
        <v>11</v>
      </c>
      <c r="F139" s="23" t="s">
        <v>11</v>
      </c>
      <c r="G139" s="28">
        <v>1</v>
      </c>
      <c r="H139" s="28" t="s">
        <v>454</v>
      </c>
      <c r="I139" s="28" t="s">
        <v>11</v>
      </c>
    </row>
    <row r="140" spans="1:9" s="28" customFormat="1" x14ac:dyDescent="0.3">
      <c r="A140" s="28" t="s">
        <v>242</v>
      </c>
      <c r="B140" s="28" t="s">
        <v>62</v>
      </c>
      <c r="C140" s="28" t="s">
        <v>63</v>
      </c>
      <c r="D140" s="28" t="s">
        <v>64</v>
      </c>
      <c r="E140" s="28" t="s">
        <v>65</v>
      </c>
      <c r="F140" s="23" t="s">
        <v>455</v>
      </c>
      <c r="G140" s="28">
        <v>1</v>
      </c>
      <c r="H140" s="28" t="s">
        <v>417</v>
      </c>
      <c r="I140" s="28" t="s">
        <v>456</v>
      </c>
    </row>
    <row r="141" spans="1:9" s="28" customFormat="1" x14ac:dyDescent="0.3">
      <c r="A141" s="28" t="s">
        <v>242</v>
      </c>
      <c r="B141" s="28" t="s">
        <v>393</v>
      </c>
      <c r="C141" s="28" t="s">
        <v>394</v>
      </c>
      <c r="D141" s="28" t="s">
        <v>380</v>
      </c>
      <c r="E141" s="28" t="s">
        <v>395</v>
      </c>
      <c r="F141" s="23" t="s">
        <v>1069</v>
      </c>
      <c r="G141" s="28">
        <v>1</v>
      </c>
      <c r="H141" s="28" t="s">
        <v>456</v>
      </c>
      <c r="I141" s="28" t="s">
        <v>11</v>
      </c>
    </row>
    <row r="142" spans="1:9" s="28" customFormat="1" x14ac:dyDescent="0.3">
      <c r="A142" s="28" t="s">
        <v>242</v>
      </c>
      <c r="B142" s="28" t="s">
        <v>396</v>
      </c>
      <c r="C142" s="28" t="s">
        <v>397</v>
      </c>
      <c r="D142" s="28" t="s">
        <v>64</v>
      </c>
      <c r="E142" s="28" t="s">
        <v>398</v>
      </c>
      <c r="F142" s="23" t="s">
        <v>457</v>
      </c>
      <c r="G142" s="28">
        <v>1</v>
      </c>
      <c r="H142" s="28" t="s">
        <v>456</v>
      </c>
      <c r="I142" s="28" t="s">
        <v>11</v>
      </c>
    </row>
    <row r="143" spans="1:9" s="28" customFormat="1" x14ac:dyDescent="0.3">
      <c r="A143" s="28" t="s">
        <v>242</v>
      </c>
      <c r="B143" s="28" t="s">
        <v>400</v>
      </c>
      <c r="C143" s="28" t="s">
        <v>401</v>
      </c>
      <c r="D143" s="28" t="s">
        <v>64</v>
      </c>
      <c r="E143" s="28" t="s">
        <v>402</v>
      </c>
      <c r="F143" s="23" t="s">
        <v>389</v>
      </c>
      <c r="G143" s="28">
        <v>1</v>
      </c>
      <c r="H143" s="28" t="s">
        <v>456</v>
      </c>
      <c r="I143" s="28" t="s">
        <v>11</v>
      </c>
    </row>
    <row r="144" spans="1:9" s="28" customFormat="1" x14ac:dyDescent="0.3">
      <c r="A144" s="28" t="s">
        <v>242</v>
      </c>
      <c r="B144" s="28" t="s">
        <v>403</v>
      </c>
      <c r="C144" s="28" t="s">
        <v>404</v>
      </c>
      <c r="D144" s="28" t="s">
        <v>64</v>
      </c>
      <c r="E144" s="28" t="s">
        <v>405</v>
      </c>
      <c r="F144" s="23" t="s">
        <v>458</v>
      </c>
      <c r="G144" s="28">
        <v>1</v>
      </c>
      <c r="H144" s="28" t="s">
        <v>456</v>
      </c>
      <c r="I144" s="28" t="s">
        <v>11</v>
      </c>
    </row>
    <row r="145" spans="1:9" s="28" customFormat="1" x14ac:dyDescent="0.3">
      <c r="A145" s="28" t="s">
        <v>242</v>
      </c>
      <c r="B145" s="28" t="s">
        <v>407</v>
      </c>
      <c r="C145" s="28" t="s">
        <v>408</v>
      </c>
      <c r="D145" s="28" t="s">
        <v>64</v>
      </c>
      <c r="E145" s="28" t="s">
        <v>409</v>
      </c>
      <c r="F145" s="23" t="s">
        <v>459</v>
      </c>
      <c r="G145" s="28">
        <v>1</v>
      </c>
      <c r="H145" s="28" t="s">
        <v>456</v>
      </c>
      <c r="I145" s="28" t="s">
        <v>11</v>
      </c>
    </row>
    <row r="146" spans="1:9" s="28" customFormat="1" x14ac:dyDescent="0.3">
      <c r="A146" s="28" t="s">
        <v>242</v>
      </c>
      <c r="B146" s="28" t="s">
        <v>67</v>
      </c>
      <c r="C146" s="28" t="s">
        <v>68</v>
      </c>
      <c r="D146" s="28" t="s">
        <v>64</v>
      </c>
      <c r="E146" s="28" t="s">
        <v>69</v>
      </c>
      <c r="F146" s="23" t="s">
        <v>460</v>
      </c>
      <c r="G146" s="28">
        <v>1</v>
      </c>
      <c r="H146" s="28" t="s">
        <v>456</v>
      </c>
      <c r="I146" s="28" t="s">
        <v>461</v>
      </c>
    </row>
    <row r="147" spans="1:9" s="28" customFormat="1" x14ac:dyDescent="0.3">
      <c r="A147" s="28" t="s">
        <v>242</v>
      </c>
      <c r="B147" s="28" t="s">
        <v>67</v>
      </c>
      <c r="C147" s="28" t="s">
        <v>68</v>
      </c>
      <c r="D147" s="28" t="s">
        <v>64</v>
      </c>
      <c r="E147" s="28" t="s">
        <v>69</v>
      </c>
      <c r="F147" s="23" t="s">
        <v>462</v>
      </c>
      <c r="G147" s="28">
        <v>1</v>
      </c>
      <c r="H147" s="28" t="s">
        <v>456</v>
      </c>
      <c r="I147" s="28" t="s">
        <v>463</v>
      </c>
    </row>
    <row r="148" spans="1:9" s="28" customFormat="1" x14ac:dyDescent="0.3">
      <c r="A148" s="28" t="s">
        <v>242</v>
      </c>
      <c r="B148" s="28" t="s">
        <v>62</v>
      </c>
      <c r="C148" s="28" t="s">
        <v>63</v>
      </c>
      <c r="D148" s="28" t="s">
        <v>64</v>
      </c>
      <c r="E148" s="28" t="s">
        <v>65</v>
      </c>
      <c r="F148" s="23" t="s">
        <v>464</v>
      </c>
      <c r="G148" s="28">
        <v>1</v>
      </c>
      <c r="H148" s="28" t="s">
        <v>11</v>
      </c>
      <c r="I148" s="28" t="s">
        <v>465</v>
      </c>
    </row>
    <row r="149" spans="1:9" s="28" customFormat="1" x14ac:dyDescent="0.3">
      <c r="A149" s="28" t="s">
        <v>242</v>
      </c>
      <c r="B149" s="28" t="s">
        <v>393</v>
      </c>
      <c r="C149" s="28" t="s">
        <v>394</v>
      </c>
      <c r="D149" s="28" t="s">
        <v>380</v>
      </c>
      <c r="E149" s="28" t="s">
        <v>395</v>
      </c>
      <c r="F149" s="23" t="s">
        <v>1070</v>
      </c>
      <c r="G149" s="28">
        <v>1</v>
      </c>
      <c r="H149" s="28" t="s">
        <v>465</v>
      </c>
      <c r="I149" s="28" t="s">
        <v>11</v>
      </c>
    </row>
    <row r="150" spans="1:9" s="28" customFormat="1" x14ac:dyDescent="0.3">
      <c r="A150" s="28" t="s">
        <v>242</v>
      </c>
      <c r="B150" s="28" t="s">
        <v>396</v>
      </c>
      <c r="C150" s="28" t="s">
        <v>397</v>
      </c>
      <c r="D150" s="28" t="s">
        <v>64</v>
      </c>
      <c r="E150" s="28" t="s">
        <v>398</v>
      </c>
      <c r="F150" s="23" t="s">
        <v>466</v>
      </c>
      <c r="G150" s="28">
        <v>1</v>
      </c>
      <c r="H150" s="28" t="s">
        <v>465</v>
      </c>
      <c r="I150" s="28" t="s">
        <v>11</v>
      </c>
    </row>
    <row r="151" spans="1:9" s="28" customFormat="1" x14ac:dyDescent="0.3">
      <c r="A151" s="28" t="s">
        <v>242</v>
      </c>
      <c r="B151" s="28" t="s">
        <v>400</v>
      </c>
      <c r="C151" s="28" t="s">
        <v>401</v>
      </c>
      <c r="D151" s="28" t="s">
        <v>64</v>
      </c>
      <c r="E151" s="28" t="s">
        <v>402</v>
      </c>
      <c r="F151" s="23" t="s">
        <v>389</v>
      </c>
      <c r="G151" s="28">
        <v>1</v>
      </c>
      <c r="H151" s="28" t="s">
        <v>465</v>
      </c>
      <c r="I151" s="28" t="s">
        <v>11</v>
      </c>
    </row>
    <row r="152" spans="1:9" s="28" customFormat="1" x14ac:dyDescent="0.3">
      <c r="A152" s="28" t="s">
        <v>242</v>
      </c>
      <c r="B152" s="28" t="s">
        <v>403</v>
      </c>
      <c r="C152" s="28" t="s">
        <v>404</v>
      </c>
      <c r="D152" s="28" t="s">
        <v>64</v>
      </c>
      <c r="E152" s="28" t="s">
        <v>405</v>
      </c>
      <c r="F152" s="23" t="s">
        <v>467</v>
      </c>
      <c r="G152" s="28">
        <v>1</v>
      </c>
      <c r="H152" s="28" t="s">
        <v>465</v>
      </c>
      <c r="I152" s="28" t="s">
        <v>11</v>
      </c>
    </row>
    <row r="153" spans="1:9" s="28" customFormat="1" x14ac:dyDescent="0.3">
      <c r="A153" s="28" t="s">
        <v>242</v>
      </c>
      <c r="B153" s="28" t="s">
        <v>407</v>
      </c>
      <c r="C153" s="28" t="s">
        <v>408</v>
      </c>
      <c r="D153" s="28" t="s">
        <v>64</v>
      </c>
      <c r="E153" s="28" t="s">
        <v>409</v>
      </c>
      <c r="F153" s="23" t="s">
        <v>468</v>
      </c>
      <c r="G153" s="28">
        <v>1</v>
      </c>
      <c r="H153" s="28" t="s">
        <v>465</v>
      </c>
      <c r="I153" s="28" t="s">
        <v>11</v>
      </c>
    </row>
    <row r="154" spans="1:9" s="28" customFormat="1" x14ac:dyDescent="0.3">
      <c r="A154" s="28" t="s">
        <v>242</v>
      </c>
      <c r="B154" s="28" t="s">
        <v>67</v>
      </c>
      <c r="C154" s="28" t="s">
        <v>68</v>
      </c>
      <c r="D154" s="28" t="s">
        <v>64</v>
      </c>
      <c r="E154" s="28" t="s">
        <v>69</v>
      </c>
      <c r="F154" s="23" t="s">
        <v>469</v>
      </c>
      <c r="G154" s="28">
        <v>1</v>
      </c>
      <c r="H154" s="28" t="s">
        <v>465</v>
      </c>
      <c r="I154" s="28" t="s">
        <v>470</v>
      </c>
    </row>
    <row r="155" spans="1:9" s="28" customFormat="1" x14ac:dyDescent="0.3">
      <c r="A155" s="28" t="s">
        <v>242</v>
      </c>
      <c r="B155" s="28" t="s">
        <v>67</v>
      </c>
      <c r="C155" s="28" t="s">
        <v>68</v>
      </c>
      <c r="D155" s="28" t="s">
        <v>64</v>
      </c>
      <c r="E155" s="28" t="s">
        <v>69</v>
      </c>
      <c r="F155" s="23" t="s">
        <v>471</v>
      </c>
      <c r="G155" s="28">
        <v>1</v>
      </c>
      <c r="H155" s="28" t="s">
        <v>465</v>
      </c>
      <c r="I155" s="28" t="s">
        <v>472</v>
      </c>
    </row>
    <row r="156" spans="1:9" s="28" customFormat="1" x14ac:dyDescent="0.3">
      <c r="A156" s="28" t="s">
        <v>242</v>
      </c>
      <c r="B156" s="28" t="s">
        <v>473</v>
      </c>
      <c r="C156" s="28" t="s">
        <v>92</v>
      </c>
      <c r="D156" s="28" t="s">
        <v>11</v>
      </c>
      <c r="E156" s="28" t="s">
        <v>11</v>
      </c>
      <c r="F156" s="23" t="s">
        <v>11</v>
      </c>
      <c r="G156" s="28">
        <v>1</v>
      </c>
      <c r="H156" s="28" t="s">
        <v>473</v>
      </c>
      <c r="I156" s="28" t="s">
        <v>11</v>
      </c>
    </row>
    <row r="157" spans="1:9" s="28" customFormat="1" x14ac:dyDescent="0.3">
      <c r="A157" s="28" t="s">
        <v>242</v>
      </c>
      <c r="B157" s="28" t="s">
        <v>62</v>
      </c>
      <c r="C157" s="28" t="s">
        <v>63</v>
      </c>
      <c r="D157" s="28" t="s">
        <v>64</v>
      </c>
      <c r="E157" s="28" t="s">
        <v>65</v>
      </c>
      <c r="F157" s="23" t="s">
        <v>474</v>
      </c>
      <c r="G157" s="28">
        <v>1</v>
      </c>
      <c r="H157" s="28" t="s">
        <v>11</v>
      </c>
      <c r="I157" s="28" t="s">
        <v>475</v>
      </c>
    </row>
    <row r="158" spans="1:9" s="28" customFormat="1" x14ac:dyDescent="0.3">
      <c r="A158" s="28" t="s">
        <v>242</v>
      </c>
      <c r="B158" s="28" t="s">
        <v>393</v>
      </c>
      <c r="C158" s="28" t="s">
        <v>394</v>
      </c>
      <c r="D158" s="28" t="s">
        <v>380</v>
      </c>
      <c r="E158" s="28" t="s">
        <v>395</v>
      </c>
      <c r="F158" s="23" t="s">
        <v>1071</v>
      </c>
      <c r="G158" s="28">
        <v>1</v>
      </c>
      <c r="H158" s="28" t="s">
        <v>475</v>
      </c>
      <c r="I158" s="28" t="s">
        <v>11</v>
      </c>
    </row>
    <row r="159" spans="1:9" s="28" customFormat="1" x14ac:dyDescent="0.3">
      <c r="A159" s="28" t="s">
        <v>242</v>
      </c>
      <c r="B159" s="28" t="s">
        <v>396</v>
      </c>
      <c r="C159" s="28" t="s">
        <v>397</v>
      </c>
      <c r="D159" s="28" t="s">
        <v>64</v>
      </c>
      <c r="E159" s="28" t="s">
        <v>398</v>
      </c>
      <c r="F159" s="23" t="s">
        <v>476</v>
      </c>
      <c r="G159" s="28">
        <v>1</v>
      </c>
      <c r="H159" s="28" t="s">
        <v>475</v>
      </c>
      <c r="I159" s="28" t="s">
        <v>11</v>
      </c>
    </row>
    <row r="160" spans="1:9" s="28" customFormat="1" x14ac:dyDescent="0.3">
      <c r="A160" s="28" t="s">
        <v>242</v>
      </c>
      <c r="B160" s="28" t="s">
        <v>400</v>
      </c>
      <c r="C160" s="28" t="s">
        <v>401</v>
      </c>
      <c r="D160" s="28" t="s">
        <v>64</v>
      </c>
      <c r="E160" s="28" t="s">
        <v>402</v>
      </c>
      <c r="F160" s="23" t="s">
        <v>389</v>
      </c>
      <c r="G160" s="28">
        <v>1</v>
      </c>
      <c r="H160" s="28" t="s">
        <v>475</v>
      </c>
      <c r="I160" s="28" t="s">
        <v>11</v>
      </c>
    </row>
    <row r="161" spans="1:9" s="28" customFormat="1" x14ac:dyDescent="0.3">
      <c r="A161" s="28" t="s">
        <v>242</v>
      </c>
      <c r="B161" s="28" t="s">
        <v>403</v>
      </c>
      <c r="C161" s="28" t="s">
        <v>404</v>
      </c>
      <c r="D161" s="28" t="s">
        <v>64</v>
      </c>
      <c r="E161" s="28" t="s">
        <v>405</v>
      </c>
      <c r="F161" s="23" t="s">
        <v>477</v>
      </c>
      <c r="G161" s="28">
        <v>1</v>
      </c>
      <c r="H161" s="28" t="s">
        <v>475</v>
      </c>
      <c r="I161" s="28" t="s">
        <v>11</v>
      </c>
    </row>
    <row r="162" spans="1:9" s="28" customFormat="1" x14ac:dyDescent="0.3">
      <c r="A162" s="28" t="s">
        <v>242</v>
      </c>
      <c r="B162" s="28" t="s">
        <v>407</v>
      </c>
      <c r="C162" s="28" t="s">
        <v>408</v>
      </c>
      <c r="D162" s="28" t="s">
        <v>64</v>
      </c>
      <c r="E162" s="28" t="s">
        <v>409</v>
      </c>
      <c r="F162" s="23" t="s">
        <v>478</v>
      </c>
      <c r="G162" s="28">
        <v>1</v>
      </c>
      <c r="H162" s="28" t="s">
        <v>475</v>
      </c>
      <c r="I162" s="28" t="s">
        <v>11</v>
      </c>
    </row>
    <row r="163" spans="1:9" s="28" customFormat="1" x14ac:dyDescent="0.3">
      <c r="A163" s="28" t="s">
        <v>242</v>
      </c>
      <c r="B163" s="28" t="s">
        <v>67</v>
      </c>
      <c r="C163" s="28" t="s">
        <v>68</v>
      </c>
      <c r="D163" s="28" t="s">
        <v>64</v>
      </c>
      <c r="E163" s="28" t="s">
        <v>69</v>
      </c>
      <c r="F163" s="23" t="s">
        <v>479</v>
      </c>
      <c r="G163" s="28">
        <v>1</v>
      </c>
      <c r="H163" s="28" t="s">
        <v>475</v>
      </c>
      <c r="I163" s="28" t="s">
        <v>480</v>
      </c>
    </row>
    <row r="164" spans="1:9" s="28" customFormat="1" x14ac:dyDescent="0.3">
      <c r="A164" s="28" t="s">
        <v>242</v>
      </c>
      <c r="B164" s="28" t="s">
        <v>67</v>
      </c>
      <c r="C164" s="28" t="s">
        <v>68</v>
      </c>
      <c r="D164" s="28" t="s">
        <v>64</v>
      </c>
      <c r="E164" s="28" t="s">
        <v>69</v>
      </c>
      <c r="F164" s="23" t="s">
        <v>481</v>
      </c>
      <c r="G164" s="28">
        <v>1</v>
      </c>
      <c r="H164" s="28" t="s">
        <v>475</v>
      </c>
      <c r="I164" s="28" t="s">
        <v>482</v>
      </c>
    </row>
    <row r="165" spans="1:9" s="28" customFormat="1" x14ac:dyDescent="0.3">
      <c r="A165" s="28" t="s">
        <v>242</v>
      </c>
      <c r="B165" s="28" t="s">
        <v>62</v>
      </c>
      <c r="C165" s="28" t="s">
        <v>63</v>
      </c>
      <c r="D165" s="28" t="s">
        <v>64</v>
      </c>
      <c r="E165" s="28" t="s">
        <v>65</v>
      </c>
      <c r="F165" s="23" t="s">
        <v>483</v>
      </c>
      <c r="G165" s="28">
        <v>1</v>
      </c>
      <c r="H165" s="28" t="s">
        <v>11</v>
      </c>
      <c r="I165" s="28" t="s">
        <v>484</v>
      </c>
    </row>
    <row r="166" spans="1:9" s="28" customFormat="1" x14ac:dyDescent="0.3">
      <c r="A166" s="28" t="s">
        <v>242</v>
      </c>
      <c r="B166" s="28" t="s">
        <v>393</v>
      </c>
      <c r="C166" s="28" t="s">
        <v>394</v>
      </c>
      <c r="D166" s="28" t="s">
        <v>380</v>
      </c>
      <c r="E166" s="28" t="s">
        <v>395</v>
      </c>
      <c r="F166" s="23" t="s">
        <v>1072</v>
      </c>
      <c r="G166" s="28">
        <v>1</v>
      </c>
      <c r="H166" s="28" t="s">
        <v>484</v>
      </c>
      <c r="I166" s="28" t="s">
        <v>11</v>
      </c>
    </row>
    <row r="167" spans="1:9" s="28" customFormat="1" x14ac:dyDescent="0.3">
      <c r="A167" s="28" t="s">
        <v>242</v>
      </c>
      <c r="B167" s="28" t="s">
        <v>396</v>
      </c>
      <c r="C167" s="28" t="s">
        <v>397</v>
      </c>
      <c r="D167" s="28" t="s">
        <v>64</v>
      </c>
      <c r="E167" s="28" t="s">
        <v>398</v>
      </c>
      <c r="F167" s="23" t="s">
        <v>485</v>
      </c>
      <c r="G167" s="28">
        <v>1</v>
      </c>
      <c r="H167" s="28" t="s">
        <v>484</v>
      </c>
      <c r="I167" s="28" t="s">
        <v>11</v>
      </c>
    </row>
    <row r="168" spans="1:9" s="28" customFormat="1" x14ac:dyDescent="0.3">
      <c r="A168" s="28" t="s">
        <v>242</v>
      </c>
      <c r="B168" s="28" t="s">
        <v>400</v>
      </c>
      <c r="C168" s="28" t="s">
        <v>401</v>
      </c>
      <c r="D168" s="28" t="s">
        <v>64</v>
      </c>
      <c r="E168" s="28" t="s">
        <v>402</v>
      </c>
      <c r="F168" s="23" t="s">
        <v>389</v>
      </c>
      <c r="G168" s="28">
        <v>1</v>
      </c>
      <c r="H168" s="28" t="s">
        <v>484</v>
      </c>
      <c r="I168" s="28" t="s">
        <v>11</v>
      </c>
    </row>
    <row r="169" spans="1:9" s="28" customFormat="1" x14ac:dyDescent="0.3">
      <c r="A169" s="28" t="s">
        <v>242</v>
      </c>
      <c r="B169" s="28" t="s">
        <v>403</v>
      </c>
      <c r="C169" s="28" t="s">
        <v>404</v>
      </c>
      <c r="D169" s="28" t="s">
        <v>64</v>
      </c>
      <c r="E169" s="28" t="s">
        <v>405</v>
      </c>
      <c r="F169" s="23" t="s">
        <v>486</v>
      </c>
      <c r="G169" s="28">
        <v>1</v>
      </c>
      <c r="H169" s="28" t="s">
        <v>484</v>
      </c>
      <c r="I169" s="28" t="s">
        <v>11</v>
      </c>
    </row>
    <row r="170" spans="1:9" s="28" customFormat="1" x14ac:dyDescent="0.3">
      <c r="A170" s="28" t="s">
        <v>242</v>
      </c>
      <c r="B170" s="28" t="s">
        <v>407</v>
      </c>
      <c r="C170" s="28" t="s">
        <v>408</v>
      </c>
      <c r="D170" s="28" t="s">
        <v>64</v>
      </c>
      <c r="E170" s="28" t="s">
        <v>409</v>
      </c>
      <c r="F170" s="23" t="s">
        <v>487</v>
      </c>
      <c r="G170" s="28">
        <v>1</v>
      </c>
      <c r="H170" s="28" t="s">
        <v>484</v>
      </c>
      <c r="I170" s="28" t="s">
        <v>11</v>
      </c>
    </row>
    <row r="171" spans="1:9" s="28" customFormat="1" x14ac:dyDescent="0.3">
      <c r="A171" s="28" t="s">
        <v>242</v>
      </c>
      <c r="B171" s="28" t="s">
        <v>488</v>
      </c>
      <c r="C171" s="28" t="s">
        <v>68</v>
      </c>
      <c r="D171" s="28" t="s">
        <v>64</v>
      </c>
      <c r="E171" s="28" t="s">
        <v>489</v>
      </c>
      <c r="F171" s="23" t="s">
        <v>490</v>
      </c>
      <c r="G171" s="28">
        <v>1</v>
      </c>
      <c r="H171" s="28" t="s">
        <v>484</v>
      </c>
      <c r="I171" s="28" t="s">
        <v>491</v>
      </c>
    </row>
    <row r="172" spans="1:9" s="28" customFormat="1" x14ac:dyDescent="0.3">
      <c r="A172" s="28" t="s">
        <v>242</v>
      </c>
      <c r="B172" s="28" t="s">
        <v>488</v>
      </c>
      <c r="C172" s="28" t="s">
        <v>68</v>
      </c>
      <c r="D172" s="28" t="s">
        <v>64</v>
      </c>
      <c r="E172" s="28" t="s">
        <v>489</v>
      </c>
      <c r="F172" s="23" t="s">
        <v>492</v>
      </c>
      <c r="G172" s="28">
        <v>1</v>
      </c>
      <c r="H172" s="28" t="s">
        <v>484</v>
      </c>
      <c r="I172" s="28" t="s">
        <v>493</v>
      </c>
    </row>
    <row r="173" spans="1:9" s="28" customFormat="1" x14ac:dyDescent="0.3">
      <c r="A173" s="28" t="s">
        <v>242</v>
      </c>
      <c r="B173" s="28" t="s">
        <v>494</v>
      </c>
      <c r="C173" s="28" t="s">
        <v>97</v>
      </c>
      <c r="D173" s="28" t="s">
        <v>11</v>
      </c>
      <c r="E173" s="28" t="s">
        <v>11</v>
      </c>
      <c r="F173" s="23" t="s">
        <v>11</v>
      </c>
      <c r="G173" s="28">
        <v>1</v>
      </c>
      <c r="H173" s="28" t="s">
        <v>494</v>
      </c>
      <c r="I173" s="28" t="s">
        <v>11</v>
      </c>
    </row>
    <row r="174" spans="1:9" s="28" customFormat="1" x14ac:dyDescent="0.3">
      <c r="A174" s="28" t="s">
        <v>242</v>
      </c>
      <c r="B174" s="28" t="s">
        <v>62</v>
      </c>
      <c r="C174" s="28" t="s">
        <v>63</v>
      </c>
      <c r="D174" s="28" t="s">
        <v>64</v>
      </c>
      <c r="E174" s="28" t="s">
        <v>65</v>
      </c>
      <c r="F174" s="23" t="s">
        <v>495</v>
      </c>
      <c r="G174" s="28">
        <v>1</v>
      </c>
      <c r="H174" s="28" t="s">
        <v>11</v>
      </c>
      <c r="I174" s="28" t="s">
        <v>496</v>
      </c>
    </row>
    <row r="175" spans="1:9" s="28" customFormat="1" x14ac:dyDescent="0.3">
      <c r="A175" s="28" t="s">
        <v>242</v>
      </c>
      <c r="B175" s="28" t="s">
        <v>393</v>
      </c>
      <c r="C175" s="28" t="s">
        <v>394</v>
      </c>
      <c r="D175" s="28" t="s">
        <v>380</v>
      </c>
      <c r="E175" s="28" t="s">
        <v>395</v>
      </c>
      <c r="F175" s="23" t="s">
        <v>1073</v>
      </c>
      <c r="G175" s="28">
        <v>1</v>
      </c>
      <c r="H175" s="28" t="s">
        <v>496</v>
      </c>
      <c r="I175" s="28" t="s">
        <v>11</v>
      </c>
    </row>
    <row r="176" spans="1:9" s="28" customFormat="1" x14ac:dyDescent="0.3">
      <c r="A176" s="28" t="s">
        <v>242</v>
      </c>
      <c r="B176" s="28" t="s">
        <v>396</v>
      </c>
      <c r="C176" s="28" t="s">
        <v>397</v>
      </c>
      <c r="D176" s="28" t="s">
        <v>64</v>
      </c>
      <c r="E176" s="28" t="s">
        <v>398</v>
      </c>
      <c r="F176" s="23" t="s">
        <v>497</v>
      </c>
      <c r="G176" s="28">
        <v>1</v>
      </c>
      <c r="H176" s="28" t="s">
        <v>496</v>
      </c>
      <c r="I176" s="28" t="s">
        <v>11</v>
      </c>
    </row>
    <row r="177" spans="1:9" s="28" customFormat="1" x14ac:dyDescent="0.3">
      <c r="A177" s="28" t="s">
        <v>242</v>
      </c>
      <c r="B177" s="28" t="s">
        <v>400</v>
      </c>
      <c r="C177" s="28" t="s">
        <v>401</v>
      </c>
      <c r="D177" s="28" t="s">
        <v>64</v>
      </c>
      <c r="E177" s="28" t="s">
        <v>402</v>
      </c>
      <c r="F177" s="23" t="s">
        <v>389</v>
      </c>
      <c r="G177" s="28">
        <v>1</v>
      </c>
      <c r="H177" s="28" t="s">
        <v>496</v>
      </c>
      <c r="I177" s="28" t="s">
        <v>11</v>
      </c>
    </row>
    <row r="178" spans="1:9" s="28" customFormat="1" x14ac:dyDescent="0.3">
      <c r="A178" s="28" t="s">
        <v>242</v>
      </c>
      <c r="B178" s="28" t="s">
        <v>403</v>
      </c>
      <c r="C178" s="28" t="s">
        <v>404</v>
      </c>
      <c r="D178" s="28" t="s">
        <v>64</v>
      </c>
      <c r="E178" s="28" t="s">
        <v>405</v>
      </c>
      <c r="F178" s="23" t="s">
        <v>498</v>
      </c>
      <c r="G178" s="28">
        <v>1</v>
      </c>
      <c r="H178" s="28" t="s">
        <v>11</v>
      </c>
      <c r="I178" s="28" t="s">
        <v>11</v>
      </c>
    </row>
    <row r="179" spans="1:9" s="28" customFormat="1" x14ac:dyDescent="0.3">
      <c r="A179" s="28" t="s">
        <v>242</v>
      </c>
      <c r="B179" s="28" t="s">
        <v>407</v>
      </c>
      <c r="C179" s="28" t="s">
        <v>408</v>
      </c>
      <c r="D179" s="28" t="s">
        <v>64</v>
      </c>
      <c r="E179" s="28" t="s">
        <v>409</v>
      </c>
      <c r="F179" s="23" t="s">
        <v>499</v>
      </c>
      <c r="G179" s="28">
        <v>1</v>
      </c>
      <c r="H179" s="28" t="s">
        <v>11</v>
      </c>
      <c r="I179" s="28" t="s">
        <v>11</v>
      </c>
    </row>
    <row r="180" spans="1:9" s="28" customFormat="1" x14ac:dyDescent="0.3">
      <c r="A180" s="28" t="s">
        <v>242</v>
      </c>
      <c r="B180" s="28" t="s">
        <v>67</v>
      </c>
      <c r="C180" s="28" t="s">
        <v>68</v>
      </c>
      <c r="D180" s="28" t="s">
        <v>64</v>
      </c>
      <c r="E180" s="28" t="s">
        <v>69</v>
      </c>
      <c r="F180" s="23" t="s">
        <v>500</v>
      </c>
      <c r="G180" s="28">
        <v>1</v>
      </c>
      <c r="H180" s="28" t="s">
        <v>11</v>
      </c>
      <c r="I180" s="28" t="s">
        <v>501</v>
      </c>
    </row>
    <row r="181" spans="1:9" s="28" customFormat="1" x14ac:dyDescent="0.3">
      <c r="A181" s="28" t="s">
        <v>242</v>
      </c>
      <c r="B181" s="28" t="s">
        <v>67</v>
      </c>
      <c r="C181" s="28" t="s">
        <v>68</v>
      </c>
      <c r="D181" s="28" t="s">
        <v>64</v>
      </c>
      <c r="E181" s="28" t="s">
        <v>69</v>
      </c>
      <c r="F181" s="23" t="s">
        <v>502</v>
      </c>
      <c r="G181" s="28">
        <v>1</v>
      </c>
      <c r="H181" s="28" t="s">
        <v>11</v>
      </c>
      <c r="I181" s="28" t="s">
        <v>503</v>
      </c>
    </row>
    <row r="182" spans="1:9" s="28" customFormat="1" x14ac:dyDescent="0.3">
      <c r="A182" s="28" t="s">
        <v>242</v>
      </c>
      <c r="B182" s="28" t="s">
        <v>62</v>
      </c>
      <c r="C182" s="28" t="s">
        <v>63</v>
      </c>
      <c r="D182" s="28" t="s">
        <v>64</v>
      </c>
      <c r="E182" s="28" t="s">
        <v>65</v>
      </c>
      <c r="F182" s="23" t="s">
        <v>504</v>
      </c>
      <c r="G182" s="28">
        <v>1</v>
      </c>
      <c r="H182" s="28" t="s">
        <v>11</v>
      </c>
      <c r="I182" s="28" t="s">
        <v>505</v>
      </c>
    </row>
    <row r="183" spans="1:9" s="28" customFormat="1" x14ac:dyDescent="0.3">
      <c r="A183" s="28" t="s">
        <v>242</v>
      </c>
      <c r="B183" s="28" t="s">
        <v>393</v>
      </c>
      <c r="C183" s="28" t="s">
        <v>394</v>
      </c>
      <c r="D183" s="28" t="s">
        <v>380</v>
      </c>
      <c r="E183" s="28" t="s">
        <v>395</v>
      </c>
      <c r="F183" s="23" t="s">
        <v>1074</v>
      </c>
      <c r="G183" s="28">
        <v>1</v>
      </c>
      <c r="H183" s="28" t="s">
        <v>505</v>
      </c>
      <c r="I183" s="28" t="s">
        <v>11</v>
      </c>
    </row>
    <row r="184" spans="1:9" s="28" customFormat="1" x14ac:dyDescent="0.3">
      <c r="A184" s="28" t="s">
        <v>242</v>
      </c>
      <c r="B184" s="28" t="s">
        <v>396</v>
      </c>
      <c r="C184" s="28" t="s">
        <v>397</v>
      </c>
      <c r="D184" s="28" t="s">
        <v>64</v>
      </c>
      <c r="E184" s="28" t="s">
        <v>398</v>
      </c>
      <c r="F184" s="23" t="s">
        <v>506</v>
      </c>
      <c r="G184" s="28">
        <v>1</v>
      </c>
      <c r="H184" s="28" t="s">
        <v>505</v>
      </c>
      <c r="I184" s="28" t="s">
        <v>11</v>
      </c>
    </row>
    <row r="185" spans="1:9" s="28" customFormat="1" x14ac:dyDescent="0.3">
      <c r="A185" s="28" t="s">
        <v>242</v>
      </c>
      <c r="B185" s="28" t="s">
        <v>400</v>
      </c>
      <c r="C185" s="28" t="s">
        <v>401</v>
      </c>
      <c r="D185" s="28" t="s">
        <v>64</v>
      </c>
      <c r="E185" s="28" t="s">
        <v>402</v>
      </c>
      <c r="F185" s="23" t="s">
        <v>389</v>
      </c>
      <c r="G185" s="28">
        <v>1</v>
      </c>
      <c r="H185" s="28" t="s">
        <v>505</v>
      </c>
      <c r="I185" s="28" t="s">
        <v>11</v>
      </c>
    </row>
    <row r="186" spans="1:9" s="28" customFormat="1" x14ac:dyDescent="0.3">
      <c r="A186" s="28" t="s">
        <v>242</v>
      </c>
      <c r="B186" s="28" t="s">
        <v>403</v>
      </c>
      <c r="C186" s="28" t="s">
        <v>404</v>
      </c>
      <c r="D186" s="28" t="s">
        <v>64</v>
      </c>
      <c r="E186" s="28" t="s">
        <v>405</v>
      </c>
      <c r="F186" s="23" t="s">
        <v>507</v>
      </c>
      <c r="G186" s="28">
        <v>1</v>
      </c>
      <c r="H186" s="28" t="s">
        <v>11</v>
      </c>
      <c r="I186" s="28" t="s">
        <v>11</v>
      </c>
    </row>
    <row r="187" spans="1:9" s="28" customFormat="1" x14ac:dyDescent="0.3">
      <c r="A187" s="28" t="s">
        <v>242</v>
      </c>
      <c r="B187" s="28" t="s">
        <v>407</v>
      </c>
      <c r="C187" s="28" t="s">
        <v>408</v>
      </c>
      <c r="D187" s="28" t="s">
        <v>64</v>
      </c>
      <c r="E187" s="28" t="s">
        <v>409</v>
      </c>
      <c r="F187" s="23" t="s">
        <v>508</v>
      </c>
      <c r="G187" s="28">
        <v>1</v>
      </c>
      <c r="H187" s="28" t="s">
        <v>11</v>
      </c>
      <c r="I187" s="28" t="s">
        <v>11</v>
      </c>
    </row>
    <row r="188" spans="1:9" s="28" customFormat="1" x14ac:dyDescent="0.3">
      <c r="A188" s="28" t="s">
        <v>242</v>
      </c>
      <c r="B188" s="28" t="s">
        <v>67</v>
      </c>
      <c r="C188" s="28" t="s">
        <v>68</v>
      </c>
      <c r="D188" s="28" t="s">
        <v>64</v>
      </c>
      <c r="E188" s="28" t="s">
        <v>69</v>
      </c>
      <c r="F188" s="23" t="s">
        <v>509</v>
      </c>
      <c r="G188" s="28">
        <v>1</v>
      </c>
      <c r="H188" s="28" t="s">
        <v>11</v>
      </c>
      <c r="I188" s="28" t="s">
        <v>510</v>
      </c>
    </row>
    <row r="189" spans="1:9" s="28" customFormat="1" x14ac:dyDescent="0.3">
      <c r="A189" s="28" t="s">
        <v>242</v>
      </c>
      <c r="B189" s="28" t="s">
        <v>67</v>
      </c>
      <c r="C189" s="28" t="s">
        <v>68</v>
      </c>
      <c r="D189" s="28" t="s">
        <v>64</v>
      </c>
      <c r="E189" s="28" t="s">
        <v>69</v>
      </c>
      <c r="F189" s="23" t="s">
        <v>511</v>
      </c>
      <c r="G189" s="28">
        <v>1</v>
      </c>
      <c r="H189" s="28" t="s">
        <v>11</v>
      </c>
      <c r="I189" s="28" t="s">
        <v>512</v>
      </c>
    </row>
    <row r="190" spans="1:9" s="28" customFormat="1" x14ac:dyDescent="0.3">
      <c r="A190" s="28" t="s">
        <v>242</v>
      </c>
      <c r="B190" s="28" t="s">
        <v>513</v>
      </c>
      <c r="C190" s="28" t="s">
        <v>514</v>
      </c>
      <c r="D190" s="28" t="s">
        <v>11</v>
      </c>
      <c r="E190" s="28" t="s">
        <v>11</v>
      </c>
      <c r="F190" s="23" t="s">
        <v>11</v>
      </c>
      <c r="G190" s="28">
        <v>1</v>
      </c>
      <c r="H190" s="28" t="s">
        <v>513</v>
      </c>
      <c r="I190" s="28" t="s">
        <v>11</v>
      </c>
    </row>
    <row r="191" spans="1:9" s="28" customFormat="1" x14ac:dyDescent="0.3">
      <c r="A191" s="28" t="s">
        <v>242</v>
      </c>
      <c r="B191" s="28" t="s">
        <v>67</v>
      </c>
      <c r="C191" s="28" t="s">
        <v>68</v>
      </c>
      <c r="D191" s="28" t="s">
        <v>64</v>
      </c>
      <c r="E191" s="28" t="s">
        <v>69</v>
      </c>
      <c r="F191" s="23" t="s">
        <v>515</v>
      </c>
      <c r="G191" s="28">
        <v>1</v>
      </c>
      <c r="H191" s="28" t="s">
        <v>11</v>
      </c>
      <c r="I191" s="28" t="s">
        <v>516</v>
      </c>
    </row>
    <row r="192" spans="1:9" s="28" customFormat="1" x14ac:dyDescent="0.3">
      <c r="A192" s="28" t="s">
        <v>242</v>
      </c>
      <c r="B192" s="28" t="s">
        <v>67</v>
      </c>
      <c r="C192" s="28" t="s">
        <v>68</v>
      </c>
      <c r="D192" s="28" t="s">
        <v>64</v>
      </c>
      <c r="E192" s="28" t="s">
        <v>69</v>
      </c>
      <c r="F192" s="23" t="s">
        <v>517</v>
      </c>
      <c r="G192" s="28">
        <v>1</v>
      </c>
      <c r="H192" s="28" t="s">
        <v>11</v>
      </c>
      <c r="I192" s="28" t="s">
        <v>518</v>
      </c>
    </row>
    <row r="193" spans="1:11" s="28" customFormat="1" x14ac:dyDescent="0.3">
      <c r="A193" s="28" t="s">
        <v>242</v>
      </c>
      <c r="B193" s="28" t="s">
        <v>488</v>
      </c>
      <c r="C193" s="28" t="s">
        <v>68</v>
      </c>
      <c r="D193" s="28" t="s">
        <v>64</v>
      </c>
      <c r="E193" s="28" t="s">
        <v>489</v>
      </c>
      <c r="F193" s="23" t="s">
        <v>519</v>
      </c>
      <c r="G193" s="28">
        <v>1</v>
      </c>
      <c r="H193" s="28" t="s">
        <v>11</v>
      </c>
      <c r="I193" s="28" t="s">
        <v>520</v>
      </c>
    </row>
    <row r="194" spans="1:11" s="28" customFormat="1" x14ac:dyDescent="0.3">
      <c r="A194" s="28" t="s">
        <v>242</v>
      </c>
      <c r="B194" s="28" t="s">
        <v>488</v>
      </c>
      <c r="C194" s="28" t="s">
        <v>68</v>
      </c>
      <c r="D194" s="28" t="s">
        <v>64</v>
      </c>
      <c r="E194" s="28" t="s">
        <v>489</v>
      </c>
      <c r="F194" s="23" t="s">
        <v>521</v>
      </c>
      <c r="G194" s="28">
        <v>1</v>
      </c>
      <c r="H194" s="28" t="s">
        <v>11</v>
      </c>
      <c r="I194" s="28" t="s">
        <v>522</v>
      </c>
    </row>
    <row r="195" spans="1:11" s="28" customFormat="1" x14ac:dyDescent="0.3">
      <c r="A195" s="28" t="s">
        <v>242</v>
      </c>
      <c r="B195" s="28" t="s">
        <v>523</v>
      </c>
      <c r="C195" s="28" t="s">
        <v>524</v>
      </c>
      <c r="D195" s="28" t="s">
        <v>11</v>
      </c>
      <c r="E195" s="28" t="s">
        <v>11</v>
      </c>
      <c r="F195" s="23" t="s">
        <v>11</v>
      </c>
      <c r="G195" s="28">
        <v>1</v>
      </c>
      <c r="H195" s="28" t="s">
        <v>523</v>
      </c>
      <c r="I195" s="28" t="s">
        <v>11</v>
      </c>
    </row>
    <row r="196" spans="1:11" s="28" customFormat="1" x14ac:dyDescent="0.3">
      <c r="A196" s="28" t="s">
        <v>242</v>
      </c>
      <c r="B196" s="28" t="s">
        <v>525</v>
      </c>
      <c r="C196" s="28" t="s">
        <v>526</v>
      </c>
      <c r="D196" s="28" t="s">
        <v>380</v>
      </c>
      <c r="E196" s="28" t="s">
        <v>527</v>
      </c>
      <c r="F196" s="23" t="s">
        <v>389</v>
      </c>
      <c r="G196" s="28">
        <v>1</v>
      </c>
      <c r="H196" s="28" t="s">
        <v>11</v>
      </c>
      <c r="I196" s="28" t="s">
        <v>528</v>
      </c>
    </row>
    <row r="197" spans="1:11" s="28" customFormat="1" x14ac:dyDescent="0.3">
      <c r="A197" s="28" t="s">
        <v>242</v>
      </c>
      <c r="B197" s="28" t="s">
        <v>393</v>
      </c>
      <c r="C197" s="28" t="s">
        <v>394</v>
      </c>
      <c r="D197" s="28" t="s">
        <v>380</v>
      </c>
      <c r="E197" s="28" t="s">
        <v>395</v>
      </c>
      <c r="F197" s="23" t="s">
        <v>529</v>
      </c>
      <c r="G197" s="28">
        <v>1</v>
      </c>
      <c r="H197" s="28" t="s">
        <v>11</v>
      </c>
      <c r="I197" s="28" t="s">
        <v>530</v>
      </c>
    </row>
    <row r="198" spans="1:11" s="28" customFormat="1" x14ac:dyDescent="0.3">
      <c r="A198" s="28" t="s">
        <v>242</v>
      </c>
      <c r="B198" s="28" t="s">
        <v>46</v>
      </c>
      <c r="C198" s="28" t="s">
        <v>39</v>
      </c>
      <c r="D198" s="28" t="s">
        <v>380</v>
      </c>
      <c r="E198" s="28" t="s">
        <v>47</v>
      </c>
      <c r="F198" s="23" t="s">
        <v>1086</v>
      </c>
      <c r="G198" s="28">
        <v>1</v>
      </c>
      <c r="H198" s="28" t="s">
        <v>11</v>
      </c>
      <c r="I198" s="28" t="s">
        <v>531</v>
      </c>
      <c r="K198" s="23"/>
    </row>
    <row r="199" spans="1:11" s="28" customFormat="1" x14ac:dyDescent="0.3">
      <c r="A199" s="28" t="s">
        <v>242</v>
      </c>
      <c r="B199" s="28" t="s">
        <v>46</v>
      </c>
      <c r="C199" s="28" t="s">
        <v>39</v>
      </c>
      <c r="D199" s="28" t="s">
        <v>380</v>
      </c>
      <c r="E199" s="28" t="s">
        <v>47</v>
      </c>
      <c r="F199" s="23" t="s">
        <v>1087</v>
      </c>
      <c r="G199" s="28">
        <v>1</v>
      </c>
      <c r="H199" s="28" t="s">
        <v>11</v>
      </c>
      <c r="I199" s="28" t="s">
        <v>532</v>
      </c>
      <c r="K199" s="23"/>
    </row>
    <row r="200" spans="1:11" s="28" customFormat="1" x14ac:dyDescent="0.3">
      <c r="A200" s="28" t="s">
        <v>242</v>
      </c>
      <c r="B200" s="28" t="s">
        <v>28</v>
      </c>
      <c r="C200" s="28" t="s">
        <v>18</v>
      </c>
      <c r="D200" s="28" t="s">
        <v>533</v>
      </c>
      <c r="E200" s="28" t="s">
        <v>29</v>
      </c>
      <c r="F200" s="23" t="s">
        <v>534</v>
      </c>
      <c r="G200" s="28">
        <v>1</v>
      </c>
      <c r="H200" s="28" t="s">
        <v>11</v>
      </c>
      <c r="I200" s="28" t="s">
        <v>535</v>
      </c>
    </row>
    <row r="201" spans="1:11" s="28" customFormat="1" x14ac:dyDescent="0.3">
      <c r="A201" s="28" t="s">
        <v>242</v>
      </c>
      <c r="B201" s="28" t="s">
        <v>28</v>
      </c>
      <c r="C201" s="28" t="s">
        <v>18</v>
      </c>
      <c r="D201" s="28" t="s">
        <v>533</v>
      </c>
      <c r="E201" s="28" t="s">
        <v>29</v>
      </c>
      <c r="F201" s="23" t="s">
        <v>536</v>
      </c>
      <c r="G201" s="28">
        <v>1</v>
      </c>
      <c r="H201" s="28" t="s">
        <v>11</v>
      </c>
      <c r="I201" s="28" t="s">
        <v>537</v>
      </c>
    </row>
    <row r="202" spans="1:11" s="28" customFormat="1" x14ac:dyDescent="0.3">
      <c r="A202" s="28" t="s">
        <v>242</v>
      </c>
      <c r="B202" s="28" t="s">
        <v>30</v>
      </c>
      <c r="C202" s="28" t="s">
        <v>18</v>
      </c>
      <c r="D202" s="28" t="s">
        <v>533</v>
      </c>
      <c r="E202" s="28" t="s">
        <v>31</v>
      </c>
      <c r="F202" s="23" t="s">
        <v>538</v>
      </c>
      <c r="G202" s="28">
        <v>1</v>
      </c>
      <c r="H202" s="28" t="s">
        <v>11</v>
      </c>
      <c r="I202" s="28" t="s">
        <v>539</v>
      </c>
    </row>
    <row r="203" spans="1:11" s="28" customFormat="1" x14ac:dyDescent="0.3">
      <c r="A203" s="28" t="s">
        <v>242</v>
      </c>
      <c r="B203" s="28" t="s">
        <v>30</v>
      </c>
      <c r="C203" s="28" t="s">
        <v>18</v>
      </c>
      <c r="D203" s="28" t="s">
        <v>533</v>
      </c>
      <c r="E203" s="28" t="s">
        <v>31</v>
      </c>
      <c r="F203" s="23" t="s">
        <v>540</v>
      </c>
      <c r="G203" s="28">
        <v>1</v>
      </c>
      <c r="H203" s="28" t="s">
        <v>11</v>
      </c>
      <c r="I203" s="28" t="s">
        <v>541</v>
      </c>
    </row>
    <row r="204" spans="1:11" s="28" customFormat="1" x14ac:dyDescent="0.3">
      <c r="A204" s="28" t="s">
        <v>242</v>
      </c>
      <c r="B204" s="28" t="s">
        <v>32</v>
      </c>
      <c r="C204" s="28" t="s">
        <v>18</v>
      </c>
      <c r="D204" s="28" t="s">
        <v>533</v>
      </c>
      <c r="E204" s="28" t="s">
        <v>33</v>
      </c>
      <c r="F204" s="23" t="s">
        <v>1088</v>
      </c>
      <c r="G204" s="28">
        <v>1</v>
      </c>
      <c r="H204" s="28" t="s">
        <v>11</v>
      </c>
      <c r="I204" s="28" t="s">
        <v>542</v>
      </c>
    </row>
    <row r="205" spans="1:11" s="28" customFormat="1" x14ac:dyDescent="0.3">
      <c r="A205" s="28" t="s">
        <v>543</v>
      </c>
      <c r="B205" s="28" t="s">
        <v>9</v>
      </c>
      <c r="C205" s="28" t="s">
        <v>10</v>
      </c>
      <c r="D205" s="28" t="s">
        <v>11</v>
      </c>
      <c r="E205" s="28" t="s">
        <v>11</v>
      </c>
      <c r="F205" s="23" t="s">
        <v>11</v>
      </c>
      <c r="G205" s="28">
        <v>1</v>
      </c>
      <c r="H205" s="28" t="s">
        <v>9</v>
      </c>
      <c r="I205" s="28" t="s">
        <v>11</v>
      </c>
    </row>
    <row r="206" spans="1:11" s="28" customFormat="1" x14ac:dyDescent="0.3">
      <c r="A206" s="28" t="s">
        <v>543</v>
      </c>
      <c r="B206" s="28" t="s">
        <v>12</v>
      </c>
      <c r="C206" s="28" t="s">
        <v>13</v>
      </c>
      <c r="D206" s="28" t="s">
        <v>14</v>
      </c>
      <c r="E206" s="28" t="s">
        <v>15</v>
      </c>
      <c r="F206" s="23" t="s">
        <v>544</v>
      </c>
      <c r="G206" s="28">
        <v>1</v>
      </c>
      <c r="H206" s="28" t="s">
        <v>9</v>
      </c>
      <c r="I206" s="28" t="s">
        <v>545</v>
      </c>
    </row>
    <row r="207" spans="1:11" s="28" customFormat="1" x14ac:dyDescent="0.3">
      <c r="A207" s="28" t="s">
        <v>543</v>
      </c>
      <c r="B207" s="28" t="s">
        <v>17</v>
      </c>
      <c r="C207" s="28" t="s">
        <v>18</v>
      </c>
      <c r="D207" s="28" t="s">
        <v>14</v>
      </c>
      <c r="E207" s="28" t="s">
        <v>19</v>
      </c>
      <c r="F207" s="23" t="s">
        <v>546</v>
      </c>
      <c r="G207" s="28">
        <v>1</v>
      </c>
      <c r="H207" s="28" t="s">
        <v>11</v>
      </c>
      <c r="I207" s="28" t="s">
        <v>11</v>
      </c>
    </row>
    <row r="208" spans="1:11" s="28" customFormat="1" x14ac:dyDescent="0.3">
      <c r="A208" s="28" t="s">
        <v>543</v>
      </c>
      <c r="B208" s="28" t="s">
        <v>17</v>
      </c>
      <c r="C208" s="28" t="s">
        <v>18</v>
      </c>
      <c r="D208" s="28" t="s">
        <v>14</v>
      </c>
      <c r="E208" s="28" t="s">
        <v>19</v>
      </c>
      <c r="F208" s="23" t="s">
        <v>547</v>
      </c>
      <c r="G208" s="28">
        <v>1</v>
      </c>
      <c r="H208" s="28" t="s">
        <v>11</v>
      </c>
      <c r="I208" s="28" t="s">
        <v>11</v>
      </c>
    </row>
    <row r="209" spans="1:9" s="28" customFormat="1" x14ac:dyDescent="0.3">
      <c r="A209" s="28" t="s">
        <v>543</v>
      </c>
      <c r="B209" s="28" t="s">
        <v>20</v>
      </c>
      <c r="C209" s="28" t="s">
        <v>18</v>
      </c>
      <c r="D209" s="28" t="s">
        <v>14</v>
      </c>
      <c r="E209" s="28" t="s">
        <v>21</v>
      </c>
      <c r="F209" s="23" t="s">
        <v>548</v>
      </c>
      <c r="G209" s="28">
        <v>1</v>
      </c>
      <c r="H209" s="28" t="s">
        <v>11</v>
      </c>
      <c r="I209" s="28" t="s">
        <v>11</v>
      </c>
    </row>
    <row r="210" spans="1:9" s="28" customFormat="1" x14ac:dyDescent="0.3">
      <c r="A210" s="28" t="s">
        <v>543</v>
      </c>
      <c r="B210" s="28" t="s">
        <v>20</v>
      </c>
      <c r="C210" s="28" t="s">
        <v>18</v>
      </c>
      <c r="D210" s="28" t="s">
        <v>14</v>
      </c>
      <c r="E210" s="28" t="s">
        <v>21</v>
      </c>
      <c r="F210" s="23" t="s">
        <v>549</v>
      </c>
      <c r="G210" s="28">
        <v>1</v>
      </c>
      <c r="H210" s="28" t="s">
        <v>11</v>
      </c>
      <c r="I210" s="28" t="s">
        <v>11</v>
      </c>
    </row>
    <row r="211" spans="1:9" s="28" customFormat="1" x14ac:dyDescent="0.3">
      <c r="A211" s="28" t="s">
        <v>543</v>
      </c>
      <c r="B211" s="28" t="s">
        <v>12</v>
      </c>
      <c r="C211" s="28" t="s">
        <v>13</v>
      </c>
      <c r="D211" s="28" t="s">
        <v>14</v>
      </c>
      <c r="E211" s="28" t="s">
        <v>15</v>
      </c>
      <c r="F211" s="23" t="s">
        <v>550</v>
      </c>
      <c r="G211" s="28">
        <v>1</v>
      </c>
      <c r="H211" s="28" t="s">
        <v>9</v>
      </c>
      <c r="I211" s="28" t="s">
        <v>551</v>
      </c>
    </row>
    <row r="212" spans="1:9" s="28" customFormat="1" x14ac:dyDescent="0.3">
      <c r="A212" s="28" t="s">
        <v>543</v>
      </c>
      <c r="B212" s="28" t="s">
        <v>17</v>
      </c>
      <c r="C212" s="28" t="s">
        <v>18</v>
      </c>
      <c r="D212" s="28" t="s">
        <v>14</v>
      </c>
      <c r="E212" s="28" t="s">
        <v>19</v>
      </c>
      <c r="F212" s="23" t="s">
        <v>552</v>
      </c>
      <c r="G212" s="28">
        <v>1</v>
      </c>
      <c r="H212" s="28" t="s">
        <v>11</v>
      </c>
      <c r="I212" s="28" t="s">
        <v>11</v>
      </c>
    </row>
    <row r="213" spans="1:9" s="28" customFormat="1" x14ac:dyDescent="0.3">
      <c r="A213" s="28" t="s">
        <v>543</v>
      </c>
      <c r="B213" s="28" t="s">
        <v>17</v>
      </c>
      <c r="C213" s="28" t="s">
        <v>18</v>
      </c>
      <c r="D213" s="28" t="s">
        <v>14</v>
      </c>
      <c r="E213" s="28" t="s">
        <v>19</v>
      </c>
      <c r="F213" s="23" t="s">
        <v>553</v>
      </c>
      <c r="G213" s="28">
        <v>1</v>
      </c>
      <c r="H213" s="28" t="s">
        <v>11</v>
      </c>
      <c r="I213" s="28" t="s">
        <v>11</v>
      </c>
    </row>
    <row r="214" spans="1:9" s="28" customFormat="1" x14ac:dyDescent="0.3">
      <c r="A214" s="28" t="s">
        <v>543</v>
      </c>
      <c r="B214" s="28" t="s">
        <v>20</v>
      </c>
      <c r="C214" s="28" t="s">
        <v>18</v>
      </c>
      <c r="D214" s="28" t="s">
        <v>14</v>
      </c>
      <c r="E214" s="28" t="s">
        <v>21</v>
      </c>
      <c r="F214" s="23" t="s">
        <v>554</v>
      </c>
      <c r="G214" s="28">
        <v>1</v>
      </c>
      <c r="H214" s="28" t="s">
        <v>11</v>
      </c>
      <c r="I214" s="28" t="s">
        <v>11</v>
      </c>
    </row>
    <row r="215" spans="1:9" s="28" customFormat="1" x14ac:dyDescent="0.3">
      <c r="A215" s="28" t="s">
        <v>543</v>
      </c>
      <c r="B215" s="28" t="s">
        <v>20</v>
      </c>
      <c r="C215" s="28" t="s">
        <v>18</v>
      </c>
      <c r="D215" s="28" t="s">
        <v>14</v>
      </c>
      <c r="E215" s="28" t="s">
        <v>21</v>
      </c>
      <c r="F215" s="23" t="s">
        <v>555</v>
      </c>
      <c r="G215" s="28">
        <v>1</v>
      </c>
      <c r="H215" s="28" t="s">
        <v>11</v>
      </c>
      <c r="I215" s="28" t="s">
        <v>11</v>
      </c>
    </row>
    <row r="216" spans="1:9" s="28" customFormat="1" x14ac:dyDescent="0.3">
      <c r="A216" s="28" t="s">
        <v>543</v>
      </c>
      <c r="B216" s="28" t="s">
        <v>23</v>
      </c>
      <c r="C216" s="28" t="s">
        <v>24</v>
      </c>
      <c r="D216" s="28" t="s">
        <v>25</v>
      </c>
      <c r="E216" s="28" t="s">
        <v>26</v>
      </c>
      <c r="F216" s="23" t="s">
        <v>556</v>
      </c>
      <c r="G216" s="28">
        <v>1</v>
      </c>
      <c r="H216" s="28" t="s">
        <v>9</v>
      </c>
      <c r="I216" s="28" t="s">
        <v>557</v>
      </c>
    </row>
    <row r="217" spans="1:9" s="28" customFormat="1" x14ac:dyDescent="0.3">
      <c r="A217" s="28" t="s">
        <v>543</v>
      </c>
      <c r="B217" s="28" t="s">
        <v>28</v>
      </c>
      <c r="C217" s="28" t="s">
        <v>18</v>
      </c>
      <c r="D217" s="28" t="s">
        <v>25</v>
      </c>
      <c r="E217" s="28" t="s">
        <v>29</v>
      </c>
      <c r="F217" s="23" t="s">
        <v>977</v>
      </c>
      <c r="G217" s="28">
        <v>1</v>
      </c>
      <c r="H217" s="28" t="s">
        <v>11</v>
      </c>
      <c r="I217" s="28" t="s">
        <v>11</v>
      </c>
    </row>
    <row r="218" spans="1:9" s="28" customFormat="1" x14ac:dyDescent="0.3">
      <c r="A218" s="28" t="s">
        <v>543</v>
      </c>
      <c r="B218" s="28" t="s">
        <v>28</v>
      </c>
      <c r="C218" s="28" t="s">
        <v>18</v>
      </c>
      <c r="D218" s="28" t="s">
        <v>25</v>
      </c>
      <c r="E218" s="28" t="s">
        <v>29</v>
      </c>
      <c r="F218" s="23" t="s">
        <v>978</v>
      </c>
      <c r="G218" s="28">
        <v>1</v>
      </c>
      <c r="H218" s="28" t="s">
        <v>11</v>
      </c>
      <c r="I218" s="28" t="s">
        <v>11</v>
      </c>
    </row>
    <row r="219" spans="1:9" s="28" customFormat="1" x14ac:dyDescent="0.3">
      <c r="A219" s="28" t="s">
        <v>543</v>
      </c>
      <c r="B219" s="28" t="s">
        <v>28</v>
      </c>
      <c r="C219" s="28" t="s">
        <v>18</v>
      </c>
      <c r="D219" s="28" t="s">
        <v>25</v>
      </c>
      <c r="E219" s="28" t="s">
        <v>29</v>
      </c>
      <c r="F219" s="23" t="s">
        <v>979</v>
      </c>
      <c r="G219" s="28">
        <v>1</v>
      </c>
      <c r="H219" s="28" t="s">
        <v>11</v>
      </c>
      <c r="I219" s="28" t="s">
        <v>11</v>
      </c>
    </row>
    <row r="220" spans="1:9" s="28" customFormat="1" x14ac:dyDescent="0.3">
      <c r="A220" s="28" t="s">
        <v>543</v>
      </c>
      <c r="B220" s="28" t="s">
        <v>28</v>
      </c>
      <c r="C220" s="28" t="s">
        <v>18</v>
      </c>
      <c r="D220" s="28" t="s">
        <v>25</v>
      </c>
      <c r="E220" s="28" t="s">
        <v>29</v>
      </c>
      <c r="F220" s="23" t="s">
        <v>976</v>
      </c>
      <c r="G220" s="28">
        <v>1</v>
      </c>
      <c r="H220" s="28" t="s">
        <v>11</v>
      </c>
      <c r="I220" s="28" t="s">
        <v>11</v>
      </c>
    </row>
    <row r="221" spans="1:9" s="28" customFormat="1" x14ac:dyDescent="0.3">
      <c r="A221" s="28" t="s">
        <v>543</v>
      </c>
      <c r="B221" s="28" t="s">
        <v>28</v>
      </c>
      <c r="C221" s="28" t="s">
        <v>18</v>
      </c>
      <c r="D221" s="28" t="s">
        <v>25</v>
      </c>
      <c r="E221" s="28" t="s">
        <v>29</v>
      </c>
      <c r="F221" s="23" t="s">
        <v>980</v>
      </c>
      <c r="G221" s="28">
        <v>1</v>
      </c>
      <c r="H221" s="28" t="s">
        <v>11</v>
      </c>
      <c r="I221" s="28" t="s">
        <v>11</v>
      </c>
    </row>
    <row r="222" spans="1:9" s="28" customFormat="1" x14ac:dyDescent="0.3">
      <c r="A222" s="28" t="s">
        <v>543</v>
      </c>
      <c r="B222" s="28" t="s">
        <v>30</v>
      </c>
      <c r="C222" s="28" t="s">
        <v>18</v>
      </c>
      <c r="D222" s="28" t="s">
        <v>25</v>
      </c>
      <c r="E222" s="28" t="s">
        <v>31</v>
      </c>
      <c r="F222" s="23" t="s">
        <v>981</v>
      </c>
      <c r="G222" s="28">
        <v>1</v>
      </c>
      <c r="H222" s="28" t="s">
        <v>11</v>
      </c>
      <c r="I222" s="28" t="s">
        <v>11</v>
      </c>
    </row>
    <row r="223" spans="1:9" s="28" customFormat="1" x14ac:dyDescent="0.3">
      <c r="A223" s="28" t="s">
        <v>543</v>
      </c>
      <c r="B223" s="28" t="s">
        <v>30</v>
      </c>
      <c r="C223" s="28" t="s">
        <v>18</v>
      </c>
      <c r="D223" s="28" t="s">
        <v>25</v>
      </c>
      <c r="E223" s="28" t="s">
        <v>31</v>
      </c>
      <c r="F223" s="23" t="s">
        <v>982</v>
      </c>
      <c r="G223" s="28">
        <v>1</v>
      </c>
      <c r="H223" s="28" t="s">
        <v>11</v>
      </c>
      <c r="I223" s="28" t="s">
        <v>11</v>
      </c>
    </row>
    <row r="224" spans="1:9" s="28" customFormat="1" x14ac:dyDescent="0.3">
      <c r="A224" s="28" t="s">
        <v>543</v>
      </c>
      <c r="B224" s="28" t="s">
        <v>30</v>
      </c>
      <c r="C224" s="28" t="s">
        <v>18</v>
      </c>
      <c r="D224" s="28" t="s">
        <v>25</v>
      </c>
      <c r="E224" s="28" t="s">
        <v>31</v>
      </c>
      <c r="F224" s="23" t="s">
        <v>983</v>
      </c>
      <c r="G224" s="28">
        <v>1</v>
      </c>
      <c r="H224" s="28" t="s">
        <v>11</v>
      </c>
      <c r="I224" s="28" t="s">
        <v>11</v>
      </c>
    </row>
    <row r="225" spans="1:9" s="28" customFormat="1" x14ac:dyDescent="0.3">
      <c r="A225" s="28" t="s">
        <v>543</v>
      </c>
      <c r="B225" s="28" t="s">
        <v>32</v>
      </c>
      <c r="C225" s="28" t="s">
        <v>18</v>
      </c>
      <c r="D225" s="28" t="s">
        <v>25</v>
      </c>
      <c r="E225" s="28" t="s">
        <v>33</v>
      </c>
      <c r="F225" s="23" t="s">
        <v>993</v>
      </c>
      <c r="G225" s="28">
        <v>1</v>
      </c>
      <c r="H225" s="28" t="s">
        <v>11</v>
      </c>
      <c r="I225" s="28" t="s">
        <v>11</v>
      </c>
    </row>
    <row r="226" spans="1:9" s="28" customFormat="1" x14ac:dyDescent="0.3">
      <c r="A226" s="28" t="s">
        <v>543</v>
      </c>
      <c r="B226" s="28" t="s">
        <v>32</v>
      </c>
      <c r="C226" s="28" t="s">
        <v>18</v>
      </c>
      <c r="D226" s="28" t="s">
        <v>25</v>
      </c>
      <c r="E226" s="28" t="s">
        <v>33</v>
      </c>
      <c r="F226" s="23" t="s">
        <v>992</v>
      </c>
      <c r="G226" s="28">
        <v>1</v>
      </c>
      <c r="H226" s="28" t="s">
        <v>11</v>
      </c>
      <c r="I226" s="28" t="s">
        <v>11</v>
      </c>
    </row>
    <row r="227" spans="1:9" s="28" customFormat="1" x14ac:dyDescent="0.3">
      <c r="A227" s="28" t="s">
        <v>543</v>
      </c>
      <c r="B227" s="28" t="s">
        <v>32</v>
      </c>
      <c r="C227" s="28" t="s">
        <v>18</v>
      </c>
      <c r="D227" s="28" t="s">
        <v>25</v>
      </c>
      <c r="E227" s="28" t="s">
        <v>33</v>
      </c>
      <c r="F227" s="23" t="s">
        <v>994</v>
      </c>
      <c r="G227" s="28">
        <v>1</v>
      </c>
      <c r="H227" s="28" t="s">
        <v>11</v>
      </c>
      <c r="I227" s="28" t="s">
        <v>11</v>
      </c>
    </row>
    <row r="228" spans="1:9" s="28" customFormat="1" x14ac:dyDescent="0.3">
      <c r="A228" s="28" t="s">
        <v>543</v>
      </c>
      <c r="B228" s="28" t="s">
        <v>32</v>
      </c>
      <c r="C228" s="28" t="s">
        <v>18</v>
      </c>
      <c r="D228" s="28" t="s">
        <v>25</v>
      </c>
      <c r="E228" s="28" t="s">
        <v>33</v>
      </c>
      <c r="F228" s="23" t="s">
        <v>995</v>
      </c>
      <c r="G228" s="28">
        <v>1</v>
      </c>
      <c r="H228" s="28" t="s">
        <v>11</v>
      </c>
      <c r="I228" s="28" t="s">
        <v>11</v>
      </c>
    </row>
    <row r="229" spans="1:9" s="28" customFormat="1" x14ac:dyDescent="0.3">
      <c r="A229" s="28" t="s">
        <v>543</v>
      </c>
      <c r="B229" s="28" t="s">
        <v>23</v>
      </c>
      <c r="C229" s="28" t="s">
        <v>24</v>
      </c>
      <c r="D229" s="28" t="s">
        <v>25</v>
      </c>
      <c r="E229" s="28" t="s">
        <v>26</v>
      </c>
      <c r="F229" s="23" t="s">
        <v>558</v>
      </c>
      <c r="G229" s="28">
        <v>1</v>
      </c>
      <c r="H229" s="28" t="s">
        <v>9</v>
      </c>
      <c r="I229" s="28" t="s">
        <v>559</v>
      </c>
    </row>
    <row r="230" spans="1:9" s="28" customFormat="1" x14ac:dyDescent="0.3">
      <c r="A230" s="28" t="s">
        <v>543</v>
      </c>
      <c r="B230" s="28" t="s">
        <v>28</v>
      </c>
      <c r="C230" s="28" t="s">
        <v>18</v>
      </c>
      <c r="D230" s="28" t="s">
        <v>25</v>
      </c>
      <c r="E230" s="28" t="s">
        <v>29</v>
      </c>
      <c r="F230" s="23" t="s">
        <v>984</v>
      </c>
      <c r="G230" s="28">
        <v>1</v>
      </c>
      <c r="H230" s="28" t="s">
        <v>11</v>
      </c>
      <c r="I230" s="28" t="s">
        <v>11</v>
      </c>
    </row>
    <row r="231" spans="1:9" s="28" customFormat="1" x14ac:dyDescent="0.3">
      <c r="A231" s="28" t="s">
        <v>543</v>
      </c>
      <c r="B231" s="28" t="s">
        <v>28</v>
      </c>
      <c r="C231" s="28" t="s">
        <v>18</v>
      </c>
      <c r="D231" s="28" t="s">
        <v>25</v>
      </c>
      <c r="E231" s="28" t="s">
        <v>29</v>
      </c>
      <c r="F231" s="23" t="s">
        <v>985</v>
      </c>
      <c r="G231" s="28">
        <v>1</v>
      </c>
      <c r="H231" s="28" t="s">
        <v>11</v>
      </c>
      <c r="I231" s="28" t="s">
        <v>11</v>
      </c>
    </row>
    <row r="232" spans="1:9" s="28" customFormat="1" x14ac:dyDescent="0.3">
      <c r="A232" s="28" t="s">
        <v>543</v>
      </c>
      <c r="B232" s="28" t="s">
        <v>28</v>
      </c>
      <c r="C232" s="28" t="s">
        <v>18</v>
      </c>
      <c r="D232" s="28" t="s">
        <v>25</v>
      </c>
      <c r="E232" s="28" t="s">
        <v>29</v>
      </c>
      <c r="F232" s="23" t="s">
        <v>986</v>
      </c>
      <c r="G232" s="28">
        <v>1</v>
      </c>
      <c r="H232" s="28" t="s">
        <v>11</v>
      </c>
      <c r="I232" s="28" t="s">
        <v>11</v>
      </c>
    </row>
    <row r="233" spans="1:9" s="28" customFormat="1" x14ac:dyDescent="0.3">
      <c r="A233" s="28" t="s">
        <v>543</v>
      </c>
      <c r="B233" s="28" t="s">
        <v>28</v>
      </c>
      <c r="C233" s="28" t="s">
        <v>18</v>
      </c>
      <c r="D233" s="28" t="s">
        <v>25</v>
      </c>
      <c r="E233" s="28" t="s">
        <v>29</v>
      </c>
      <c r="F233" s="23" t="s">
        <v>987</v>
      </c>
      <c r="G233" s="28">
        <v>1</v>
      </c>
      <c r="H233" s="28" t="s">
        <v>11</v>
      </c>
      <c r="I233" s="28" t="s">
        <v>11</v>
      </c>
    </row>
    <row r="234" spans="1:9" s="28" customFormat="1" x14ac:dyDescent="0.3">
      <c r="A234" s="28" t="s">
        <v>543</v>
      </c>
      <c r="B234" s="28" t="s">
        <v>28</v>
      </c>
      <c r="C234" s="28" t="s">
        <v>18</v>
      </c>
      <c r="D234" s="28" t="s">
        <v>25</v>
      </c>
      <c r="E234" s="28" t="s">
        <v>29</v>
      </c>
      <c r="F234" s="23" t="s">
        <v>988</v>
      </c>
      <c r="G234" s="28">
        <v>1</v>
      </c>
      <c r="H234" s="28" t="s">
        <v>11</v>
      </c>
      <c r="I234" s="28" t="s">
        <v>11</v>
      </c>
    </row>
    <row r="235" spans="1:9" s="28" customFormat="1" x14ac:dyDescent="0.3">
      <c r="A235" s="28" t="s">
        <v>543</v>
      </c>
      <c r="B235" s="28" t="s">
        <v>30</v>
      </c>
      <c r="C235" s="28" t="s">
        <v>18</v>
      </c>
      <c r="D235" s="28" t="s">
        <v>25</v>
      </c>
      <c r="E235" s="28" t="s">
        <v>31</v>
      </c>
      <c r="F235" s="23" t="s">
        <v>989</v>
      </c>
      <c r="G235" s="28">
        <v>1</v>
      </c>
      <c r="H235" s="28" t="s">
        <v>11</v>
      </c>
      <c r="I235" s="28" t="s">
        <v>11</v>
      </c>
    </row>
    <row r="236" spans="1:9" s="28" customFormat="1" x14ac:dyDescent="0.3">
      <c r="A236" s="28" t="s">
        <v>543</v>
      </c>
      <c r="B236" s="28" t="s">
        <v>30</v>
      </c>
      <c r="C236" s="28" t="s">
        <v>18</v>
      </c>
      <c r="D236" s="28" t="s">
        <v>25</v>
      </c>
      <c r="E236" s="28" t="s">
        <v>31</v>
      </c>
      <c r="F236" s="23" t="s">
        <v>990</v>
      </c>
      <c r="G236" s="28">
        <v>1</v>
      </c>
      <c r="H236" s="28" t="s">
        <v>11</v>
      </c>
      <c r="I236" s="28" t="s">
        <v>11</v>
      </c>
    </row>
    <row r="237" spans="1:9" s="28" customFormat="1" x14ac:dyDescent="0.3">
      <c r="A237" s="28" t="s">
        <v>543</v>
      </c>
      <c r="B237" s="28" t="s">
        <v>30</v>
      </c>
      <c r="C237" s="28" t="s">
        <v>18</v>
      </c>
      <c r="D237" s="28" t="s">
        <v>25</v>
      </c>
      <c r="E237" s="28" t="s">
        <v>31</v>
      </c>
      <c r="F237" s="23" t="s">
        <v>991</v>
      </c>
      <c r="G237" s="28">
        <v>1</v>
      </c>
      <c r="H237" s="28" t="s">
        <v>11</v>
      </c>
      <c r="I237" s="28" t="s">
        <v>11</v>
      </c>
    </row>
    <row r="238" spans="1:9" s="28" customFormat="1" x14ac:dyDescent="0.3">
      <c r="A238" s="28" t="s">
        <v>543</v>
      </c>
      <c r="B238" s="28" t="s">
        <v>32</v>
      </c>
      <c r="C238" s="28" t="s">
        <v>18</v>
      </c>
      <c r="D238" s="28" t="s">
        <v>25</v>
      </c>
      <c r="E238" s="28" t="s">
        <v>33</v>
      </c>
      <c r="F238" s="23" t="s">
        <v>996</v>
      </c>
      <c r="G238" s="28">
        <v>1</v>
      </c>
      <c r="H238" s="28" t="s">
        <v>11</v>
      </c>
      <c r="I238" s="28" t="s">
        <v>11</v>
      </c>
    </row>
    <row r="239" spans="1:9" s="28" customFormat="1" x14ac:dyDescent="0.3">
      <c r="A239" s="28" t="s">
        <v>543</v>
      </c>
      <c r="B239" s="28" t="s">
        <v>32</v>
      </c>
      <c r="C239" s="28" t="s">
        <v>18</v>
      </c>
      <c r="D239" s="28" t="s">
        <v>25</v>
      </c>
      <c r="E239" s="28" t="s">
        <v>33</v>
      </c>
      <c r="F239" s="23" t="s">
        <v>997</v>
      </c>
      <c r="G239" s="28">
        <v>1</v>
      </c>
      <c r="H239" s="28" t="s">
        <v>11</v>
      </c>
      <c r="I239" s="28" t="s">
        <v>11</v>
      </c>
    </row>
    <row r="240" spans="1:9" s="28" customFormat="1" x14ac:dyDescent="0.3">
      <c r="A240" s="28" t="s">
        <v>543</v>
      </c>
      <c r="B240" s="28" t="s">
        <v>32</v>
      </c>
      <c r="C240" s="28" t="s">
        <v>18</v>
      </c>
      <c r="D240" s="28" t="s">
        <v>25</v>
      </c>
      <c r="E240" s="28" t="s">
        <v>33</v>
      </c>
      <c r="F240" s="23" t="s">
        <v>998</v>
      </c>
      <c r="G240" s="28">
        <v>1</v>
      </c>
      <c r="H240" s="28" t="s">
        <v>11</v>
      </c>
      <c r="I240" s="28" t="s">
        <v>11</v>
      </c>
    </row>
    <row r="241" spans="1:11" s="28" customFormat="1" x14ac:dyDescent="0.3">
      <c r="A241" s="28" t="s">
        <v>543</v>
      </c>
      <c r="B241" s="28" t="s">
        <v>32</v>
      </c>
      <c r="C241" s="28" t="s">
        <v>18</v>
      </c>
      <c r="D241" s="28" t="s">
        <v>25</v>
      </c>
      <c r="E241" s="28" t="s">
        <v>33</v>
      </c>
      <c r="F241" s="23" t="s">
        <v>999</v>
      </c>
      <c r="G241" s="28">
        <v>1</v>
      </c>
      <c r="H241" s="28" t="s">
        <v>11</v>
      </c>
      <c r="I241" s="28" t="s">
        <v>11</v>
      </c>
    </row>
    <row r="242" spans="1:11" s="28" customFormat="1" x14ac:dyDescent="0.3">
      <c r="A242" s="28" t="s">
        <v>543</v>
      </c>
      <c r="B242" s="28" t="s">
        <v>35</v>
      </c>
      <c r="C242" s="28" t="s">
        <v>10</v>
      </c>
      <c r="D242" s="28" t="s">
        <v>11</v>
      </c>
      <c r="E242" s="28" t="s">
        <v>11</v>
      </c>
      <c r="F242" s="23" t="s">
        <v>11</v>
      </c>
      <c r="G242" s="28">
        <v>1</v>
      </c>
      <c r="H242" s="28" t="s">
        <v>35</v>
      </c>
      <c r="I242" s="28" t="s">
        <v>11</v>
      </c>
      <c r="K242" s="23"/>
    </row>
    <row r="243" spans="1:11" s="28" customFormat="1" x14ac:dyDescent="0.3">
      <c r="A243" s="28" t="s">
        <v>543</v>
      </c>
      <c r="B243" s="28" t="s">
        <v>12</v>
      </c>
      <c r="C243" s="28" t="s">
        <v>13</v>
      </c>
      <c r="D243" s="28" t="s">
        <v>14</v>
      </c>
      <c r="E243" s="28" t="s">
        <v>15</v>
      </c>
      <c r="F243" s="23" t="s">
        <v>560</v>
      </c>
      <c r="G243" s="28">
        <v>1</v>
      </c>
      <c r="H243" s="28" t="s">
        <v>35</v>
      </c>
      <c r="I243" s="28" t="s">
        <v>561</v>
      </c>
      <c r="K243" s="23"/>
    </row>
    <row r="244" spans="1:11" s="28" customFormat="1" x14ac:dyDescent="0.3">
      <c r="A244" s="28" t="s">
        <v>543</v>
      </c>
      <c r="B244" s="28" t="s">
        <v>17</v>
      </c>
      <c r="C244" s="28" t="s">
        <v>18</v>
      </c>
      <c r="D244" s="28" t="s">
        <v>14</v>
      </c>
      <c r="E244" s="28" t="s">
        <v>19</v>
      </c>
      <c r="F244" s="23" t="s">
        <v>562</v>
      </c>
      <c r="G244" s="28">
        <v>1</v>
      </c>
      <c r="H244" s="28" t="s">
        <v>11</v>
      </c>
      <c r="I244" s="28" t="s">
        <v>11</v>
      </c>
    </row>
    <row r="245" spans="1:11" s="28" customFormat="1" x14ac:dyDescent="0.3">
      <c r="A245" s="28" t="s">
        <v>543</v>
      </c>
      <c r="B245" s="28" t="s">
        <v>17</v>
      </c>
      <c r="C245" s="28" t="s">
        <v>18</v>
      </c>
      <c r="D245" s="28" t="s">
        <v>14</v>
      </c>
      <c r="E245" s="28" t="s">
        <v>19</v>
      </c>
      <c r="F245" s="23" t="s">
        <v>563</v>
      </c>
      <c r="G245" s="28">
        <v>1</v>
      </c>
      <c r="H245" s="28" t="s">
        <v>11</v>
      </c>
      <c r="I245" s="28" t="s">
        <v>11</v>
      </c>
    </row>
    <row r="246" spans="1:11" s="28" customFormat="1" x14ac:dyDescent="0.3">
      <c r="A246" s="28" t="s">
        <v>543</v>
      </c>
      <c r="B246" s="28" t="s">
        <v>20</v>
      </c>
      <c r="C246" s="28" t="s">
        <v>18</v>
      </c>
      <c r="D246" s="28" t="s">
        <v>14</v>
      </c>
      <c r="E246" s="28" t="s">
        <v>21</v>
      </c>
      <c r="F246" s="23" t="s">
        <v>564</v>
      </c>
      <c r="G246" s="28">
        <v>1</v>
      </c>
      <c r="H246" s="28" t="s">
        <v>11</v>
      </c>
      <c r="I246" s="28" t="s">
        <v>11</v>
      </c>
    </row>
    <row r="247" spans="1:11" s="28" customFormat="1" x14ac:dyDescent="0.3">
      <c r="A247" s="28" t="s">
        <v>543</v>
      </c>
      <c r="B247" s="28" t="s">
        <v>20</v>
      </c>
      <c r="C247" s="28" t="s">
        <v>18</v>
      </c>
      <c r="D247" s="28" t="s">
        <v>14</v>
      </c>
      <c r="E247" s="28" t="s">
        <v>21</v>
      </c>
      <c r="F247" s="23" t="s">
        <v>565</v>
      </c>
      <c r="G247" s="28">
        <v>1</v>
      </c>
      <c r="H247" s="28" t="s">
        <v>11</v>
      </c>
      <c r="I247" s="28" t="s">
        <v>11</v>
      </c>
    </row>
    <row r="248" spans="1:11" s="28" customFormat="1" x14ac:dyDescent="0.3">
      <c r="A248" s="28" t="s">
        <v>543</v>
      </c>
      <c r="B248" s="28" t="s">
        <v>12</v>
      </c>
      <c r="C248" s="28" t="s">
        <v>13</v>
      </c>
      <c r="D248" s="28" t="s">
        <v>14</v>
      </c>
      <c r="E248" s="28" t="s">
        <v>15</v>
      </c>
      <c r="F248" s="23" t="s">
        <v>566</v>
      </c>
      <c r="G248" s="28">
        <v>1</v>
      </c>
      <c r="H248" s="28" t="s">
        <v>35</v>
      </c>
      <c r="I248" s="28" t="s">
        <v>567</v>
      </c>
    </row>
    <row r="249" spans="1:11" s="28" customFormat="1" x14ac:dyDescent="0.3">
      <c r="A249" s="28" t="s">
        <v>543</v>
      </c>
      <c r="B249" s="28" t="s">
        <v>17</v>
      </c>
      <c r="C249" s="28" t="s">
        <v>18</v>
      </c>
      <c r="D249" s="28" t="s">
        <v>14</v>
      </c>
      <c r="E249" s="28" t="s">
        <v>19</v>
      </c>
      <c r="F249" s="23" t="s">
        <v>568</v>
      </c>
      <c r="G249" s="28">
        <v>1</v>
      </c>
      <c r="H249" s="28" t="s">
        <v>11</v>
      </c>
      <c r="I249" s="28" t="s">
        <v>11</v>
      </c>
    </row>
    <row r="250" spans="1:11" s="28" customFormat="1" x14ac:dyDescent="0.3">
      <c r="A250" s="28" t="s">
        <v>543</v>
      </c>
      <c r="B250" s="28" t="s">
        <v>17</v>
      </c>
      <c r="C250" s="28" t="s">
        <v>18</v>
      </c>
      <c r="D250" s="28" t="s">
        <v>14</v>
      </c>
      <c r="E250" s="28" t="s">
        <v>19</v>
      </c>
      <c r="F250" s="23" t="s">
        <v>569</v>
      </c>
      <c r="G250" s="28">
        <v>1</v>
      </c>
      <c r="H250" s="28" t="s">
        <v>11</v>
      </c>
      <c r="I250" s="28" t="s">
        <v>11</v>
      </c>
    </row>
    <row r="251" spans="1:11" s="28" customFormat="1" x14ac:dyDescent="0.3">
      <c r="A251" s="28" t="s">
        <v>543</v>
      </c>
      <c r="B251" s="28" t="s">
        <v>20</v>
      </c>
      <c r="C251" s="28" t="s">
        <v>18</v>
      </c>
      <c r="D251" s="28" t="s">
        <v>14</v>
      </c>
      <c r="E251" s="28" t="s">
        <v>21</v>
      </c>
      <c r="F251" s="23" t="s">
        <v>570</v>
      </c>
      <c r="G251" s="28">
        <v>1</v>
      </c>
      <c r="H251" s="28" t="s">
        <v>11</v>
      </c>
      <c r="I251" s="28" t="s">
        <v>11</v>
      </c>
    </row>
    <row r="252" spans="1:11" s="28" customFormat="1" x14ac:dyDescent="0.3">
      <c r="A252" s="28" t="s">
        <v>543</v>
      </c>
      <c r="B252" s="28" t="s">
        <v>20</v>
      </c>
      <c r="C252" s="28" t="s">
        <v>18</v>
      </c>
      <c r="D252" s="28" t="s">
        <v>14</v>
      </c>
      <c r="E252" s="28" t="s">
        <v>21</v>
      </c>
      <c r="F252" s="23" t="s">
        <v>571</v>
      </c>
      <c r="G252" s="28">
        <v>1</v>
      </c>
      <c r="H252" s="28" t="s">
        <v>11</v>
      </c>
      <c r="I252" s="28" t="s">
        <v>11</v>
      </c>
    </row>
    <row r="253" spans="1:11" s="28" customFormat="1" x14ac:dyDescent="0.3">
      <c r="A253" s="28" t="s">
        <v>543</v>
      </c>
      <c r="B253" s="28" t="s">
        <v>38</v>
      </c>
      <c r="C253" s="28" t="s">
        <v>39</v>
      </c>
      <c r="D253" s="28" t="s">
        <v>14</v>
      </c>
      <c r="E253" s="28" t="s">
        <v>572</v>
      </c>
      <c r="F253" s="23" t="s">
        <v>573</v>
      </c>
      <c r="G253" s="28">
        <v>1</v>
      </c>
      <c r="H253" s="28" t="s">
        <v>574</v>
      </c>
      <c r="I253" s="28" t="s">
        <v>11</v>
      </c>
      <c r="K253" s="23"/>
    </row>
    <row r="254" spans="1:11" s="28" customFormat="1" x14ac:dyDescent="0.3">
      <c r="A254" s="28" t="s">
        <v>543</v>
      </c>
      <c r="B254" s="28" t="s">
        <v>38</v>
      </c>
      <c r="C254" s="28" t="s">
        <v>39</v>
      </c>
      <c r="D254" s="28" t="s">
        <v>14</v>
      </c>
      <c r="E254" s="28" t="s">
        <v>572</v>
      </c>
      <c r="F254" s="23" t="s">
        <v>575</v>
      </c>
      <c r="G254" s="28">
        <v>1</v>
      </c>
      <c r="H254" s="28" t="s">
        <v>576</v>
      </c>
      <c r="I254" s="28" t="s">
        <v>11</v>
      </c>
    </row>
    <row r="255" spans="1:11" s="28" customFormat="1" x14ac:dyDescent="0.3">
      <c r="A255" s="28" t="s">
        <v>543</v>
      </c>
      <c r="B255" s="28" t="s">
        <v>40</v>
      </c>
      <c r="C255" s="28" t="s">
        <v>41</v>
      </c>
      <c r="D255" s="28" t="s">
        <v>14</v>
      </c>
      <c r="E255" s="28" t="s">
        <v>42</v>
      </c>
      <c r="F255" s="23" t="s">
        <v>577</v>
      </c>
      <c r="G255" s="28">
        <v>1</v>
      </c>
      <c r="H255" s="28" t="s">
        <v>35</v>
      </c>
      <c r="I255" s="28" t="s">
        <v>578</v>
      </c>
    </row>
    <row r="256" spans="1:11" s="28" customFormat="1" x14ac:dyDescent="0.3">
      <c r="A256" s="28" t="s">
        <v>543</v>
      </c>
      <c r="B256" s="28" t="s">
        <v>44</v>
      </c>
      <c r="C256" s="28" t="s">
        <v>41</v>
      </c>
      <c r="D256" s="28" t="s">
        <v>14</v>
      </c>
      <c r="E256" s="28" t="s">
        <v>45</v>
      </c>
      <c r="F256" s="23" t="s">
        <v>579</v>
      </c>
      <c r="G256" s="28">
        <v>1</v>
      </c>
      <c r="H256" s="28" t="s">
        <v>11</v>
      </c>
      <c r="I256" s="28" t="s">
        <v>11</v>
      </c>
    </row>
    <row r="257" spans="1:9" s="28" customFormat="1" x14ac:dyDescent="0.3">
      <c r="A257" s="28" t="s">
        <v>543</v>
      </c>
      <c r="B257" s="28" t="s">
        <v>44</v>
      </c>
      <c r="C257" s="28" t="s">
        <v>41</v>
      </c>
      <c r="D257" s="28" t="s">
        <v>14</v>
      </c>
      <c r="E257" s="28" t="s">
        <v>45</v>
      </c>
      <c r="F257" s="23" t="s">
        <v>580</v>
      </c>
      <c r="G257" s="28">
        <v>1</v>
      </c>
      <c r="H257" s="28" t="s">
        <v>11</v>
      </c>
      <c r="I257" s="28" t="s">
        <v>11</v>
      </c>
    </row>
    <row r="258" spans="1:9" s="28" customFormat="1" x14ac:dyDescent="0.3">
      <c r="A258" s="28" t="s">
        <v>543</v>
      </c>
      <c r="B258" s="28" t="s">
        <v>46</v>
      </c>
      <c r="C258" s="28" t="s">
        <v>39</v>
      </c>
      <c r="D258" s="28" t="s">
        <v>14</v>
      </c>
      <c r="E258" s="28" t="s">
        <v>47</v>
      </c>
      <c r="F258" s="23" t="s">
        <v>581</v>
      </c>
      <c r="G258" s="28">
        <v>1</v>
      </c>
      <c r="H258" s="28" t="s">
        <v>582</v>
      </c>
      <c r="I258" s="28" t="s">
        <v>11</v>
      </c>
    </row>
    <row r="259" spans="1:9" s="28" customFormat="1" x14ac:dyDescent="0.3">
      <c r="A259" s="28" t="s">
        <v>543</v>
      </c>
      <c r="B259" s="28" t="s">
        <v>46</v>
      </c>
      <c r="C259" s="28" t="s">
        <v>39</v>
      </c>
      <c r="D259" s="28" t="s">
        <v>14</v>
      </c>
      <c r="E259" s="28" t="s">
        <v>47</v>
      </c>
      <c r="F259" s="23" t="s">
        <v>583</v>
      </c>
      <c r="G259" s="28">
        <v>1</v>
      </c>
      <c r="H259" s="28" t="s">
        <v>584</v>
      </c>
      <c r="I259" s="28" t="s">
        <v>11</v>
      </c>
    </row>
    <row r="260" spans="1:9" s="28" customFormat="1" x14ac:dyDescent="0.3">
      <c r="A260" s="28" t="s">
        <v>543</v>
      </c>
      <c r="B260" s="28" t="s">
        <v>46</v>
      </c>
      <c r="C260" s="28" t="s">
        <v>39</v>
      </c>
      <c r="D260" s="28" t="s">
        <v>14</v>
      </c>
      <c r="E260" s="28" t="s">
        <v>47</v>
      </c>
      <c r="F260" s="23" t="s">
        <v>585</v>
      </c>
      <c r="G260" s="28">
        <v>1</v>
      </c>
      <c r="H260" s="28" t="s">
        <v>586</v>
      </c>
      <c r="I260" s="28" t="s">
        <v>11</v>
      </c>
    </row>
    <row r="261" spans="1:9" s="28" customFormat="1" x14ac:dyDescent="0.3">
      <c r="A261" s="28" t="s">
        <v>543</v>
      </c>
      <c r="B261" s="28" t="s">
        <v>46</v>
      </c>
      <c r="C261" s="28" t="s">
        <v>39</v>
      </c>
      <c r="D261" s="28" t="s">
        <v>14</v>
      </c>
      <c r="E261" s="28" t="s">
        <v>47</v>
      </c>
      <c r="F261" s="23" t="s">
        <v>587</v>
      </c>
      <c r="G261" s="28">
        <v>1</v>
      </c>
      <c r="H261" s="28" t="s">
        <v>588</v>
      </c>
      <c r="I261" s="28" t="s">
        <v>11</v>
      </c>
    </row>
    <row r="262" spans="1:9" s="28" customFormat="1" x14ac:dyDescent="0.3">
      <c r="A262" s="28" t="s">
        <v>543</v>
      </c>
      <c r="B262" s="28" t="s">
        <v>46</v>
      </c>
      <c r="C262" s="28" t="s">
        <v>39</v>
      </c>
      <c r="D262" s="28" t="s">
        <v>14</v>
      </c>
      <c r="E262" s="28" t="s">
        <v>47</v>
      </c>
      <c r="F262" s="23" t="s">
        <v>589</v>
      </c>
      <c r="G262" s="28">
        <v>1</v>
      </c>
      <c r="H262" s="28" t="s">
        <v>590</v>
      </c>
      <c r="I262" s="28" t="s">
        <v>11</v>
      </c>
    </row>
    <row r="263" spans="1:9" s="28" customFormat="1" x14ac:dyDescent="0.3">
      <c r="A263" s="28" t="s">
        <v>543</v>
      </c>
      <c r="B263" s="28" t="s">
        <v>46</v>
      </c>
      <c r="C263" s="28" t="s">
        <v>39</v>
      </c>
      <c r="D263" s="28" t="s">
        <v>14</v>
      </c>
      <c r="E263" s="28" t="s">
        <v>47</v>
      </c>
      <c r="F263" s="23" t="s">
        <v>591</v>
      </c>
      <c r="G263" s="28">
        <v>1</v>
      </c>
      <c r="H263" s="28" t="s">
        <v>592</v>
      </c>
      <c r="I263" s="28" t="s">
        <v>11</v>
      </c>
    </row>
    <row r="264" spans="1:9" s="28" customFormat="1" x14ac:dyDescent="0.3">
      <c r="A264" s="28" t="s">
        <v>543</v>
      </c>
      <c r="B264" s="28" t="s">
        <v>46</v>
      </c>
      <c r="C264" s="28" t="s">
        <v>39</v>
      </c>
      <c r="D264" s="28" t="s">
        <v>14</v>
      </c>
      <c r="E264" s="28" t="s">
        <v>47</v>
      </c>
      <c r="F264" s="23" t="s">
        <v>593</v>
      </c>
      <c r="G264" s="28">
        <v>1</v>
      </c>
      <c r="H264" s="28" t="s">
        <v>594</v>
      </c>
      <c r="I264" s="28" t="s">
        <v>11</v>
      </c>
    </row>
    <row r="265" spans="1:9" s="28" customFormat="1" x14ac:dyDescent="0.3">
      <c r="A265" s="28" t="s">
        <v>543</v>
      </c>
      <c r="B265" s="28" t="s">
        <v>46</v>
      </c>
      <c r="C265" s="28" t="s">
        <v>39</v>
      </c>
      <c r="D265" s="28" t="s">
        <v>14</v>
      </c>
      <c r="E265" s="28" t="s">
        <v>47</v>
      </c>
      <c r="F265" s="23" t="s">
        <v>595</v>
      </c>
      <c r="G265" s="28">
        <v>1</v>
      </c>
      <c r="H265" s="28" t="s">
        <v>596</v>
      </c>
      <c r="I265" s="28" t="s">
        <v>11</v>
      </c>
    </row>
    <row r="266" spans="1:9" s="28" customFormat="1" x14ac:dyDescent="0.3">
      <c r="A266" s="28" t="s">
        <v>543</v>
      </c>
      <c r="B266" s="28" t="s">
        <v>46</v>
      </c>
      <c r="C266" s="28" t="s">
        <v>39</v>
      </c>
      <c r="D266" s="28" t="s">
        <v>14</v>
      </c>
      <c r="E266" s="28" t="s">
        <v>47</v>
      </c>
      <c r="F266" s="23" t="s">
        <v>597</v>
      </c>
      <c r="G266" s="28">
        <v>1</v>
      </c>
      <c r="H266" s="28" t="s">
        <v>598</v>
      </c>
      <c r="I266" s="28" t="s">
        <v>11</v>
      </c>
    </row>
    <row r="267" spans="1:9" s="28" customFormat="1" x14ac:dyDescent="0.3">
      <c r="A267" s="28" t="s">
        <v>543</v>
      </c>
      <c r="B267" s="28" t="s">
        <v>46</v>
      </c>
      <c r="C267" s="28" t="s">
        <v>39</v>
      </c>
      <c r="D267" s="28" t="s">
        <v>14</v>
      </c>
      <c r="E267" s="28" t="s">
        <v>47</v>
      </c>
      <c r="F267" s="23" t="s">
        <v>599</v>
      </c>
      <c r="G267" s="28">
        <v>1</v>
      </c>
      <c r="H267" s="28" t="s">
        <v>600</v>
      </c>
      <c r="I267" s="28" t="s">
        <v>11</v>
      </c>
    </row>
    <row r="268" spans="1:9" s="28" customFormat="1" x14ac:dyDescent="0.3">
      <c r="A268" s="28" t="s">
        <v>543</v>
      </c>
      <c r="B268" s="28" t="s">
        <v>46</v>
      </c>
      <c r="C268" s="28" t="s">
        <v>39</v>
      </c>
      <c r="D268" s="28" t="s">
        <v>14</v>
      </c>
      <c r="E268" s="28" t="s">
        <v>47</v>
      </c>
      <c r="F268" s="23" t="s">
        <v>601</v>
      </c>
      <c r="G268" s="28">
        <v>1</v>
      </c>
      <c r="H268" s="28" t="s">
        <v>602</v>
      </c>
      <c r="I268" s="28" t="s">
        <v>11</v>
      </c>
    </row>
    <row r="269" spans="1:9" s="28" customFormat="1" x14ac:dyDescent="0.3">
      <c r="A269" s="28" t="s">
        <v>543</v>
      </c>
      <c r="B269" s="28" t="s">
        <v>46</v>
      </c>
      <c r="C269" s="28" t="s">
        <v>39</v>
      </c>
      <c r="D269" s="28" t="s">
        <v>14</v>
      </c>
      <c r="E269" s="28" t="s">
        <v>47</v>
      </c>
      <c r="F269" s="23" t="s">
        <v>603</v>
      </c>
      <c r="G269" s="28">
        <v>1</v>
      </c>
      <c r="H269" s="28" t="s">
        <v>604</v>
      </c>
      <c r="I269" s="28" t="s">
        <v>11</v>
      </c>
    </row>
    <row r="270" spans="1:9" s="28" customFormat="1" x14ac:dyDescent="0.3">
      <c r="A270" s="28" t="s">
        <v>543</v>
      </c>
      <c r="B270" s="28" t="s">
        <v>48</v>
      </c>
      <c r="C270" s="28" t="s">
        <v>18</v>
      </c>
      <c r="D270" s="28" t="s">
        <v>14</v>
      </c>
      <c r="E270" s="28" t="s">
        <v>49</v>
      </c>
      <c r="F270" s="23" t="s">
        <v>605</v>
      </c>
      <c r="G270" s="28">
        <v>1</v>
      </c>
      <c r="H270" s="28" t="s">
        <v>11</v>
      </c>
      <c r="I270" s="28" t="s">
        <v>11</v>
      </c>
    </row>
    <row r="271" spans="1:9" s="28" customFormat="1" x14ac:dyDescent="0.3">
      <c r="A271" s="28" t="s">
        <v>543</v>
      </c>
      <c r="B271" s="28" t="s">
        <v>48</v>
      </c>
      <c r="C271" s="28" t="s">
        <v>18</v>
      </c>
      <c r="D271" s="28" t="s">
        <v>14</v>
      </c>
      <c r="E271" s="28" t="s">
        <v>49</v>
      </c>
      <c r="F271" s="23" t="s">
        <v>606</v>
      </c>
      <c r="G271" s="28">
        <v>1</v>
      </c>
      <c r="H271" s="28" t="s">
        <v>11</v>
      </c>
      <c r="I271" s="28" t="s">
        <v>11</v>
      </c>
    </row>
    <row r="272" spans="1:9" s="28" customFormat="1" x14ac:dyDescent="0.3">
      <c r="A272" s="28" t="s">
        <v>543</v>
      </c>
      <c r="B272" s="28" t="s">
        <v>48</v>
      </c>
      <c r="C272" s="28" t="s">
        <v>18</v>
      </c>
      <c r="D272" s="28" t="s">
        <v>14</v>
      </c>
      <c r="E272" s="28" t="s">
        <v>49</v>
      </c>
      <c r="F272" s="23" t="s">
        <v>607</v>
      </c>
      <c r="G272" s="28">
        <v>1</v>
      </c>
      <c r="H272" s="28" t="s">
        <v>11</v>
      </c>
      <c r="I272" s="28" t="s">
        <v>11</v>
      </c>
    </row>
    <row r="273" spans="1:9" s="28" customFormat="1" x14ac:dyDescent="0.3">
      <c r="A273" s="28" t="s">
        <v>543</v>
      </c>
      <c r="B273" s="28" t="s">
        <v>48</v>
      </c>
      <c r="C273" s="28" t="s">
        <v>18</v>
      </c>
      <c r="D273" s="28" t="s">
        <v>14</v>
      </c>
      <c r="E273" s="28" t="s">
        <v>49</v>
      </c>
      <c r="F273" s="23" t="s">
        <v>608</v>
      </c>
      <c r="G273" s="28">
        <v>1</v>
      </c>
      <c r="H273" s="28" t="s">
        <v>11</v>
      </c>
      <c r="I273" s="28" t="s">
        <v>11</v>
      </c>
    </row>
    <row r="274" spans="1:9" s="28" customFormat="1" x14ac:dyDescent="0.3">
      <c r="A274" s="28" t="s">
        <v>543</v>
      </c>
      <c r="B274" s="28" t="s">
        <v>48</v>
      </c>
      <c r="C274" s="28" t="s">
        <v>18</v>
      </c>
      <c r="D274" s="28" t="s">
        <v>14</v>
      </c>
      <c r="E274" s="28" t="s">
        <v>49</v>
      </c>
      <c r="F274" s="23" t="s">
        <v>609</v>
      </c>
      <c r="G274" s="28">
        <v>1</v>
      </c>
      <c r="H274" s="28" t="s">
        <v>11</v>
      </c>
      <c r="I274" s="28" t="s">
        <v>11</v>
      </c>
    </row>
    <row r="275" spans="1:9" s="28" customFormat="1" x14ac:dyDescent="0.3">
      <c r="A275" s="28" t="s">
        <v>543</v>
      </c>
      <c r="B275" s="28" t="s">
        <v>48</v>
      </c>
      <c r="C275" s="28" t="s">
        <v>18</v>
      </c>
      <c r="D275" s="28" t="s">
        <v>14</v>
      </c>
      <c r="E275" s="28" t="s">
        <v>49</v>
      </c>
      <c r="F275" s="23" t="s">
        <v>610</v>
      </c>
      <c r="G275" s="28">
        <v>1</v>
      </c>
      <c r="H275" s="28" t="s">
        <v>11</v>
      </c>
      <c r="I275" s="28" t="s">
        <v>11</v>
      </c>
    </row>
    <row r="276" spans="1:9" s="28" customFormat="1" x14ac:dyDescent="0.3">
      <c r="A276" s="28" t="s">
        <v>543</v>
      </c>
      <c r="B276" s="28" t="s">
        <v>48</v>
      </c>
      <c r="C276" s="28" t="s">
        <v>18</v>
      </c>
      <c r="D276" s="28" t="s">
        <v>14</v>
      </c>
      <c r="E276" s="28" t="s">
        <v>49</v>
      </c>
      <c r="F276" s="23" t="s">
        <v>611</v>
      </c>
      <c r="G276" s="28">
        <v>1</v>
      </c>
      <c r="H276" s="28" t="s">
        <v>11</v>
      </c>
      <c r="I276" s="28" t="s">
        <v>11</v>
      </c>
    </row>
    <row r="277" spans="1:9" s="28" customFormat="1" x14ac:dyDescent="0.3">
      <c r="A277" s="28" t="s">
        <v>543</v>
      </c>
      <c r="B277" s="28" t="s">
        <v>48</v>
      </c>
      <c r="C277" s="28" t="s">
        <v>18</v>
      </c>
      <c r="D277" s="28" t="s">
        <v>14</v>
      </c>
      <c r="E277" s="28" t="s">
        <v>49</v>
      </c>
      <c r="F277" s="23" t="s">
        <v>612</v>
      </c>
      <c r="G277" s="28">
        <v>1</v>
      </c>
      <c r="H277" s="28" t="s">
        <v>11</v>
      </c>
      <c r="I277" s="28" t="s">
        <v>11</v>
      </c>
    </row>
    <row r="278" spans="1:9" s="28" customFormat="1" x14ac:dyDescent="0.3">
      <c r="A278" s="28" t="s">
        <v>543</v>
      </c>
      <c r="B278" s="28" t="s">
        <v>50</v>
      </c>
      <c r="C278" s="28" t="s">
        <v>10</v>
      </c>
      <c r="D278" s="28" t="s">
        <v>11</v>
      </c>
      <c r="E278" s="28" t="s">
        <v>11</v>
      </c>
      <c r="F278" s="23" t="s">
        <v>11</v>
      </c>
      <c r="G278" s="28">
        <v>1</v>
      </c>
      <c r="H278" s="28" t="s">
        <v>50</v>
      </c>
      <c r="I278" s="28" t="s">
        <v>11</v>
      </c>
    </row>
    <row r="279" spans="1:9" s="28" customFormat="1" x14ac:dyDescent="0.3">
      <c r="A279" s="28" t="s">
        <v>543</v>
      </c>
      <c r="B279" s="28" t="s">
        <v>51</v>
      </c>
      <c r="C279" s="28" t="s">
        <v>52</v>
      </c>
      <c r="D279" s="28" t="s">
        <v>53</v>
      </c>
      <c r="E279" s="28" t="s">
        <v>54</v>
      </c>
      <c r="F279" s="23" t="s">
        <v>613</v>
      </c>
      <c r="G279" s="28">
        <v>1</v>
      </c>
      <c r="H279" s="28" t="s">
        <v>50</v>
      </c>
      <c r="I279" s="28" t="s">
        <v>614</v>
      </c>
    </row>
    <row r="280" spans="1:9" s="28" customFormat="1" x14ac:dyDescent="0.3">
      <c r="A280" s="28" t="s">
        <v>543</v>
      </c>
      <c r="B280" s="28" t="s">
        <v>56</v>
      </c>
      <c r="C280" s="28" t="s">
        <v>57</v>
      </c>
      <c r="D280" s="28" t="s">
        <v>14</v>
      </c>
      <c r="E280" s="28" t="s">
        <v>58</v>
      </c>
      <c r="F280" s="23" t="s">
        <v>615</v>
      </c>
      <c r="G280" s="28">
        <v>1</v>
      </c>
      <c r="H280" s="28" t="s">
        <v>50</v>
      </c>
      <c r="I280" s="28" t="s">
        <v>616</v>
      </c>
    </row>
    <row r="281" spans="1:9" s="28" customFormat="1" x14ac:dyDescent="0.3">
      <c r="A281" s="28" t="s">
        <v>543</v>
      </c>
      <c r="B281" s="28" t="s">
        <v>617</v>
      </c>
      <c r="C281" s="28" t="s">
        <v>61</v>
      </c>
      <c r="D281" s="28" t="s">
        <v>11</v>
      </c>
      <c r="E281" s="28" t="s">
        <v>11</v>
      </c>
      <c r="F281" s="23" t="s">
        <v>11</v>
      </c>
      <c r="G281" s="28">
        <v>1</v>
      </c>
      <c r="H281" s="28" t="s">
        <v>617</v>
      </c>
      <c r="I281" s="28" t="s">
        <v>11</v>
      </c>
    </row>
    <row r="282" spans="1:9" s="28" customFormat="1" x14ac:dyDescent="0.3">
      <c r="A282" s="28" t="s">
        <v>543</v>
      </c>
      <c r="B282" s="28" t="s">
        <v>378</v>
      </c>
      <c r="C282" s="28" t="s">
        <v>379</v>
      </c>
      <c r="D282" s="28" t="s">
        <v>380</v>
      </c>
      <c r="E282" s="28" t="s">
        <v>381</v>
      </c>
      <c r="F282" s="23" t="s">
        <v>618</v>
      </c>
      <c r="H282" s="28" t="s">
        <v>11</v>
      </c>
      <c r="I282" s="28" t="s">
        <v>11</v>
      </c>
    </row>
    <row r="283" spans="1:9" s="28" customFormat="1" x14ac:dyDescent="0.3">
      <c r="A283" s="28" t="s">
        <v>543</v>
      </c>
      <c r="B283" s="28" t="s">
        <v>383</v>
      </c>
      <c r="C283" s="28" t="s">
        <v>384</v>
      </c>
      <c r="D283" s="28" t="s">
        <v>380</v>
      </c>
      <c r="E283" s="28" t="s">
        <v>385</v>
      </c>
      <c r="F283" s="23" t="s">
        <v>619</v>
      </c>
      <c r="H283" s="28" t="s">
        <v>11</v>
      </c>
      <c r="I283" s="28" t="s">
        <v>11</v>
      </c>
    </row>
    <row r="284" spans="1:9" s="28" customFormat="1" x14ac:dyDescent="0.3">
      <c r="A284" s="28" t="s">
        <v>543</v>
      </c>
      <c r="B284" s="28" t="s">
        <v>387</v>
      </c>
      <c r="C284" s="28" t="s">
        <v>388</v>
      </c>
      <c r="D284" s="28" t="s">
        <v>380</v>
      </c>
      <c r="E284" s="28" t="s">
        <v>388</v>
      </c>
      <c r="F284" s="23" t="s">
        <v>389</v>
      </c>
      <c r="G284" s="28">
        <v>1</v>
      </c>
      <c r="H284" s="28" t="s">
        <v>11</v>
      </c>
      <c r="I284" s="28" t="s">
        <v>11</v>
      </c>
    </row>
    <row r="285" spans="1:9" s="28" customFormat="1" x14ac:dyDescent="0.3">
      <c r="A285" s="28" t="s">
        <v>543</v>
      </c>
      <c r="B285" s="28" t="s">
        <v>387</v>
      </c>
      <c r="C285" s="28" t="s">
        <v>388</v>
      </c>
      <c r="D285" s="28" t="s">
        <v>380</v>
      </c>
      <c r="E285" s="28" t="s">
        <v>388</v>
      </c>
      <c r="F285" s="23" t="s">
        <v>389</v>
      </c>
      <c r="G285" s="28">
        <v>1</v>
      </c>
      <c r="H285" s="28" t="s">
        <v>11</v>
      </c>
      <c r="I285" s="28" t="s">
        <v>11</v>
      </c>
    </row>
    <row r="286" spans="1:9" s="28" customFormat="1" x14ac:dyDescent="0.3">
      <c r="A286" s="28" t="s">
        <v>543</v>
      </c>
      <c r="B286" s="28" t="s">
        <v>62</v>
      </c>
      <c r="C286" s="28" t="s">
        <v>63</v>
      </c>
      <c r="D286" s="28" t="s">
        <v>64</v>
      </c>
      <c r="E286" s="28" t="s">
        <v>65</v>
      </c>
      <c r="F286" s="23" t="s">
        <v>620</v>
      </c>
      <c r="G286" s="28">
        <v>1</v>
      </c>
      <c r="H286" s="28" t="s">
        <v>621</v>
      </c>
      <c r="I286" s="28" t="s">
        <v>622</v>
      </c>
    </row>
    <row r="287" spans="1:9" s="28" customFormat="1" x14ac:dyDescent="0.3">
      <c r="A287" s="28" t="s">
        <v>543</v>
      </c>
      <c r="B287" s="28" t="s">
        <v>393</v>
      </c>
      <c r="C287" s="28" t="s">
        <v>394</v>
      </c>
      <c r="D287" s="28" t="s">
        <v>380</v>
      </c>
      <c r="E287" s="28" t="s">
        <v>395</v>
      </c>
      <c r="F287" s="23" t="s">
        <v>1080</v>
      </c>
      <c r="G287" s="28">
        <v>1</v>
      </c>
      <c r="H287" s="28" t="s">
        <v>622</v>
      </c>
      <c r="I287" s="28" t="s">
        <v>11</v>
      </c>
    </row>
    <row r="288" spans="1:9" s="28" customFormat="1" x14ac:dyDescent="0.3">
      <c r="A288" s="28" t="s">
        <v>543</v>
      </c>
      <c r="B288" s="28" t="s">
        <v>623</v>
      </c>
      <c r="C288" s="28" t="s">
        <v>624</v>
      </c>
      <c r="D288" s="28" t="s">
        <v>380</v>
      </c>
      <c r="E288" s="28" t="s">
        <v>625</v>
      </c>
      <c r="F288" s="23" t="s">
        <v>1079</v>
      </c>
      <c r="G288" s="28">
        <v>1</v>
      </c>
      <c r="H288" s="28" t="s">
        <v>622</v>
      </c>
      <c r="I288" s="28" t="s">
        <v>11</v>
      </c>
    </row>
    <row r="289" spans="1:9" s="28" customFormat="1" x14ac:dyDescent="0.3">
      <c r="A289" s="28" t="s">
        <v>543</v>
      </c>
      <c r="B289" s="28" t="s">
        <v>396</v>
      </c>
      <c r="C289" s="28" t="s">
        <v>397</v>
      </c>
      <c r="D289" s="28" t="s">
        <v>64</v>
      </c>
      <c r="E289" s="28" t="s">
        <v>398</v>
      </c>
      <c r="F289" s="23" t="s">
        <v>626</v>
      </c>
      <c r="G289" s="28">
        <v>1</v>
      </c>
      <c r="H289" s="28" t="s">
        <v>622</v>
      </c>
      <c r="I289" s="28" t="s">
        <v>11</v>
      </c>
    </row>
    <row r="290" spans="1:9" s="28" customFormat="1" x14ac:dyDescent="0.3">
      <c r="A290" s="28" t="s">
        <v>543</v>
      </c>
      <c r="B290" s="28" t="s">
        <v>400</v>
      </c>
      <c r="C290" s="28" t="s">
        <v>401</v>
      </c>
      <c r="D290" s="28" t="s">
        <v>64</v>
      </c>
      <c r="E290" s="28" t="s">
        <v>402</v>
      </c>
      <c r="F290" s="23" t="s">
        <v>389</v>
      </c>
      <c r="G290" s="28">
        <v>1</v>
      </c>
      <c r="H290" s="28" t="s">
        <v>622</v>
      </c>
      <c r="I290" s="28" t="s">
        <v>11</v>
      </c>
    </row>
    <row r="291" spans="1:9" s="28" customFormat="1" x14ac:dyDescent="0.3">
      <c r="A291" s="28" t="s">
        <v>543</v>
      </c>
      <c r="B291" s="28" t="s">
        <v>407</v>
      </c>
      <c r="C291" s="28" t="s">
        <v>408</v>
      </c>
      <c r="D291" s="28" t="s">
        <v>64</v>
      </c>
      <c r="E291" s="28" t="s">
        <v>409</v>
      </c>
      <c r="F291" s="23" t="s">
        <v>627</v>
      </c>
      <c r="G291" s="28">
        <v>1</v>
      </c>
      <c r="H291" s="28" t="s">
        <v>622</v>
      </c>
      <c r="I291" s="28" t="s">
        <v>11</v>
      </c>
    </row>
    <row r="292" spans="1:9" s="28" customFormat="1" x14ac:dyDescent="0.3">
      <c r="A292" s="28" t="s">
        <v>543</v>
      </c>
      <c r="B292" s="28" t="s">
        <v>67</v>
      </c>
      <c r="C292" s="28" t="s">
        <v>68</v>
      </c>
      <c r="D292" s="28" t="s">
        <v>64</v>
      </c>
      <c r="E292" s="28" t="s">
        <v>69</v>
      </c>
      <c r="F292" s="23" t="s">
        <v>628</v>
      </c>
      <c r="G292" s="28">
        <v>1</v>
      </c>
      <c r="H292" s="28" t="s">
        <v>622</v>
      </c>
      <c r="I292" s="28" t="s">
        <v>629</v>
      </c>
    </row>
    <row r="293" spans="1:9" s="28" customFormat="1" x14ac:dyDescent="0.3">
      <c r="A293" s="28" t="s">
        <v>543</v>
      </c>
      <c r="B293" s="28" t="s">
        <v>67</v>
      </c>
      <c r="C293" s="28" t="s">
        <v>68</v>
      </c>
      <c r="D293" s="28" t="s">
        <v>64</v>
      </c>
      <c r="E293" s="28" t="s">
        <v>69</v>
      </c>
      <c r="F293" s="23" t="s">
        <v>630</v>
      </c>
      <c r="G293" s="28">
        <v>1</v>
      </c>
      <c r="H293" s="28" t="s">
        <v>622</v>
      </c>
      <c r="I293" s="28" t="s">
        <v>631</v>
      </c>
    </row>
    <row r="294" spans="1:9" s="28" customFormat="1" x14ac:dyDescent="0.3">
      <c r="A294" s="28" t="s">
        <v>543</v>
      </c>
      <c r="B294" s="28" t="s">
        <v>632</v>
      </c>
      <c r="C294" s="28" t="s">
        <v>633</v>
      </c>
      <c r="D294" s="28" t="s">
        <v>64</v>
      </c>
      <c r="E294" s="28" t="s">
        <v>385</v>
      </c>
      <c r="F294" s="23" t="s">
        <v>634</v>
      </c>
      <c r="H294" s="28" t="s">
        <v>622</v>
      </c>
      <c r="I294" s="28" t="s">
        <v>11</v>
      </c>
    </row>
    <row r="295" spans="1:9" s="28" customFormat="1" x14ac:dyDescent="0.3">
      <c r="A295" s="28" t="s">
        <v>543</v>
      </c>
      <c r="B295" s="28" t="s">
        <v>632</v>
      </c>
      <c r="C295" s="28" t="s">
        <v>633</v>
      </c>
      <c r="D295" s="28" t="s">
        <v>64</v>
      </c>
      <c r="E295" s="28" t="s">
        <v>385</v>
      </c>
      <c r="F295" s="23" t="s">
        <v>635</v>
      </c>
      <c r="H295" s="28" t="s">
        <v>622</v>
      </c>
      <c r="I295" s="28" t="s">
        <v>11</v>
      </c>
    </row>
    <row r="296" spans="1:9" s="28" customFormat="1" x14ac:dyDescent="0.3">
      <c r="A296" s="28" t="s">
        <v>543</v>
      </c>
      <c r="B296" s="28" t="s">
        <v>62</v>
      </c>
      <c r="C296" s="28" t="s">
        <v>63</v>
      </c>
      <c r="D296" s="28" t="s">
        <v>64</v>
      </c>
      <c r="E296" s="28" t="s">
        <v>65</v>
      </c>
      <c r="F296" s="23" t="s">
        <v>636</v>
      </c>
      <c r="G296" s="28">
        <v>1</v>
      </c>
      <c r="H296" s="28" t="s">
        <v>417</v>
      </c>
      <c r="I296" s="28" t="s">
        <v>637</v>
      </c>
    </row>
    <row r="297" spans="1:9" s="28" customFormat="1" x14ac:dyDescent="0.3">
      <c r="A297" s="28" t="s">
        <v>543</v>
      </c>
      <c r="B297" s="28" t="s">
        <v>393</v>
      </c>
      <c r="C297" s="28" t="s">
        <v>394</v>
      </c>
      <c r="D297" s="28" t="s">
        <v>380</v>
      </c>
      <c r="E297" s="28" t="s">
        <v>395</v>
      </c>
      <c r="F297" s="23" t="s">
        <v>1078</v>
      </c>
      <c r="G297" s="28">
        <v>1</v>
      </c>
      <c r="H297" s="28" t="s">
        <v>637</v>
      </c>
      <c r="I297" s="28" t="s">
        <v>11</v>
      </c>
    </row>
    <row r="298" spans="1:9" s="28" customFormat="1" x14ac:dyDescent="0.3">
      <c r="A298" s="28" t="s">
        <v>543</v>
      </c>
      <c r="B298" s="28" t="s">
        <v>396</v>
      </c>
      <c r="C298" s="28" t="s">
        <v>397</v>
      </c>
      <c r="D298" s="28" t="s">
        <v>64</v>
      </c>
      <c r="E298" s="28" t="s">
        <v>398</v>
      </c>
      <c r="F298" s="23" t="s">
        <v>638</v>
      </c>
      <c r="G298" s="28">
        <v>1</v>
      </c>
      <c r="H298" s="28" t="s">
        <v>637</v>
      </c>
      <c r="I298" s="28" t="s">
        <v>11</v>
      </c>
    </row>
    <row r="299" spans="1:9" s="28" customFormat="1" x14ac:dyDescent="0.3">
      <c r="A299" s="28" t="s">
        <v>543</v>
      </c>
      <c r="B299" s="28" t="s">
        <v>400</v>
      </c>
      <c r="C299" s="28" t="s">
        <v>401</v>
      </c>
      <c r="D299" s="28" t="s">
        <v>64</v>
      </c>
      <c r="E299" s="28" t="s">
        <v>402</v>
      </c>
      <c r="F299" s="23" t="s">
        <v>389</v>
      </c>
      <c r="G299" s="28">
        <v>1</v>
      </c>
      <c r="H299" s="28" t="s">
        <v>637</v>
      </c>
      <c r="I299" s="28" t="s">
        <v>11</v>
      </c>
    </row>
    <row r="300" spans="1:9" s="28" customFormat="1" x14ac:dyDescent="0.3">
      <c r="A300" s="28" t="s">
        <v>543</v>
      </c>
      <c r="B300" s="28" t="s">
        <v>403</v>
      </c>
      <c r="C300" s="28" t="s">
        <v>404</v>
      </c>
      <c r="D300" s="28" t="s">
        <v>64</v>
      </c>
      <c r="E300" s="28" t="s">
        <v>405</v>
      </c>
      <c r="F300" s="23" t="s">
        <v>639</v>
      </c>
      <c r="G300" s="28">
        <v>1</v>
      </c>
      <c r="H300" s="28" t="s">
        <v>637</v>
      </c>
      <c r="I300" s="28" t="s">
        <v>11</v>
      </c>
    </row>
    <row r="301" spans="1:9" s="28" customFormat="1" x14ac:dyDescent="0.3">
      <c r="A301" s="28" t="s">
        <v>543</v>
      </c>
      <c r="B301" s="28" t="s">
        <v>407</v>
      </c>
      <c r="C301" s="28" t="s">
        <v>408</v>
      </c>
      <c r="D301" s="28" t="s">
        <v>64</v>
      </c>
      <c r="E301" s="28" t="s">
        <v>409</v>
      </c>
      <c r="F301" s="23" t="s">
        <v>640</v>
      </c>
      <c r="G301" s="28">
        <v>1</v>
      </c>
      <c r="H301" s="28" t="s">
        <v>637</v>
      </c>
      <c r="I301" s="28" t="s">
        <v>11</v>
      </c>
    </row>
    <row r="302" spans="1:9" s="28" customFormat="1" x14ac:dyDescent="0.3">
      <c r="A302" s="28" t="s">
        <v>543</v>
      </c>
      <c r="B302" s="28" t="s">
        <v>67</v>
      </c>
      <c r="C302" s="28" t="s">
        <v>68</v>
      </c>
      <c r="D302" s="28" t="s">
        <v>64</v>
      </c>
      <c r="E302" s="28" t="s">
        <v>69</v>
      </c>
      <c r="F302" s="23" t="s">
        <v>641</v>
      </c>
      <c r="G302" s="28">
        <v>1</v>
      </c>
      <c r="H302" s="28" t="s">
        <v>637</v>
      </c>
      <c r="I302" s="28" t="s">
        <v>642</v>
      </c>
    </row>
    <row r="303" spans="1:9" s="28" customFormat="1" x14ac:dyDescent="0.3">
      <c r="A303" s="28" t="s">
        <v>543</v>
      </c>
      <c r="B303" s="28" t="s">
        <v>67</v>
      </c>
      <c r="C303" s="28" t="s">
        <v>68</v>
      </c>
      <c r="D303" s="28" t="s">
        <v>64</v>
      </c>
      <c r="E303" s="28" t="s">
        <v>69</v>
      </c>
      <c r="F303" s="23" t="s">
        <v>643</v>
      </c>
      <c r="G303" s="28">
        <v>1</v>
      </c>
      <c r="H303" s="28" t="s">
        <v>637</v>
      </c>
      <c r="I303" s="28" t="s">
        <v>644</v>
      </c>
    </row>
    <row r="304" spans="1:9" s="28" customFormat="1" x14ac:dyDescent="0.3">
      <c r="A304" s="28" t="s">
        <v>543</v>
      </c>
      <c r="B304" s="28" t="s">
        <v>645</v>
      </c>
      <c r="C304" s="28" t="s">
        <v>76</v>
      </c>
      <c r="D304" s="28" t="s">
        <v>11</v>
      </c>
      <c r="E304" s="28" t="s">
        <v>11</v>
      </c>
      <c r="F304" s="23" t="s">
        <v>11</v>
      </c>
      <c r="G304" s="28">
        <v>1</v>
      </c>
      <c r="H304" s="28" t="s">
        <v>645</v>
      </c>
      <c r="I304" s="28" t="s">
        <v>11</v>
      </c>
    </row>
    <row r="305" spans="1:9" s="28" customFormat="1" x14ac:dyDescent="0.3">
      <c r="A305" s="28" t="s">
        <v>543</v>
      </c>
      <c r="B305" s="28" t="s">
        <v>62</v>
      </c>
      <c r="C305" s="28" t="s">
        <v>63</v>
      </c>
      <c r="D305" s="28" t="s">
        <v>64</v>
      </c>
      <c r="E305" s="28" t="s">
        <v>65</v>
      </c>
      <c r="F305" s="23" t="s">
        <v>646</v>
      </c>
      <c r="G305" s="28">
        <v>1</v>
      </c>
      <c r="H305" s="28" t="s">
        <v>417</v>
      </c>
      <c r="I305" s="28" t="s">
        <v>647</v>
      </c>
    </row>
    <row r="306" spans="1:9" s="28" customFormat="1" x14ac:dyDescent="0.3">
      <c r="A306" s="28" t="s">
        <v>543</v>
      </c>
      <c r="B306" s="28" t="s">
        <v>393</v>
      </c>
      <c r="C306" s="28" t="s">
        <v>394</v>
      </c>
      <c r="D306" s="28" t="s">
        <v>380</v>
      </c>
      <c r="E306" s="28" t="s">
        <v>395</v>
      </c>
      <c r="F306" s="23" t="s">
        <v>1076</v>
      </c>
      <c r="G306" s="28">
        <v>1</v>
      </c>
      <c r="H306" s="28" t="s">
        <v>647</v>
      </c>
      <c r="I306" s="28" t="s">
        <v>11</v>
      </c>
    </row>
    <row r="307" spans="1:9" s="28" customFormat="1" x14ac:dyDescent="0.3">
      <c r="A307" s="28" t="s">
        <v>543</v>
      </c>
      <c r="B307" s="28" t="s">
        <v>396</v>
      </c>
      <c r="C307" s="28" t="s">
        <v>397</v>
      </c>
      <c r="D307" s="28" t="s">
        <v>64</v>
      </c>
      <c r="E307" s="28" t="s">
        <v>398</v>
      </c>
      <c r="F307" s="23" t="s">
        <v>648</v>
      </c>
      <c r="G307" s="28">
        <v>1</v>
      </c>
      <c r="H307" s="28" t="s">
        <v>647</v>
      </c>
      <c r="I307" s="28" t="s">
        <v>11</v>
      </c>
    </row>
    <row r="308" spans="1:9" s="28" customFormat="1" x14ac:dyDescent="0.3">
      <c r="A308" s="28" t="s">
        <v>543</v>
      </c>
      <c r="B308" s="28" t="s">
        <v>400</v>
      </c>
      <c r="C308" s="28" t="s">
        <v>401</v>
      </c>
      <c r="D308" s="28" t="s">
        <v>64</v>
      </c>
      <c r="E308" s="28" t="s">
        <v>402</v>
      </c>
      <c r="F308" s="23" t="s">
        <v>389</v>
      </c>
      <c r="G308" s="28">
        <v>1</v>
      </c>
      <c r="H308" s="28" t="s">
        <v>647</v>
      </c>
      <c r="I308" s="28" t="s">
        <v>11</v>
      </c>
    </row>
    <row r="309" spans="1:9" s="28" customFormat="1" x14ac:dyDescent="0.3">
      <c r="A309" s="28" t="s">
        <v>543</v>
      </c>
      <c r="B309" s="28" t="s">
        <v>403</v>
      </c>
      <c r="C309" s="28" t="s">
        <v>404</v>
      </c>
      <c r="D309" s="28" t="s">
        <v>64</v>
      </c>
      <c r="E309" s="28" t="s">
        <v>405</v>
      </c>
      <c r="F309" s="23" t="s">
        <v>649</v>
      </c>
      <c r="G309" s="28">
        <v>1</v>
      </c>
      <c r="H309" s="28" t="s">
        <v>647</v>
      </c>
      <c r="I309" s="28" t="s">
        <v>11</v>
      </c>
    </row>
    <row r="310" spans="1:9" s="28" customFormat="1" x14ac:dyDescent="0.3">
      <c r="A310" s="28" t="s">
        <v>543</v>
      </c>
      <c r="B310" s="28" t="s">
        <v>407</v>
      </c>
      <c r="C310" s="28" t="s">
        <v>408</v>
      </c>
      <c r="D310" s="28" t="s">
        <v>64</v>
      </c>
      <c r="E310" s="28" t="s">
        <v>409</v>
      </c>
      <c r="F310" s="23" t="s">
        <v>650</v>
      </c>
      <c r="G310" s="28">
        <v>1</v>
      </c>
      <c r="H310" s="28" t="s">
        <v>647</v>
      </c>
      <c r="I310" s="28" t="s">
        <v>11</v>
      </c>
    </row>
    <row r="311" spans="1:9" s="28" customFormat="1" x14ac:dyDescent="0.3">
      <c r="A311" s="28" t="s">
        <v>543</v>
      </c>
      <c r="B311" s="28" t="s">
        <v>67</v>
      </c>
      <c r="C311" s="28" t="s">
        <v>68</v>
      </c>
      <c r="D311" s="28" t="s">
        <v>64</v>
      </c>
      <c r="E311" s="28" t="s">
        <v>69</v>
      </c>
      <c r="F311" s="23" t="s">
        <v>651</v>
      </c>
      <c r="G311" s="28">
        <v>1</v>
      </c>
      <c r="H311" s="28" t="s">
        <v>647</v>
      </c>
      <c r="I311" s="28" t="s">
        <v>652</v>
      </c>
    </row>
    <row r="312" spans="1:9" s="28" customFormat="1" x14ac:dyDescent="0.3">
      <c r="A312" s="28" t="s">
        <v>543</v>
      </c>
      <c r="B312" s="28" t="s">
        <v>67</v>
      </c>
      <c r="C312" s="28" t="s">
        <v>68</v>
      </c>
      <c r="D312" s="28" t="s">
        <v>64</v>
      </c>
      <c r="E312" s="28" t="s">
        <v>69</v>
      </c>
      <c r="F312" s="23" t="s">
        <v>653</v>
      </c>
      <c r="G312" s="28">
        <v>1</v>
      </c>
      <c r="H312" s="28" t="s">
        <v>647</v>
      </c>
      <c r="I312" s="28" t="s">
        <v>654</v>
      </c>
    </row>
    <row r="313" spans="1:9" s="28" customFormat="1" x14ac:dyDescent="0.3">
      <c r="A313" s="28" t="s">
        <v>543</v>
      </c>
      <c r="B313" s="28" t="s">
        <v>62</v>
      </c>
      <c r="C313" s="28" t="s">
        <v>63</v>
      </c>
      <c r="D313" s="28" t="s">
        <v>64</v>
      </c>
      <c r="E313" s="28" t="s">
        <v>65</v>
      </c>
      <c r="F313" s="23" t="s">
        <v>655</v>
      </c>
      <c r="G313" s="28">
        <v>1</v>
      </c>
      <c r="H313" s="28" t="s">
        <v>11</v>
      </c>
      <c r="I313" s="28" t="s">
        <v>656</v>
      </c>
    </row>
    <row r="314" spans="1:9" s="28" customFormat="1" x14ac:dyDescent="0.3">
      <c r="A314" s="28" t="s">
        <v>543</v>
      </c>
      <c r="B314" s="28" t="s">
        <v>393</v>
      </c>
      <c r="C314" s="28" t="s">
        <v>394</v>
      </c>
      <c r="D314" s="28" t="s">
        <v>380</v>
      </c>
      <c r="E314" s="28" t="s">
        <v>395</v>
      </c>
      <c r="F314" s="23" t="s">
        <v>1075</v>
      </c>
      <c r="G314" s="28">
        <v>1</v>
      </c>
      <c r="H314" s="28" t="s">
        <v>656</v>
      </c>
      <c r="I314" s="28" t="s">
        <v>11</v>
      </c>
    </row>
    <row r="315" spans="1:9" s="28" customFormat="1" x14ac:dyDescent="0.3">
      <c r="A315" s="28" t="s">
        <v>543</v>
      </c>
      <c r="B315" s="28" t="s">
        <v>396</v>
      </c>
      <c r="C315" s="28" t="s">
        <v>397</v>
      </c>
      <c r="D315" s="28" t="s">
        <v>64</v>
      </c>
      <c r="E315" s="28" t="s">
        <v>398</v>
      </c>
      <c r="F315" s="23" t="s">
        <v>657</v>
      </c>
      <c r="G315" s="28">
        <v>1</v>
      </c>
      <c r="H315" s="28" t="s">
        <v>656</v>
      </c>
      <c r="I315" s="28" t="s">
        <v>11</v>
      </c>
    </row>
    <row r="316" spans="1:9" s="28" customFormat="1" x14ac:dyDescent="0.3">
      <c r="A316" s="28" t="s">
        <v>543</v>
      </c>
      <c r="B316" s="28" t="s">
        <v>400</v>
      </c>
      <c r="C316" s="28" t="s">
        <v>401</v>
      </c>
      <c r="D316" s="28" t="s">
        <v>64</v>
      </c>
      <c r="E316" s="28" t="s">
        <v>402</v>
      </c>
      <c r="F316" s="23" t="s">
        <v>389</v>
      </c>
      <c r="G316" s="28">
        <v>1</v>
      </c>
      <c r="H316" s="28" t="s">
        <v>656</v>
      </c>
      <c r="I316" s="28" t="s">
        <v>11</v>
      </c>
    </row>
    <row r="317" spans="1:9" s="28" customFormat="1" x14ac:dyDescent="0.3">
      <c r="A317" s="28" t="s">
        <v>543</v>
      </c>
      <c r="B317" s="28" t="s">
        <v>403</v>
      </c>
      <c r="C317" s="28" t="s">
        <v>404</v>
      </c>
      <c r="D317" s="28" t="s">
        <v>64</v>
      </c>
      <c r="E317" s="28" t="s">
        <v>405</v>
      </c>
      <c r="F317" s="23" t="s">
        <v>658</v>
      </c>
      <c r="G317" s="28">
        <v>1</v>
      </c>
      <c r="H317" s="28" t="s">
        <v>656</v>
      </c>
      <c r="I317" s="28" t="s">
        <v>11</v>
      </c>
    </row>
    <row r="318" spans="1:9" s="28" customFormat="1" x14ac:dyDescent="0.3">
      <c r="A318" s="28" t="s">
        <v>543</v>
      </c>
      <c r="B318" s="28" t="s">
        <v>407</v>
      </c>
      <c r="C318" s="28" t="s">
        <v>408</v>
      </c>
      <c r="D318" s="28" t="s">
        <v>64</v>
      </c>
      <c r="E318" s="28" t="s">
        <v>409</v>
      </c>
      <c r="F318" s="23" t="s">
        <v>659</v>
      </c>
      <c r="G318" s="28">
        <v>1</v>
      </c>
      <c r="H318" s="28" t="s">
        <v>656</v>
      </c>
      <c r="I318" s="28" t="s">
        <v>11</v>
      </c>
    </row>
    <row r="319" spans="1:9" s="28" customFormat="1" x14ac:dyDescent="0.3">
      <c r="A319" s="28" t="s">
        <v>543</v>
      </c>
      <c r="B319" s="28" t="s">
        <v>67</v>
      </c>
      <c r="C319" s="28" t="s">
        <v>68</v>
      </c>
      <c r="D319" s="28" t="s">
        <v>64</v>
      </c>
      <c r="E319" s="28" t="s">
        <v>69</v>
      </c>
      <c r="F319" s="23" t="s">
        <v>660</v>
      </c>
      <c r="G319" s="28">
        <v>1</v>
      </c>
      <c r="H319" s="28" t="s">
        <v>656</v>
      </c>
      <c r="I319" s="28" t="s">
        <v>661</v>
      </c>
    </row>
    <row r="320" spans="1:9" s="28" customFormat="1" x14ac:dyDescent="0.3">
      <c r="A320" s="28" t="s">
        <v>543</v>
      </c>
      <c r="B320" s="28" t="s">
        <v>67</v>
      </c>
      <c r="C320" s="28" t="s">
        <v>68</v>
      </c>
      <c r="D320" s="28" t="s">
        <v>64</v>
      </c>
      <c r="E320" s="28" t="s">
        <v>69</v>
      </c>
      <c r="F320" s="23" t="s">
        <v>662</v>
      </c>
      <c r="G320" s="28">
        <v>1</v>
      </c>
      <c r="H320" s="28" t="s">
        <v>656</v>
      </c>
      <c r="I320" s="28" t="s">
        <v>663</v>
      </c>
    </row>
    <row r="321" spans="1:9" s="28" customFormat="1" x14ac:dyDescent="0.3">
      <c r="A321" s="28" t="s">
        <v>543</v>
      </c>
      <c r="B321" s="28" t="s">
        <v>664</v>
      </c>
      <c r="C321" s="28" t="s">
        <v>84</v>
      </c>
      <c r="D321" s="28" t="s">
        <v>11</v>
      </c>
      <c r="E321" s="28" t="s">
        <v>11</v>
      </c>
      <c r="F321" s="23" t="s">
        <v>11</v>
      </c>
      <c r="G321" s="28">
        <v>1</v>
      </c>
      <c r="H321" s="28" t="s">
        <v>664</v>
      </c>
      <c r="I321" s="28" t="s">
        <v>11</v>
      </c>
    </row>
    <row r="322" spans="1:9" s="28" customFormat="1" x14ac:dyDescent="0.3">
      <c r="A322" s="28" t="s">
        <v>543</v>
      </c>
      <c r="B322" s="28" t="s">
        <v>62</v>
      </c>
      <c r="C322" s="28" t="s">
        <v>63</v>
      </c>
      <c r="D322" s="28" t="s">
        <v>64</v>
      </c>
      <c r="E322" s="28" t="s">
        <v>65</v>
      </c>
      <c r="F322" s="23" t="s">
        <v>665</v>
      </c>
      <c r="G322" s="28">
        <v>1</v>
      </c>
      <c r="H322" s="28" t="s">
        <v>11</v>
      </c>
      <c r="I322" s="28" t="s">
        <v>666</v>
      </c>
    </row>
    <row r="323" spans="1:9" s="28" customFormat="1" x14ac:dyDescent="0.3">
      <c r="A323" s="28" t="s">
        <v>543</v>
      </c>
      <c r="B323" s="28" t="s">
        <v>393</v>
      </c>
      <c r="C323" s="28" t="s">
        <v>394</v>
      </c>
      <c r="D323" s="28" t="s">
        <v>380</v>
      </c>
      <c r="E323" s="28" t="s">
        <v>395</v>
      </c>
      <c r="F323" s="23" t="s">
        <v>1077</v>
      </c>
      <c r="G323" s="28">
        <v>1</v>
      </c>
      <c r="H323" s="28" t="s">
        <v>666</v>
      </c>
      <c r="I323" s="28" t="s">
        <v>11</v>
      </c>
    </row>
    <row r="324" spans="1:9" s="28" customFormat="1" x14ac:dyDescent="0.3">
      <c r="A324" s="28" t="s">
        <v>543</v>
      </c>
      <c r="B324" s="28" t="s">
        <v>396</v>
      </c>
      <c r="C324" s="28" t="s">
        <v>397</v>
      </c>
      <c r="D324" s="28" t="s">
        <v>64</v>
      </c>
      <c r="E324" s="28" t="s">
        <v>398</v>
      </c>
      <c r="F324" s="23" t="s">
        <v>667</v>
      </c>
      <c r="G324" s="28">
        <v>1</v>
      </c>
      <c r="H324" s="28" t="s">
        <v>666</v>
      </c>
      <c r="I324" s="28" t="s">
        <v>11</v>
      </c>
    </row>
    <row r="325" spans="1:9" s="28" customFormat="1" x14ac:dyDescent="0.3">
      <c r="A325" s="28" t="s">
        <v>543</v>
      </c>
      <c r="B325" s="28" t="s">
        <v>400</v>
      </c>
      <c r="C325" s="28" t="s">
        <v>401</v>
      </c>
      <c r="D325" s="28" t="s">
        <v>64</v>
      </c>
      <c r="E325" s="28" t="s">
        <v>402</v>
      </c>
      <c r="F325" s="23" t="s">
        <v>389</v>
      </c>
      <c r="G325" s="28">
        <v>1</v>
      </c>
      <c r="H325" s="28" t="s">
        <v>666</v>
      </c>
      <c r="I325" s="28" t="s">
        <v>11</v>
      </c>
    </row>
    <row r="326" spans="1:9" s="28" customFormat="1" x14ac:dyDescent="0.3">
      <c r="A326" s="28" t="s">
        <v>543</v>
      </c>
      <c r="B326" s="28" t="s">
        <v>403</v>
      </c>
      <c r="C326" s="28" t="s">
        <v>404</v>
      </c>
      <c r="D326" s="28" t="s">
        <v>64</v>
      </c>
      <c r="E326" s="28" t="s">
        <v>405</v>
      </c>
      <c r="F326" s="23" t="s">
        <v>668</v>
      </c>
      <c r="G326" s="28">
        <v>1</v>
      </c>
      <c r="H326" s="28" t="s">
        <v>666</v>
      </c>
      <c r="I326" s="28" t="s">
        <v>11</v>
      </c>
    </row>
    <row r="327" spans="1:9" s="28" customFormat="1" x14ac:dyDescent="0.3">
      <c r="A327" s="28" t="s">
        <v>543</v>
      </c>
      <c r="B327" s="28" t="s">
        <v>407</v>
      </c>
      <c r="C327" s="28" t="s">
        <v>408</v>
      </c>
      <c r="D327" s="28" t="s">
        <v>64</v>
      </c>
      <c r="E327" s="28" t="s">
        <v>409</v>
      </c>
      <c r="F327" s="23" t="s">
        <v>669</v>
      </c>
      <c r="G327" s="28">
        <v>1</v>
      </c>
      <c r="H327" s="28" t="s">
        <v>666</v>
      </c>
      <c r="I327" s="28" t="s">
        <v>11</v>
      </c>
    </row>
    <row r="328" spans="1:9" s="28" customFormat="1" x14ac:dyDescent="0.3">
      <c r="A328" s="28" t="s">
        <v>543</v>
      </c>
      <c r="B328" s="28" t="s">
        <v>67</v>
      </c>
      <c r="C328" s="28" t="s">
        <v>68</v>
      </c>
      <c r="D328" s="28" t="s">
        <v>64</v>
      </c>
      <c r="E328" s="28" t="s">
        <v>69</v>
      </c>
      <c r="F328" s="23" t="s">
        <v>670</v>
      </c>
      <c r="G328" s="28">
        <v>1</v>
      </c>
      <c r="H328" s="28" t="s">
        <v>666</v>
      </c>
      <c r="I328" s="28" t="s">
        <v>671</v>
      </c>
    </row>
    <row r="329" spans="1:9" s="28" customFormat="1" x14ac:dyDescent="0.3">
      <c r="A329" s="28" t="s">
        <v>543</v>
      </c>
      <c r="B329" s="28" t="s">
        <v>67</v>
      </c>
      <c r="C329" s="28" t="s">
        <v>68</v>
      </c>
      <c r="D329" s="28" t="s">
        <v>64</v>
      </c>
      <c r="E329" s="28" t="s">
        <v>69</v>
      </c>
      <c r="F329" s="23" t="s">
        <v>672</v>
      </c>
      <c r="G329" s="28">
        <v>1</v>
      </c>
      <c r="H329" s="28" t="s">
        <v>666</v>
      </c>
      <c r="I329" s="28" t="s">
        <v>673</v>
      </c>
    </row>
    <row r="330" spans="1:9" s="28" customFormat="1" x14ac:dyDescent="0.3">
      <c r="A330" s="28" t="s">
        <v>543</v>
      </c>
      <c r="B330" s="28" t="s">
        <v>674</v>
      </c>
      <c r="C330" s="28" t="s">
        <v>97</v>
      </c>
      <c r="D330" s="28" t="s">
        <v>11</v>
      </c>
      <c r="E330" s="28" t="s">
        <v>11</v>
      </c>
      <c r="F330" s="23" t="s">
        <v>11</v>
      </c>
      <c r="G330" s="28">
        <v>1</v>
      </c>
      <c r="H330" s="28" t="s">
        <v>674</v>
      </c>
      <c r="I330" s="28" t="s">
        <v>11</v>
      </c>
    </row>
    <row r="331" spans="1:9" s="28" customFormat="1" x14ac:dyDescent="0.3">
      <c r="A331" s="28" t="s">
        <v>543</v>
      </c>
      <c r="B331" s="28" t="s">
        <v>62</v>
      </c>
      <c r="C331" s="28" t="s">
        <v>63</v>
      </c>
      <c r="D331" s="28" t="s">
        <v>64</v>
      </c>
      <c r="E331" s="28" t="s">
        <v>65</v>
      </c>
      <c r="F331" s="23" t="s">
        <v>675</v>
      </c>
      <c r="G331" s="28">
        <v>1</v>
      </c>
      <c r="H331" s="28" t="s">
        <v>11</v>
      </c>
      <c r="I331" s="28" t="s">
        <v>676</v>
      </c>
    </row>
    <row r="332" spans="1:9" s="28" customFormat="1" x14ac:dyDescent="0.3">
      <c r="A332" s="28" t="s">
        <v>543</v>
      </c>
      <c r="B332" s="28" t="s">
        <v>393</v>
      </c>
      <c r="C332" s="28" t="s">
        <v>394</v>
      </c>
      <c r="D332" s="28" t="s">
        <v>380</v>
      </c>
      <c r="E332" s="28" t="s">
        <v>395</v>
      </c>
      <c r="F332" s="23" t="s">
        <v>1082</v>
      </c>
      <c r="G332" s="28">
        <v>1</v>
      </c>
      <c r="H332" s="28" t="s">
        <v>676</v>
      </c>
      <c r="I332" s="28" t="s">
        <v>11</v>
      </c>
    </row>
    <row r="333" spans="1:9" s="28" customFormat="1" x14ac:dyDescent="0.3">
      <c r="A333" s="28" t="s">
        <v>543</v>
      </c>
      <c r="B333" s="28" t="s">
        <v>623</v>
      </c>
      <c r="C333" s="28" t="s">
        <v>624</v>
      </c>
      <c r="D333" s="28" t="s">
        <v>380</v>
      </c>
      <c r="E333" s="28" t="s">
        <v>625</v>
      </c>
      <c r="F333" s="23" t="s">
        <v>1081</v>
      </c>
      <c r="G333" s="28">
        <v>1</v>
      </c>
      <c r="H333" s="28" t="s">
        <v>676</v>
      </c>
      <c r="I333" s="28" t="s">
        <v>11</v>
      </c>
    </row>
    <row r="334" spans="1:9" s="28" customFormat="1" x14ac:dyDescent="0.3">
      <c r="A334" s="28" t="s">
        <v>543</v>
      </c>
      <c r="B334" s="28" t="s">
        <v>396</v>
      </c>
      <c r="C334" s="28" t="s">
        <v>397</v>
      </c>
      <c r="D334" s="28" t="s">
        <v>64</v>
      </c>
      <c r="E334" s="28" t="s">
        <v>398</v>
      </c>
      <c r="F334" s="23" t="s">
        <v>677</v>
      </c>
      <c r="G334" s="28">
        <v>1</v>
      </c>
      <c r="H334" s="28" t="s">
        <v>676</v>
      </c>
      <c r="I334" s="28" t="s">
        <v>11</v>
      </c>
    </row>
    <row r="335" spans="1:9" s="28" customFormat="1" x14ac:dyDescent="0.3">
      <c r="A335" s="28" t="s">
        <v>543</v>
      </c>
      <c r="B335" s="28" t="s">
        <v>400</v>
      </c>
      <c r="C335" s="28" t="s">
        <v>401</v>
      </c>
      <c r="D335" s="28" t="s">
        <v>64</v>
      </c>
      <c r="E335" s="28" t="s">
        <v>402</v>
      </c>
      <c r="F335" s="23" t="s">
        <v>389</v>
      </c>
      <c r="G335" s="28">
        <v>1</v>
      </c>
      <c r="H335" s="28" t="s">
        <v>676</v>
      </c>
      <c r="I335" s="28" t="s">
        <v>11</v>
      </c>
    </row>
    <row r="336" spans="1:9" s="28" customFormat="1" x14ac:dyDescent="0.3">
      <c r="A336" s="28" t="s">
        <v>543</v>
      </c>
      <c r="B336" s="28" t="s">
        <v>67</v>
      </c>
      <c r="C336" s="28" t="s">
        <v>68</v>
      </c>
      <c r="D336" s="28" t="s">
        <v>64</v>
      </c>
      <c r="E336" s="28" t="s">
        <v>69</v>
      </c>
      <c r="F336" s="23" t="s">
        <v>678</v>
      </c>
      <c r="G336" s="28">
        <v>1</v>
      </c>
      <c r="H336" s="28" t="s">
        <v>11</v>
      </c>
      <c r="I336" s="28" t="s">
        <v>679</v>
      </c>
    </row>
    <row r="337" spans="1:9" s="28" customFormat="1" x14ac:dyDescent="0.3">
      <c r="A337" s="28" t="s">
        <v>543</v>
      </c>
      <c r="B337" s="28" t="s">
        <v>67</v>
      </c>
      <c r="C337" s="28" t="s">
        <v>68</v>
      </c>
      <c r="D337" s="28" t="s">
        <v>64</v>
      </c>
      <c r="E337" s="28" t="s">
        <v>69</v>
      </c>
      <c r="F337" s="23" t="s">
        <v>680</v>
      </c>
      <c r="G337" s="28">
        <v>1</v>
      </c>
      <c r="H337" s="28" t="s">
        <v>11</v>
      </c>
      <c r="I337" s="28" t="s">
        <v>681</v>
      </c>
    </row>
    <row r="338" spans="1:9" s="28" customFormat="1" x14ac:dyDescent="0.3">
      <c r="A338" s="28" t="s">
        <v>543</v>
      </c>
      <c r="B338" s="28" t="s">
        <v>62</v>
      </c>
      <c r="C338" s="28" t="s">
        <v>63</v>
      </c>
      <c r="D338" s="28" t="s">
        <v>64</v>
      </c>
      <c r="E338" s="28" t="s">
        <v>65</v>
      </c>
      <c r="F338" s="23" t="s">
        <v>682</v>
      </c>
      <c r="G338" s="28">
        <v>1</v>
      </c>
      <c r="H338" s="28" t="s">
        <v>11</v>
      </c>
      <c r="I338" s="28" t="s">
        <v>683</v>
      </c>
    </row>
    <row r="339" spans="1:9" s="28" customFormat="1" x14ac:dyDescent="0.3">
      <c r="A339" s="28" t="s">
        <v>543</v>
      </c>
      <c r="B339" s="28" t="s">
        <v>393</v>
      </c>
      <c r="C339" s="28" t="s">
        <v>394</v>
      </c>
      <c r="D339" s="28" t="s">
        <v>380</v>
      </c>
      <c r="E339" s="28" t="s">
        <v>395</v>
      </c>
      <c r="F339" s="23" t="s">
        <v>1083</v>
      </c>
      <c r="G339" s="28">
        <v>1</v>
      </c>
      <c r="H339" s="28" t="s">
        <v>683</v>
      </c>
      <c r="I339" s="28" t="s">
        <v>11</v>
      </c>
    </row>
    <row r="340" spans="1:9" s="28" customFormat="1" x14ac:dyDescent="0.3">
      <c r="A340" s="28" t="s">
        <v>543</v>
      </c>
      <c r="B340" s="28" t="s">
        <v>396</v>
      </c>
      <c r="C340" s="28" t="s">
        <v>397</v>
      </c>
      <c r="D340" s="28" t="s">
        <v>64</v>
      </c>
      <c r="E340" s="28" t="s">
        <v>398</v>
      </c>
      <c r="F340" s="23" t="s">
        <v>684</v>
      </c>
      <c r="G340" s="28">
        <v>1</v>
      </c>
      <c r="H340" s="28" t="s">
        <v>683</v>
      </c>
      <c r="I340" s="28" t="s">
        <v>11</v>
      </c>
    </row>
    <row r="341" spans="1:9" s="28" customFormat="1" x14ac:dyDescent="0.3">
      <c r="A341" s="28" t="s">
        <v>543</v>
      </c>
      <c r="B341" s="28" t="s">
        <v>400</v>
      </c>
      <c r="C341" s="28" t="s">
        <v>401</v>
      </c>
      <c r="D341" s="28" t="s">
        <v>64</v>
      </c>
      <c r="E341" s="28" t="s">
        <v>402</v>
      </c>
      <c r="F341" s="23" t="s">
        <v>389</v>
      </c>
      <c r="G341" s="28">
        <v>1</v>
      </c>
      <c r="H341" s="28" t="s">
        <v>683</v>
      </c>
      <c r="I341" s="28" t="s">
        <v>11</v>
      </c>
    </row>
    <row r="342" spans="1:9" s="28" customFormat="1" x14ac:dyDescent="0.3">
      <c r="A342" s="28" t="s">
        <v>543</v>
      </c>
      <c r="B342" s="28" t="s">
        <v>67</v>
      </c>
      <c r="C342" s="28" t="s">
        <v>68</v>
      </c>
      <c r="D342" s="28" t="s">
        <v>64</v>
      </c>
      <c r="E342" s="28" t="s">
        <v>69</v>
      </c>
      <c r="F342" s="23" t="s">
        <v>685</v>
      </c>
      <c r="G342" s="28">
        <v>1</v>
      </c>
      <c r="H342" s="28" t="s">
        <v>11</v>
      </c>
      <c r="I342" s="28" t="s">
        <v>686</v>
      </c>
    </row>
    <row r="343" spans="1:9" s="28" customFormat="1" x14ac:dyDescent="0.3">
      <c r="A343" s="28" t="s">
        <v>543</v>
      </c>
      <c r="B343" s="28" t="s">
        <v>67</v>
      </c>
      <c r="C343" s="28" t="s">
        <v>68</v>
      </c>
      <c r="D343" s="28" t="s">
        <v>64</v>
      </c>
      <c r="E343" s="28" t="s">
        <v>69</v>
      </c>
      <c r="F343" s="23" t="s">
        <v>687</v>
      </c>
      <c r="G343" s="28">
        <v>1</v>
      </c>
      <c r="H343" s="28" t="s">
        <v>11</v>
      </c>
      <c r="I343" s="28" t="s">
        <v>688</v>
      </c>
    </row>
    <row r="344" spans="1:9" s="28" customFormat="1" x14ac:dyDescent="0.3">
      <c r="A344" s="28" t="s">
        <v>543</v>
      </c>
      <c r="B344" s="28" t="s">
        <v>403</v>
      </c>
      <c r="C344" s="28" t="s">
        <v>404</v>
      </c>
      <c r="D344" s="28" t="s">
        <v>64</v>
      </c>
      <c r="E344" s="28" t="s">
        <v>405</v>
      </c>
      <c r="F344" s="23" t="s">
        <v>689</v>
      </c>
      <c r="G344" s="28">
        <v>1</v>
      </c>
      <c r="H344" s="28" t="s">
        <v>11</v>
      </c>
      <c r="I344" s="28" t="s">
        <v>11</v>
      </c>
    </row>
    <row r="345" spans="1:9" s="28" customFormat="1" x14ac:dyDescent="0.3">
      <c r="A345" s="28" t="s">
        <v>543</v>
      </c>
      <c r="B345" s="28" t="s">
        <v>407</v>
      </c>
      <c r="C345" s="28" t="s">
        <v>408</v>
      </c>
      <c r="D345" s="28" t="s">
        <v>64</v>
      </c>
      <c r="E345" s="28" t="s">
        <v>409</v>
      </c>
      <c r="F345" s="23" t="s">
        <v>690</v>
      </c>
      <c r="G345" s="28">
        <v>1</v>
      </c>
      <c r="H345" s="28" t="s">
        <v>11</v>
      </c>
      <c r="I345" s="28" t="s">
        <v>11</v>
      </c>
    </row>
    <row r="346" spans="1:9" s="28" customFormat="1" x14ac:dyDescent="0.3">
      <c r="A346" s="28" t="s">
        <v>543</v>
      </c>
      <c r="B346" s="28" t="s">
        <v>407</v>
      </c>
      <c r="C346" s="28" t="s">
        <v>408</v>
      </c>
      <c r="D346" s="28" t="s">
        <v>64</v>
      </c>
      <c r="E346" s="28" t="s">
        <v>409</v>
      </c>
      <c r="F346" s="23" t="s">
        <v>691</v>
      </c>
      <c r="G346" s="28">
        <v>1</v>
      </c>
      <c r="H346" s="28" t="s">
        <v>11</v>
      </c>
      <c r="I346" s="28" t="s">
        <v>11</v>
      </c>
    </row>
    <row r="347" spans="1:9" s="28" customFormat="1" x14ac:dyDescent="0.3">
      <c r="A347" s="28" t="s">
        <v>543</v>
      </c>
      <c r="B347" s="28" t="s">
        <v>692</v>
      </c>
      <c r="C347" s="28" t="s">
        <v>693</v>
      </c>
      <c r="D347" s="28" t="s">
        <v>11</v>
      </c>
      <c r="E347" s="28" t="s">
        <v>11</v>
      </c>
      <c r="F347" s="23" t="s">
        <v>11</v>
      </c>
      <c r="G347" s="28">
        <v>1</v>
      </c>
      <c r="H347" s="28" t="s">
        <v>692</v>
      </c>
      <c r="I347" s="28" t="s">
        <v>11</v>
      </c>
    </row>
    <row r="348" spans="1:9" s="28" customFormat="1" x14ac:dyDescent="0.3">
      <c r="A348" s="28" t="s">
        <v>543</v>
      </c>
      <c r="B348" s="28" t="s">
        <v>694</v>
      </c>
      <c r="C348" s="28" t="s">
        <v>695</v>
      </c>
      <c r="D348" s="28" t="s">
        <v>696</v>
      </c>
      <c r="E348" s="28" t="s">
        <v>697</v>
      </c>
      <c r="F348" s="23" t="s">
        <v>389</v>
      </c>
      <c r="G348" s="28">
        <v>1</v>
      </c>
      <c r="H348" s="28" t="s">
        <v>11</v>
      </c>
      <c r="I348" s="28" t="s">
        <v>698</v>
      </c>
    </row>
    <row r="349" spans="1:9" s="28" customFormat="1" x14ac:dyDescent="0.3">
      <c r="A349" s="28" t="s">
        <v>543</v>
      </c>
      <c r="B349" s="28" t="s">
        <v>525</v>
      </c>
      <c r="C349" s="28" t="s">
        <v>526</v>
      </c>
      <c r="D349" s="28" t="s">
        <v>380</v>
      </c>
      <c r="E349" s="28" t="s">
        <v>527</v>
      </c>
      <c r="F349" s="23" t="s">
        <v>389</v>
      </c>
      <c r="G349" s="28">
        <v>1</v>
      </c>
      <c r="H349" s="28" t="s">
        <v>11</v>
      </c>
      <c r="I349" s="28" t="s">
        <v>699</v>
      </c>
    </row>
    <row r="350" spans="1:9" s="28" customFormat="1" x14ac:dyDescent="0.3">
      <c r="A350" s="28" t="s">
        <v>543</v>
      </c>
      <c r="B350" s="28" t="s">
        <v>38</v>
      </c>
      <c r="C350" s="28" t="s">
        <v>39</v>
      </c>
      <c r="D350" s="28" t="s">
        <v>14</v>
      </c>
      <c r="E350" s="28" t="s">
        <v>572</v>
      </c>
      <c r="F350" s="23" t="s">
        <v>700</v>
      </c>
      <c r="G350" s="28">
        <v>1</v>
      </c>
      <c r="H350" s="28" t="s">
        <v>11</v>
      </c>
      <c r="I350" s="28" t="s">
        <v>701</v>
      </c>
    </row>
    <row r="351" spans="1:9" s="28" customFormat="1" x14ac:dyDescent="0.3">
      <c r="A351" s="28" t="s">
        <v>543</v>
      </c>
      <c r="B351" s="28" t="s">
        <v>393</v>
      </c>
      <c r="C351" s="28" t="s">
        <v>394</v>
      </c>
      <c r="D351" s="28" t="s">
        <v>380</v>
      </c>
      <c r="E351" s="28" t="s">
        <v>395</v>
      </c>
      <c r="F351" s="23" t="s">
        <v>702</v>
      </c>
      <c r="G351" s="28">
        <v>1</v>
      </c>
      <c r="H351" s="28" t="s">
        <v>11</v>
      </c>
      <c r="I351" s="28" t="s">
        <v>703</v>
      </c>
    </row>
    <row r="352" spans="1:9" s="28" customFormat="1" x14ac:dyDescent="0.3">
      <c r="A352" s="28" t="s">
        <v>543</v>
      </c>
      <c r="B352" s="28" t="s">
        <v>46</v>
      </c>
      <c r="C352" s="28" t="s">
        <v>39</v>
      </c>
      <c r="D352" s="28" t="s">
        <v>380</v>
      </c>
      <c r="E352" s="28" t="s">
        <v>47</v>
      </c>
      <c r="F352" s="23" t="s">
        <v>704</v>
      </c>
      <c r="G352" s="28">
        <v>1</v>
      </c>
      <c r="H352" s="28" t="s">
        <v>11</v>
      </c>
      <c r="I352" s="28" t="s">
        <v>705</v>
      </c>
    </row>
    <row r="353" spans="1:9" s="28" customFormat="1" x14ac:dyDescent="0.3">
      <c r="A353" s="28" t="s">
        <v>543</v>
      </c>
      <c r="B353" s="28" t="s">
        <v>46</v>
      </c>
      <c r="C353" s="28" t="s">
        <v>39</v>
      </c>
      <c r="D353" s="28" t="s">
        <v>380</v>
      </c>
      <c r="E353" s="28" t="s">
        <v>47</v>
      </c>
      <c r="F353" s="23" t="s">
        <v>706</v>
      </c>
      <c r="G353" s="28">
        <v>1</v>
      </c>
      <c r="H353" s="28" t="s">
        <v>11</v>
      </c>
      <c r="I353" s="28" t="s">
        <v>707</v>
      </c>
    </row>
    <row r="354" spans="1:9" s="28" customFormat="1" x14ac:dyDescent="0.3">
      <c r="A354" s="28" t="s">
        <v>543</v>
      </c>
      <c r="B354" s="28" t="s">
        <v>28</v>
      </c>
      <c r="C354" s="28" t="s">
        <v>18</v>
      </c>
      <c r="D354" s="28" t="s">
        <v>533</v>
      </c>
      <c r="E354" s="28" t="s">
        <v>29</v>
      </c>
      <c r="F354" s="23" t="s">
        <v>708</v>
      </c>
      <c r="G354" s="28">
        <v>1</v>
      </c>
      <c r="H354" s="28" t="s">
        <v>11</v>
      </c>
      <c r="I354" s="28" t="s">
        <v>709</v>
      </c>
    </row>
    <row r="355" spans="1:9" s="28" customFormat="1" x14ac:dyDescent="0.3">
      <c r="A355" s="28" t="s">
        <v>543</v>
      </c>
      <c r="B355" s="28" t="s">
        <v>28</v>
      </c>
      <c r="C355" s="28" t="s">
        <v>18</v>
      </c>
      <c r="D355" s="28" t="s">
        <v>533</v>
      </c>
      <c r="E355" s="28" t="s">
        <v>29</v>
      </c>
      <c r="F355" s="23" t="s">
        <v>710</v>
      </c>
      <c r="G355" s="28">
        <v>1</v>
      </c>
      <c r="H355" s="28" t="s">
        <v>11</v>
      </c>
      <c r="I355" s="28" t="s">
        <v>711</v>
      </c>
    </row>
    <row r="356" spans="1:9" s="28" customFormat="1" x14ac:dyDescent="0.3">
      <c r="A356" s="28" t="s">
        <v>543</v>
      </c>
      <c r="B356" s="28" t="s">
        <v>30</v>
      </c>
      <c r="C356" s="28" t="s">
        <v>18</v>
      </c>
      <c r="D356" s="28" t="s">
        <v>533</v>
      </c>
      <c r="E356" s="28" t="s">
        <v>31</v>
      </c>
      <c r="F356" s="23" t="s">
        <v>712</v>
      </c>
      <c r="G356" s="28">
        <v>1</v>
      </c>
      <c r="H356" s="28" t="s">
        <v>11</v>
      </c>
      <c r="I356" s="28" t="s">
        <v>713</v>
      </c>
    </row>
    <row r="357" spans="1:9" s="28" customFormat="1" x14ac:dyDescent="0.3">
      <c r="A357" s="28" t="s">
        <v>543</v>
      </c>
      <c r="B357" s="28" t="s">
        <v>30</v>
      </c>
      <c r="C357" s="28" t="s">
        <v>18</v>
      </c>
      <c r="D357" s="28" t="s">
        <v>533</v>
      </c>
      <c r="E357" s="28" t="s">
        <v>31</v>
      </c>
      <c r="F357" s="23" t="s">
        <v>714</v>
      </c>
      <c r="G357" s="28">
        <v>1</v>
      </c>
      <c r="H357" s="28" t="s">
        <v>11</v>
      </c>
      <c r="I357" s="28" t="s">
        <v>715</v>
      </c>
    </row>
    <row r="358" spans="1:9" s="28" customFormat="1" x14ac:dyDescent="0.3">
      <c r="A358" s="28" t="s">
        <v>543</v>
      </c>
      <c r="B358" s="28" t="s">
        <v>32</v>
      </c>
      <c r="C358" s="28" t="s">
        <v>18</v>
      </c>
      <c r="D358" s="28" t="s">
        <v>533</v>
      </c>
      <c r="E358" s="28" t="s">
        <v>33</v>
      </c>
      <c r="F358" s="23" t="s">
        <v>1063</v>
      </c>
      <c r="G358" s="28">
        <v>1</v>
      </c>
      <c r="H358" s="28" t="s">
        <v>11</v>
      </c>
      <c r="I358" s="28" t="s">
        <v>716</v>
      </c>
    </row>
    <row r="359" spans="1:9" s="28" customFormat="1" x14ac:dyDescent="0.3">
      <c r="A359" s="28" t="s">
        <v>108</v>
      </c>
      <c r="B359" s="28" t="s">
        <v>9</v>
      </c>
      <c r="C359" s="28" t="s">
        <v>10</v>
      </c>
      <c r="D359" s="28" t="s">
        <v>11</v>
      </c>
      <c r="E359" s="28" t="s">
        <v>11</v>
      </c>
      <c r="F359" s="23" t="s">
        <v>11</v>
      </c>
      <c r="G359" s="28">
        <v>1</v>
      </c>
      <c r="H359" s="28" t="s">
        <v>9</v>
      </c>
      <c r="I359" s="28" t="s">
        <v>11</v>
      </c>
    </row>
    <row r="360" spans="1:9" s="28" customFormat="1" x14ac:dyDescent="0.3">
      <c r="A360" s="28" t="s">
        <v>108</v>
      </c>
      <c r="B360" s="28" t="s">
        <v>12</v>
      </c>
      <c r="C360" s="28" t="s">
        <v>13</v>
      </c>
      <c r="D360" s="28" t="s">
        <v>14</v>
      </c>
      <c r="E360" s="28" t="s">
        <v>15</v>
      </c>
      <c r="F360" s="23" t="s">
        <v>109</v>
      </c>
      <c r="G360" s="28">
        <v>1</v>
      </c>
      <c r="H360" s="28" t="s">
        <v>9</v>
      </c>
      <c r="I360" s="28" t="s">
        <v>16</v>
      </c>
    </row>
    <row r="361" spans="1:9" s="28" customFormat="1" x14ac:dyDescent="0.3">
      <c r="A361" s="28" t="s">
        <v>108</v>
      </c>
      <c r="B361" s="28" t="s">
        <v>17</v>
      </c>
      <c r="C361" s="28" t="s">
        <v>18</v>
      </c>
      <c r="D361" s="28" t="s">
        <v>14</v>
      </c>
      <c r="E361" s="28" t="s">
        <v>19</v>
      </c>
      <c r="F361" s="23" t="s">
        <v>110</v>
      </c>
      <c r="G361" s="28">
        <v>1</v>
      </c>
      <c r="H361" s="28" t="s">
        <v>11</v>
      </c>
      <c r="I361" s="28" t="s">
        <v>11</v>
      </c>
    </row>
    <row r="362" spans="1:9" s="28" customFormat="1" x14ac:dyDescent="0.3">
      <c r="A362" s="28" t="s">
        <v>108</v>
      </c>
      <c r="B362" s="28" t="s">
        <v>17</v>
      </c>
      <c r="C362" s="28" t="s">
        <v>18</v>
      </c>
      <c r="D362" s="28" t="s">
        <v>14</v>
      </c>
      <c r="E362" s="28" t="s">
        <v>19</v>
      </c>
      <c r="F362" s="23" t="s">
        <v>111</v>
      </c>
      <c r="G362" s="28">
        <v>1</v>
      </c>
      <c r="H362" s="28" t="s">
        <v>11</v>
      </c>
      <c r="I362" s="28" t="s">
        <v>11</v>
      </c>
    </row>
    <row r="363" spans="1:9" s="28" customFormat="1" x14ac:dyDescent="0.3">
      <c r="A363" s="28" t="s">
        <v>108</v>
      </c>
      <c r="B363" s="28" t="s">
        <v>20</v>
      </c>
      <c r="C363" s="28" t="s">
        <v>18</v>
      </c>
      <c r="D363" s="28" t="s">
        <v>14</v>
      </c>
      <c r="E363" s="28" t="s">
        <v>21</v>
      </c>
      <c r="F363" s="23" t="s">
        <v>112</v>
      </c>
      <c r="G363" s="28">
        <v>1</v>
      </c>
      <c r="H363" s="28" t="s">
        <v>11</v>
      </c>
      <c r="I363" s="28" t="s">
        <v>11</v>
      </c>
    </row>
    <row r="364" spans="1:9" s="28" customFormat="1" x14ac:dyDescent="0.3">
      <c r="A364" s="28" t="s">
        <v>108</v>
      </c>
      <c r="B364" s="28" t="s">
        <v>20</v>
      </c>
      <c r="C364" s="28" t="s">
        <v>18</v>
      </c>
      <c r="D364" s="28" t="s">
        <v>14</v>
      </c>
      <c r="E364" s="28" t="s">
        <v>21</v>
      </c>
      <c r="F364" s="23" t="s">
        <v>113</v>
      </c>
      <c r="G364" s="28">
        <v>1</v>
      </c>
      <c r="H364" s="28" t="s">
        <v>11</v>
      </c>
      <c r="I364" s="28" t="s">
        <v>11</v>
      </c>
    </row>
    <row r="365" spans="1:9" s="28" customFormat="1" x14ac:dyDescent="0.3">
      <c r="A365" s="28" t="s">
        <v>108</v>
      </c>
      <c r="B365" s="28" t="s">
        <v>12</v>
      </c>
      <c r="C365" s="28" t="s">
        <v>13</v>
      </c>
      <c r="D365" s="28" t="s">
        <v>14</v>
      </c>
      <c r="E365" s="28" t="s">
        <v>15</v>
      </c>
      <c r="F365" s="23" t="s">
        <v>114</v>
      </c>
      <c r="G365" s="28">
        <v>1</v>
      </c>
      <c r="H365" s="28" t="s">
        <v>9</v>
      </c>
      <c r="I365" s="28" t="s">
        <v>22</v>
      </c>
    </row>
    <row r="366" spans="1:9" s="28" customFormat="1" x14ac:dyDescent="0.3">
      <c r="A366" s="28" t="s">
        <v>108</v>
      </c>
      <c r="B366" s="28" t="s">
        <v>17</v>
      </c>
      <c r="C366" s="28" t="s">
        <v>18</v>
      </c>
      <c r="D366" s="28" t="s">
        <v>14</v>
      </c>
      <c r="E366" s="28" t="s">
        <v>19</v>
      </c>
      <c r="F366" s="23" t="s">
        <v>115</v>
      </c>
      <c r="G366" s="28">
        <v>1</v>
      </c>
      <c r="H366" s="28" t="s">
        <v>11</v>
      </c>
      <c r="I366" s="28" t="s">
        <v>11</v>
      </c>
    </row>
    <row r="367" spans="1:9" s="28" customFormat="1" x14ac:dyDescent="0.3">
      <c r="A367" s="28" t="s">
        <v>108</v>
      </c>
      <c r="B367" s="28" t="s">
        <v>17</v>
      </c>
      <c r="C367" s="28" t="s">
        <v>18</v>
      </c>
      <c r="D367" s="28" t="s">
        <v>14</v>
      </c>
      <c r="E367" s="28" t="s">
        <v>19</v>
      </c>
      <c r="F367" s="23" t="s">
        <v>116</v>
      </c>
      <c r="G367" s="28">
        <v>1</v>
      </c>
      <c r="H367" s="28" t="s">
        <v>11</v>
      </c>
      <c r="I367" s="28" t="s">
        <v>11</v>
      </c>
    </row>
    <row r="368" spans="1:9" s="28" customFormat="1" x14ac:dyDescent="0.3">
      <c r="A368" s="28" t="s">
        <v>108</v>
      </c>
      <c r="B368" s="28" t="s">
        <v>20</v>
      </c>
      <c r="C368" s="28" t="s">
        <v>18</v>
      </c>
      <c r="D368" s="28" t="s">
        <v>14</v>
      </c>
      <c r="E368" s="28" t="s">
        <v>21</v>
      </c>
      <c r="F368" s="23" t="s">
        <v>117</v>
      </c>
      <c r="G368" s="28">
        <v>1</v>
      </c>
      <c r="H368" s="28" t="s">
        <v>11</v>
      </c>
      <c r="I368" s="28" t="s">
        <v>11</v>
      </c>
    </row>
    <row r="369" spans="1:9" s="28" customFormat="1" x14ac:dyDescent="0.3">
      <c r="A369" s="28" t="s">
        <v>108</v>
      </c>
      <c r="B369" s="28" t="s">
        <v>20</v>
      </c>
      <c r="C369" s="28" t="s">
        <v>18</v>
      </c>
      <c r="D369" s="28" t="s">
        <v>14</v>
      </c>
      <c r="E369" s="28" t="s">
        <v>21</v>
      </c>
      <c r="F369" s="23" t="s">
        <v>118</v>
      </c>
      <c r="G369" s="28">
        <v>1</v>
      </c>
      <c r="H369" s="28" t="s">
        <v>11</v>
      </c>
      <c r="I369" s="28" t="s">
        <v>11</v>
      </c>
    </row>
    <row r="370" spans="1:9" s="28" customFormat="1" x14ac:dyDescent="0.3">
      <c r="A370" s="28" t="s">
        <v>108</v>
      </c>
      <c r="B370" s="28" t="s">
        <v>23</v>
      </c>
      <c r="C370" s="28" t="s">
        <v>24</v>
      </c>
      <c r="D370" s="28" t="s">
        <v>25</v>
      </c>
      <c r="E370" s="28" t="s">
        <v>26</v>
      </c>
      <c r="F370" s="23" t="s">
        <v>119</v>
      </c>
      <c r="G370" s="28">
        <v>1</v>
      </c>
      <c r="H370" s="28" t="s">
        <v>9</v>
      </c>
      <c r="I370" s="28" t="s">
        <v>27</v>
      </c>
    </row>
    <row r="371" spans="1:9" s="28" customFormat="1" x14ac:dyDescent="0.3">
      <c r="A371" s="28" t="s">
        <v>108</v>
      </c>
      <c r="B371" s="28" t="s">
        <v>28</v>
      </c>
      <c r="C371" s="28" t="s">
        <v>18</v>
      </c>
      <c r="D371" s="28" t="s">
        <v>25</v>
      </c>
      <c r="E371" s="28" t="s">
        <v>29</v>
      </c>
      <c r="F371" s="23" t="s">
        <v>120</v>
      </c>
      <c r="G371" s="28">
        <v>1</v>
      </c>
      <c r="H371" s="28" t="s">
        <v>11</v>
      </c>
      <c r="I371" s="28" t="s">
        <v>11</v>
      </c>
    </row>
    <row r="372" spans="1:9" s="28" customFormat="1" x14ac:dyDescent="0.3">
      <c r="A372" s="28" t="s">
        <v>108</v>
      </c>
      <c r="B372" s="28" t="s">
        <v>28</v>
      </c>
      <c r="C372" s="28" t="s">
        <v>18</v>
      </c>
      <c r="D372" s="28" t="s">
        <v>25</v>
      </c>
      <c r="E372" s="28" t="s">
        <v>29</v>
      </c>
      <c r="F372" s="23" t="s">
        <v>121</v>
      </c>
      <c r="G372" s="28">
        <v>1</v>
      </c>
      <c r="H372" s="28" t="s">
        <v>11</v>
      </c>
      <c r="I372" s="28" t="s">
        <v>11</v>
      </c>
    </row>
    <row r="373" spans="1:9" s="28" customFormat="1" x14ac:dyDescent="0.3">
      <c r="A373" s="28" t="s">
        <v>108</v>
      </c>
      <c r="B373" s="28" t="s">
        <v>28</v>
      </c>
      <c r="C373" s="28" t="s">
        <v>18</v>
      </c>
      <c r="D373" s="28" t="s">
        <v>25</v>
      </c>
      <c r="E373" s="28" t="s">
        <v>29</v>
      </c>
      <c r="F373" s="23" t="s">
        <v>122</v>
      </c>
      <c r="G373" s="28">
        <v>1</v>
      </c>
      <c r="H373" s="28" t="s">
        <v>11</v>
      </c>
      <c r="I373" s="28" t="s">
        <v>11</v>
      </c>
    </row>
    <row r="374" spans="1:9" s="28" customFormat="1" x14ac:dyDescent="0.3">
      <c r="A374" s="28" t="s">
        <v>108</v>
      </c>
      <c r="B374" s="28" t="s">
        <v>28</v>
      </c>
      <c r="C374" s="28" t="s">
        <v>18</v>
      </c>
      <c r="D374" s="28" t="s">
        <v>25</v>
      </c>
      <c r="E374" s="28" t="s">
        <v>29</v>
      </c>
      <c r="F374" s="23" t="s">
        <v>123</v>
      </c>
      <c r="G374" s="28">
        <v>1</v>
      </c>
      <c r="H374" s="28" t="s">
        <v>11</v>
      </c>
      <c r="I374" s="28" t="s">
        <v>11</v>
      </c>
    </row>
    <row r="375" spans="1:9" s="28" customFormat="1" x14ac:dyDescent="0.3">
      <c r="A375" s="28" t="s">
        <v>108</v>
      </c>
      <c r="B375" s="28" t="s">
        <v>28</v>
      </c>
      <c r="C375" s="28" t="s">
        <v>18</v>
      </c>
      <c r="D375" s="28" t="s">
        <v>25</v>
      </c>
      <c r="E375" s="28" t="s">
        <v>29</v>
      </c>
      <c r="F375" s="23" t="s">
        <v>124</v>
      </c>
      <c r="G375" s="28">
        <v>1</v>
      </c>
      <c r="H375" s="28" t="s">
        <v>11</v>
      </c>
      <c r="I375" s="28" t="s">
        <v>11</v>
      </c>
    </row>
    <row r="376" spans="1:9" s="28" customFormat="1" x14ac:dyDescent="0.3">
      <c r="A376" s="28" t="s">
        <v>108</v>
      </c>
      <c r="B376" s="28" t="s">
        <v>30</v>
      </c>
      <c r="C376" s="28" t="s">
        <v>18</v>
      </c>
      <c r="D376" s="28" t="s">
        <v>25</v>
      </c>
      <c r="E376" s="28" t="s">
        <v>31</v>
      </c>
      <c r="F376" s="23" t="s">
        <v>125</v>
      </c>
      <c r="G376" s="28">
        <v>1</v>
      </c>
      <c r="H376" s="28" t="s">
        <v>11</v>
      </c>
      <c r="I376" s="28" t="s">
        <v>11</v>
      </c>
    </row>
    <row r="377" spans="1:9" s="28" customFormat="1" x14ac:dyDescent="0.3">
      <c r="A377" s="28" t="s">
        <v>108</v>
      </c>
      <c r="B377" s="28" t="s">
        <v>30</v>
      </c>
      <c r="C377" s="28" t="s">
        <v>18</v>
      </c>
      <c r="D377" s="28" t="s">
        <v>25</v>
      </c>
      <c r="E377" s="28" t="s">
        <v>31</v>
      </c>
      <c r="F377" s="23" t="s">
        <v>126</v>
      </c>
      <c r="G377" s="28">
        <v>1</v>
      </c>
      <c r="H377" s="28" t="s">
        <v>11</v>
      </c>
      <c r="I377" s="28" t="s">
        <v>11</v>
      </c>
    </row>
    <row r="378" spans="1:9" s="28" customFormat="1" x14ac:dyDescent="0.3">
      <c r="A378" s="28" t="s">
        <v>108</v>
      </c>
      <c r="B378" s="28" t="s">
        <v>30</v>
      </c>
      <c r="C378" s="28" t="s">
        <v>18</v>
      </c>
      <c r="D378" s="28" t="s">
        <v>25</v>
      </c>
      <c r="E378" s="28" t="s">
        <v>31</v>
      </c>
      <c r="F378" s="23" t="s">
        <v>127</v>
      </c>
      <c r="G378" s="28">
        <v>1</v>
      </c>
      <c r="H378" s="28" t="s">
        <v>11</v>
      </c>
      <c r="I378" s="28" t="s">
        <v>11</v>
      </c>
    </row>
    <row r="379" spans="1:9" s="28" customFormat="1" x14ac:dyDescent="0.3">
      <c r="A379" s="28" t="s">
        <v>108</v>
      </c>
      <c r="B379" s="28" t="s">
        <v>30</v>
      </c>
      <c r="C379" s="28" t="s">
        <v>18</v>
      </c>
      <c r="D379" s="28" t="s">
        <v>25</v>
      </c>
      <c r="E379" s="28" t="s">
        <v>31</v>
      </c>
      <c r="F379" s="23" t="s">
        <v>128</v>
      </c>
      <c r="G379" s="28">
        <v>1</v>
      </c>
      <c r="H379" s="28" t="s">
        <v>11</v>
      </c>
      <c r="I379" s="28" t="s">
        <v>11</v>
      </c>
    </row>
    <row r="380" spans="1:9" s="28" customFormat="1" x14ac:dyDescent="0.3">
      <c r="A380" s="28" t="s">
        <v>108</v>
      </c>
      <c r="B380" s="28" t="s">
        <v>32</v>
      </c>
      <c r="C380" s="28" t="s">
        <v>18</v>
      </c>
      <c r="D380" s="28" t="s">
        <v>25</v>
      </c>
      <c r="E380" s="28" t="s">
        <v>33</v>
      </c>
      <c r="F380" s="23" t="s">
        <v>129</v>
      </c>
      <c r="G380" s="28">
        <v>1</v>
      </c>
      <c r="H380" s="28" t="s">
        <v>11</v>
      </c>
      <c r="I380" s="28" t="s">
        <v>11</v>
      </c>
    </row>
    <row r="381" spans="1:9" s="28" customFormat="1" x14ac:dyDescent="0.3">
      <c r="A381" s="28" t="s">
        <v>108</v>
      </c>
      <c r="B381" s="28" t="s">
        <v>32</v>
      </c>
      <c r="C381" s="28" t="s">
        <v>18</v>
      </c>
      <c r="D381" s="28" t="s">
        <v>25</v>
      </c>
      <c r="E381" s="28" t="s">
        <v>33</v>
      </c>
      <c r="F381" s="23" t="s">
        <v>130</v>
      </c>
      <c r="G381" s="28">
        <v>1</v>
      </c>
      <c r="H381" s="28" t="s">
        <v>11</v>
      </c>
      <c r="I381" s="28" t="s">
        <v>11</v>
      </c>
    </row>
    <row r="382" spans="1:9" s="28" customFormat="1" x14ac:dyDescent="0.3">
      <c r="A382" s="28" t="s">
        <v>108</v>
      </c>
      <c r="B382" s="28" t="s">
        <v>32</v>
      </c>
      <c r="C382" s="28" t="s">
        <v>18</v>
      </c>
      <c r="D382" s="28" t="s">
        <v>25</v>
      </c>
      <c r="E382" s="28" t="s">
        <v>33</v>
      </c>
      <c r="F382" s="23" t="s">
        <v>131</v>
      </c>
      <c r="G382" s="28">
        <v>1</v>
      </c>
      <c r="H382" s="28" t="s">
        <v>11</v>
      </c>
      <c r="I382" s="28" t="s">
        <v>11</v>
      </c>
    </row>
    <row r="383" spans="1:9" s="28" customFormat="1" x14ac:dyDescent="0.3">
      <c r="A383" s="28" t="s">
        <v>108</v>
      </c>
      <c r="B383" s="28" t="s">
        <v>32</v>
      </c>
      <c r="C383" s="28" t="s">
        <v>18</v>
      </c>
      <c r="D383" s="28" t="s">
        <v>25</v>
      </c>
      <c r="E383" s="28" t="s">
        <v>33</v>
      </c>
      <c r="F383" s="23" t="s">
        <v>132</v>
      </c>
      <c r="G383" s="28">
        <v>1</v>
      </c>
      <c r="H383" s="28" t="s">
        <v>11</v>
      </c>
      <c r="I383" s="28" t="s">
        <v>11</v>
      </c>
    </row>
    <row r="384" spans="1:9" s="28" customFormat="1" x14ac:dyDescent="0.3">
      <c r="A384" s="28" t="s">
        <v>108</v>
      </c>
      <c r="B384" s="28" t="s">
        <v>23</v>
      </c>
      <c r="C384" s="28" t="s">
        <v>24</v>
      </c>
      <c r="D384" s="28" t="s">
        <v>25</v>
      </c>
      <c r="E384" s="28" t="s">
        <v>26</v>
      </c>
      <c r="F384" s="23" t="s">
        <v>133</v>
      </c>
      <c r="G384" s="28">
        <v>1</v>
      </c>
      <c r="H384" s="28" t="s">
        <v>9</v>
      </c>
      <c r="I384" s="28" t="s">
        <v>34</v>
      </c>
    </row>
    <row r="385" spans="1:9" s="28" customFormat="1" x14ac:dyDescent="0.3">
      <c r="A385" s="28" t="s">
        <v>108</v>
      </c>
      <c r="B385" s="28" t="s">
        <v>28</v>
      </c>
      <c r="C385" s="28" t="s">
        <v>18</v>
      </c>
      <c r="D385" s="28" t="s">
        <v>25</v>
      </c>
      <c r="E385" s="28" t="s">
        <v>29</v>
      </c>
      <c r="F385" s="23" t="s">
        <v>134</v>
      </c>
      <c r="G385" s="28">
        <v>1</v>
      </c>
      <c r="H385" s="28" t="s">
        <v>11</v>
      </c>
      <c r="I385" s="28" t="s">
        <v>11</v>
      </c>
    </row>
    <row r="386" spans="1:9" s="28" customFormat="1" x14ac:dyDescent="0.3">
      <c r="A386" s="28" t="s">
        <v>108</v>
      </c>
      <c r="B386" s="28" t="s">
        <v>28</v>
      </c>
      <c r="C386" s="28" t="s">
        <v>18</v>
      </c>
      <c r="D386" s="28" t="s">
        <v>25</v>
      </c>
      <c r="E386" s="28" t="s">
        <v>29</v>
      </c>
      <c r="F386" s="23" t="s">
        <v>135</v>
      </c>
      <c r="G386" s="28">
        <v>1</v>
      </c>
      <c r="H386" s="28" t="s">
        <v>11</v>
      </c>
      <c r="I386" s="28" t="s">
        <v>11</v>
      </c>
    </row>
    <row r="387" spans="1:9" s="28" customFormat="1" x14ac:dyDescent="0.3">
      <c r="A387" s="28" t="s">
        <v>108</v>
      </c>
      <c r="B387" s="28" t="s">
        <v>28</v>
      </c>
      <c r="C387" s="28" t="s">
        <v>18</v>
      </c>
      <c r="D387" s="28" t="s">
        <v>25</v>
      </c>
      <c r="E387" s="28" t="s">
        <v>29</v>
      </c>
      <c r="F387" s="23" t="s">
        <v>136</v>
      </c>
      <c r="G387" s="28">
        <v>1</v>
      </c>
      <c r="H387" s="28" t="s">
        <v>11</v>
      </c>
      <c r="I387" s="28" t="s">
        <v>11</v>
      </c>
    </row>
    <row r="388" spans="1:9" s="28" customFormat="1" x14ac:dyDescent="0.3">
      <c r="A388" s="28" t="s">
        <v>108</v>
      </c>
      <c r="B388" s="28" t="s">
        <v>28</v>
      </c>
      <c r="C388" s="28" t="s">
        <v>18</v>
      </c>
      <c r="D388" s="28" t="s">
        <v>25</v>
      </c>
      <c r="E388" s="28" t="s">
        <v>29</v>
      </c>
      <c r="F388" s="23" t="s">
        <v>137</v>
      </c>
      <c r="G388" s="28">
        <v>1</v>
      </c>
      <c r="H388" s="28" t="s">
        <v>11</v>
      </c>
      <c r="I388" s="28" t="s">
        <v>11</v>
      </c>
    </row>
    <row r="389" spans="1:9" s="28" customFormat="1" x14ac:dyDescent="0.3">
      <c r="A389" s="28" t="s">
        <v>108</v>
      </c>
      <c r="B389" s="28" t="s">
        <v>28</v>
      </c>
      <c r="C389" s="28" t="s">
        <v>18</v>
      </c>
      <c r="D389" s="28" t="s">
        <v>25</v>
      </c>
      <c r="E389" s="28" t="s">
        <v>29</v>
      </c>
      <c r="F389" s="23" t="s">
        <v>138</v>
      </c>
      <c r="G389" s="28">
        <v>1</v>
      </c>
      <c r="H389" s="28" t="s">
        <v>11</v>
      </c>
      <c r="I389" s="28" t="s">
        <v>11</v>
      </c>
    </row>
    <row r="390" spans="1:9" s="28" customFormat="1" x14ac:dyDescent="0.3">
      <c r="A390" s="28" t="s">
        <v>108</v>
      </c>
      <c r="B390" s="28" t="s">
        <v>30</v>
      </c>
      <c r="C390" s="28" t="s">
        <v>18</v>
      </c>
      <c r="D390" s="28" t="s">
        <v>25</v>
      </c>
      <c r="E390" s="28" t="s">
        <v>31</v>
      </c>
      <c r="F390" s="23" t="s">
        <v>139</v>
      </c>
      <c r="G390" s="28">
        <v>1</v>
      </c>
      <c r="H390" s="28" t="s">
        <v>11</v>
      </c>
      <c r="I390" s="28" t="s">
        <v>11</v>
      </c>
    </row>
    <row r="391" spans="1:9" s="28" customFormat="1" x14ac:dyDescent="0.3">
      <c r="A391" s="28" t="s">
        <v>108</v>
      </c>
      <c r="B391" s="28" t="s">
        <v>30</v>
      </c>
      <c r="C391" s="28" t="s">
        <v>18</v>
      </c>
      <c r="D391" s="28" t="s">
        <v>25</v>
      </c>
      <c r="E391" s="28" t="s">
        <v>31</v>
      </c>
      <c r="F391" s="23" t="s">
        <v>140</v>
      </c>
      <c r="G391" s="28">
        <v>1</v>
      </c>
      <c r="H391" s="28" t="s">
        <v>11</v>
      </c>
      <c r="I391" s="28" t="s">
        <v>11</v>
      </c>
    </row>
    <row r="392" spans="1:9" s="28" customFormat="1" x14ac:dyDescent="0.3">
      <c r="A392" s="28" t="s">
        <v>108</v>
      </c>
      <c r="B392" s="28" t="s">
        <v>30</v>
      </c>
      <c r="C392" s="28" t="s">
        <v>18</v>
      </c>
      <c r="D392" s="28" t="s">
        <v>25</v>
      </c>
      <c r="E392" s="28" t="s">
        <v>31</v>
      </c>
      <c r="F392" s="23" t="s">
        <v>141</v>
      </c>
      <c r="G392" s="28">
        <v>1</v>
      </c>
      <c r="H392" s="28" t="s">
        <v>11</v>
      </c>
      <c r="I392" s="28" t="s">
        <v>11</v>
      </c>
    </row>
    <row r="393" spans="1:9" s="28" customFormat="1" x14ac:dyDescent="0.3">
      <c r="A393" s="28" t="s">
        <v>108</v>
      </c>
      <c r="B393" s="28" t="s">
        <v>30</v>
      </c>
      <c r="C393" s="28" t="s">
        <v>18</v>
      </c>
      <c r="D393" s="28" t="s">
        <v>25</v>
      </c>
      <c r="E393" s="28" t="s">
        <v>31</v>
      </c>
      <c r="F393" s="23" t="s">
        <v>142</v>
      </c>
      <c r="G393" s="28">
        <v>1</v>
      </c>
      <c r="H393" s="28" t="s">
        <v>11</v>
      </c>
      <c r="I393" s="28" t="s">
        <v>11</v>
      </c>
    </row>
    <row r="394" spans="1:9" s="28" customFormat="1" x14ac:dyDescent="0.3">
      <c r="A394" s="28" t="s">
        <v>108</v>
      </c>
      <c r="B394" s="28" t="s">
        <v>32</v>
      </c>
      <c r="C394" s="28" t="s">
        <v>18</v>
      </c>
      <c r="D394" s="28" t="s">
        <v>25</v>
      </c>
      <c r="E394" s="28" t="s">
        <v>33</v>
      </c>
      <c r="F394" s="23" t="s">
        <v>143</v>
      </c>
      <c r="G394" s="28">
        <v>1</v>
      </c>
      <c r="H394" s="28" t="s">
        <v>11</v>
      </c>
      <c r="I394" s="28" t="s">
        <v>11</v>
      </c>
    </row>
    <row r="395" spans="1:9" s="28" customFormat="1" x14ac:dyDescent="0.3">
      <c r="A395" s="28" t="s">
        <v>108</v>
      </c>
      <c r="B395" s="28" t="s">
        <v>32</v>
      </c>
      <c r="C395" s="28" t="s">
        <v>18</v>
      </c>
      <c r="D395" s="28" t="s">
        <v>25</v>
      </c>
      <c r="E395" s="28" t="s">
        <v>33</v>
      </c>
      <c r="F395" s="23" t="s">
        <v>144</v>
      </c>
      <c r="G395" s="28">
        <v>1</v>
      </c>
      <c r="H395" s="28" t="s">
        <v>11</v>
      </c>
      <c r="I395" s="28" t="s">
        <v>11</v>
      </c>
    </row>
    <row r="396" spans="1:9" s="28" customFormat="1" x14ac:dyDescent="0.3">
      <c r="A396" s="28" t="s">
        <v>108</v>
      </c>
      <c r="B396" s="28" t="s">
        <v>32</v>
      </c>
      <c r="C396" s="28" t="s">
        <v>18</v>
      </c>
      <c r="D396" s="28" t="s">
        <v>25</v>
      </c>
      <c r="E396" s="28" t="s">
        <v>33</v>
      </c>
      <c r="F396" s="23" t="s">
        <v>145</v>
      </c>
      <c r="G396" s="28">
        <v>1</v>
      </c>
      <c r="H396" s="28" t="s">
        <v>11</v>
      </c>
      <c r="I396" s="28" t="s">
        <v>11</v>
      </c>
    </row>
    <row r="397" spans="1:9" s="28" customFormat="1" x14ac:dyDescent="0.3">
      <c r="A397" s="28" t="s">
        <v>108</v>
      </c>
      <c r="B397" s="28" t="s">
        <v>32</v>
      </c>
      <c r="C397" s="28" t="s">
        <v>18</v>
      </c>
      <c r="D397" s="28" t="s">
        <v>25</v>
      </c>
      <c r="E397" s="28" t="s">
        <v>33</v>
      </c>
      <c r="F397" s="23" t="s">
        <v>146</v>
      </c>
      <c r="G397" s="28">
        <v>1</v>
      </c>
      <c r="H397" s="28" t="s">
        <v>11</v>
      </c>
      <c r="I397" s="28" t="s">
        <v>11</v>
      </c>
    </row>
    <row r="398" spans="1:9" s="28" customFormat="1" x14ac:dyDescent="0.3">
      <c r="A398" s="28" t="s">
        <v>108</v>
      </c>
      <c r="B398" s="28" t="s">
        <v>35</v>
      </c>
      <c r="C398" s="28" t="s">
        <v>10</v>
      </c>
      <c r="D398" s="28" t="s">
        <v>11</v>
      </c>
      <c r="E398" s="28" t="s">
        <v>11</v>
      </c>
      <c r="F398" s="23" t="s">
        <v>11</v>
      </c>
      <c r="G398" s="28">
        <v>1</v>
      </c>
      <c r="H398" s="28" t="s">
        <v>35</v>
      </c>
      <c r="I398" s="28" t="s">
        <v>11</v>
      </c>
    </row>
    <row r="399" spans="1:9" s="28" customFormat="1" x14ac:dyDescent="0.3">
      <c r="A399" s="28" t="s">
        <v>108</v>
      </c>
      <c r="B399" s="28" t="s">
        <v>12</v>
      </c>
      <c r="C399" s="28" t="s">
        <v>13</v>
      </c>
      <c r="D399" s="28" t="s">
        <v>14</v>
      </c>
      <c r="E399" s="28" t="s">
        <v>15</v>
      </c>
      <c r="F399" s="23" t="s">
        <v>147</v>
      </c>
      <c r="G399" s="28">
        <v>1</v>
      </c>
      <c r="H399" s="28" t="s">
        <v>35</v>
      </c>
      <c r="I399" s="28" t="s">
        <v>36</v>
      </c>
    </row>
    <row r="400" spans="1:9" s="28" customFormat="1" x14ac:dyDescent="0.3">
      <c r="A400" s="28" t="s">
        <v>108</v>
      </c>
      <c r="B400" s="28" t="s">
        <v>17</v>
      </c>
      <c r="C400" s="28" t="s">
        <v>18</v>
      </c>
      <c r="D400" s="28" t="s">
        <v>14</v>
      </c>
      <c r="E400" s="28" t="s">
        <v>19</v>
      </c>
      <c r="F400" s="23" t="s">
        <v>148</v>
      </c>
      <c r="G400" s="28">
        <v>1</v>
      </c>
      <c r="H400" s="28" t="s">
        <v>11</v>
      </c>
      <c r="I400" s="28" t="s">
        <v>11</v>
      </c>
    </row>
    <row r="401" spans="1:9" s="28" customFormat="1" x14ac:dyDescent="0.3">
      <c r="A401" s="28" t="s">
        <v>108</v>
      </c>
      <c r="B401" s="28" t="s">
        <v>17</v>
      </c>
      <c r="C401" s="28" t="s">
        <v>18</v>
      </c>
      <c r="D401" s="28" t="s">
        <v>14</v>
      </c>
      <c r="E401" s="28" t="s">
        <v>19</v>
      </c>
      <c r="F401" s="23" t="s">
        <v>149</v>
      </c>
      <c r="G401" s="28">
        <v>1</v>
      </c>
      <c r="H401" s="28" t="s">
        <v>11</v>
      </c>
      <c r="I401" s="28" t="s">
        <v>11</v>
      </c>
    </row>
    <row r="402" spans="1:9" s="28" customFormat="1" x14ac:dyDescent="0.3">
      <c r="A402" s="28" t="s">
        <v>108</v>
      </c>
      <c r="B402" s="28" t="s">
        <v>20</v>
      </c>
      <c r="C402" s="28" t="s">
        <v>18</v>
      </c>
      <c r="D402" s="28" t="s">
        <v>14</v>
      </c>
      <c r="E402" s="28" t="s">
        <v>21</v>
      </c>
      <c r="F402" s="23" t="s">
        <v>150</v>
      </c>
      <c r="G402" s="28">
        <v>1</v>
      </c>
      <c r="H402" s="28" t="s">
        <v>11</v>
      </c>
      <c r="I402" s="28" t="s">
        <v>11</v>
      </c>
    </row>
    <row r="403" spans="1:9" s="28" customFormat="1" x14ac:dyDescent="0.3">
      <c r="A403" s="28" t="s">
        <v>108</v>
      </c>
      <c r="B403" s="28" t="s">
        <v>20</v>
      </c>
      <c r="C403" s="28" t="s">
        <v>18</v>
      </c>
      <c r="D403" s="28" t="s">
        <v>14</v>
      </c>
      <c r="E403" s="28" t="s">
        <v>21</v>
      </c>
      <c r="F403" s="23" t="s">
        <v>151</v>
      </c>
      <c r="G403" s="28">
        <v>1</v>
      </c>
      <c r="H403" s="28" t="s">
        <v>11</v>
      </c>
      <c r="I403" s="28" t="s">
        <v>11</v>
      </c>
    </row>
    <row r="404" spans="1:9" s="28" customFormat="1" x14ac:dyDescent="0.3">
      <c r="A404" s="28" t="s">
        <v>108</v>
      </c>
      <c r="B404" s="28" t="s">
        <v>12</v>
      </c>
      <c r="C404" s="28" t="s">
        <v>13</v>
      </c>
      <c r="D404" s="28" t="s">
        <v>14</v>
      </c>
      <c r="E404" s="28" t="s">
        <v>15</v>
      </c>
      <c r="F404" s="23" t="s">
        <v>152</v>
      </c>
      <c r="G404" s="28">
        <v>1</v>
      </c>
      <c r="H404" s="28" t="s">
        <v>35</v>
      </c>
      <c r="I404" s="28" t="s">
        <v>37</v>
      </c>
    </row>
    <row r="405" spans="1:9" s="28" customFormat="1" x14ac:dyDescent="0.3">
      <c r="A405" s="28" t="s">
        <v>108</v>
      </c>
      <c r="B405" s="28" t="s">
        <v>17</v>
      </c>
      <c r="C405" s="28" t="s">
        <v>18</v>
      </c>
      <c r="D405" s="28" t="s">
        <v>14</v>
      </c>
      <c r="E405" s="28" t="s">
        <v>19</v>
      </c>
      <c r="F405" s="23" t="s">
        <v>153</v>
      </c>
      <c r="G405" s="28">
        <v>1</v>
      </c>
      <c r="H405" s="28" t="s">
        <v>11</v>
      </c>
      <c r="I405" s="28" t="s">
        <v>11</v>
      </c>
    </row>
    <row r="406" spans="1:9" s="28" customFormat="1" x14ac:dyDescent="0.3">
      <c r="A406" s="28" t="s">
        <v>108</v>
      </c>
      <c r="B406" s="28" t="s">
        <v>17</v>
      </c>
      <c r="C406" s="28" t="s">
        <v>18</v>
      </c>
      <c r="D406" s="28" t="s">
        <v>14</v>
      </c>
      <c r="E406" s="28" t="s">
        <v>19</v>
      </c>
      <c r="F406" s="23" t="s">
        <v>154</v>
      </c>
      <c r="G406" s="28">
        <v>1</v>
      </c>
      <c r="H406" s="28" t="s">
        <v>11</v>
      </c>
      <c r="I406" s="28" t="s">
        <v>11</v>
      </c>
    </row>
    <row r="407" spans="1:9" s="28" customFormat="1" x14ac:dyDescent="0.3">
      <c r="A407" s="28" t="s">
        <v>108</v>
      </c>
      <c r="B407" s="28" t="s">
        <v>20</v>
      </c>
      <c r="C407" s="28" t="s">
        <v>18</v>
      </c>
      <c r="D407" s="28" t="s">
        <v>14</v>
      </c>
      <c r="E407" s="28" t="s">
        <v>21</v>
      </c>
      <c r="F407" s="23" t="s">
        <v>155</v>
      </c>
      <c r="G407" s="28">
        <v>1</v>
      </c>
      <c r="H407" s="28" t="s">
        <v>11</v>
      </c>
      <c r="I407" s="28" t="s">
        <v>11</v>
      </c>
    </row>
    <row r="408" spans="1:9" s="28" customFormat="1" x14ac:dyDescent="0.3">
      <c r="A408" s="28" t="s">
        <v>108</v>
      </c>
      <c r="B408" s="28" t="s">
        <v>20</v>
      </c>
      <c r="C408" s="28" t="s">
        <v>18</v>
      </c>
      <c r="D408" s="28" t="s">
        <v>14</v>
      </c>
      <c r="E408" s="28" t="s">
        <v>21</v>
      </c>
      <c r="F408" s="23" t="s">
        <v>156</v>
      </c>
      <c r="G408" s="28">
        <v>1</v>
      </c>
      <c r="H408" s="28" t="s">
        <v>11</v>
      </c>
      <c r="I408" s="28" t="s">
        <v>11</v>
      </c>
    </row>
    <row r="409" spans="1:9" s="28" customFormat="1" x14ac:dyDescent="0.3">
      <c r="A409" s="28" t="s">
        <v>108</v>
      </c>
      <c r="B409" s="28" t="s">
        <v>38</v>
      </c>
      <c r="C409" s="28" t="s">
        <v>39</v>
      </c>
      <c r="D409" s="28" t="s">
        <v>14</v>
      </c>
      <c r="E409" s="28" t="s">
        <v>572</v>
      </c>
      <c r="F409" s="23" t="s">
        <v>157</v>
      </c>
      <c r="G409" s="28">
        <v>1</v>
      </c>
      <c r="H409" s="28" t="s">
        <v>158</v>
      </c>
      <c r="I409" s="28" t="s">
        <v>11</v>
      </c>
    </row>
    <row r="410" spans="1:9" s="28" customFormat="1" x14ac:dyDescent="0.3">
      <c r="A410" s="28" t="s">
        <v>108</v>
      </c>
      <c r="B410" s="28" t="s">
        <v>38</v>
      </c>
      <c r="C410" s="28" t="s">
        <v>39</v>
      </c>
      <c r="D410" s="28" t="s">
        <v>14</v>
      </c>
      <c r="E410" s="28" t="s">
        <v>572</v>
      </c>
      <c r="F410" s="23" t="s">
        <v>159</v>
      </c>
      <c r="G410" s="28">
        <v>1</v>
      </c>
      <c r="H410" s="28" t="s">
        <v>160</v>
      </c>
      <c r="I410" s="28" t="s">
        <v>11</v>
      </c>
    </row>
    <row r="411" spans="1:9" s="28" customFormat="1" x14ac:dyDescent="0.3">
      <c r="A411" s="28" t="s">
        <v>108</v>
      </c>
      <c r="B411" s="28" t="s">
        <v>40</v>
      </c>
      <c r="C411" s="28" t="s">
        <v>41</v>
      </c>
      <c r="D411" s="28" t="s">
        <v>14</v>
      </c>
      <c r="E411" s="28" t="s">
        <v>42</v>
      </c>
      <c r="F411" s="23" t="s">
        <v>161</v>
      </c>
      <c r="G411" s="28">
        <v>1</v>
      </c>
      <c r="H411" s="28" t="s">
        <v>35</v>
      </c>
      <c r="I411" s="28" t="s">
        <v>43</v>
      </c>
    </row>
    <row r="412" spans="1:9" s="28" customFormat="1" x14ac:dyDescent="0.3">
      <c r="A412" s="28" t="s">
        <v>108</v>
      </c>
      <c r="B412" s="28" t="s">
        <v>44</v>
      </c>
      <c r="C412" s="28" t="s">
        <v>41</v>
      </c>
      <c r="D412" s="28" t="s">
        <v>14</v>
      </c>
      <c r="E412" s="28" t="s">
        <v>45</v>
      </c>
      <c r="F412" s="23" t="s">
        <v>162</v>
      </c>
      <c r="G412" s="28">
        <v>1</v>
      </c>
      <c r="H412" s="28" t="s">
        <v>11</v>
      </c>
      <c r="I412" s="28" t="s">
        <v>11</v>
      </c>
    </row>
    <row r="413" spans="1:9" s="28" customFormat="1" x14ac:dyDescent="0.3">
      <c r="A413" s="28" t="s">
        <v>108</v>
      </c>
      <c r="B413" s="28" t="s">
        <v>44</v>
      </c>
      <c r="C413" s="28" t="s">
        <v>41</v>
      </c>
      <c r="D413" s="28" t="s">
        <v>14</v>
      </c>
      <c r="E413" s="28" t="s">
        <v>45</v>
      </c>
      <c r="F413" s="23" t="s">
        <v>163</v>
      </c>
      <c r="G413" s="28">
        <v>1</v>
      </c>
      <c r="H413" s="28" t="s">
        <v>11</v>
      </c>
      <c r="I413" s="28" t="s">
        <v>11</v>
      </c>
    </row>
    <row r="414" spans="1:9" s="28" customFormat="1" x14ac:dyDescent="0.3">
      <c r="A414" s="28" t="s">
        <v>108</v>
      </c>
      <c r="B414" s="28" t="s">
        <v>46</v>
      </c>
      <c r="C414" s="28" t="s">
        <v>39</v>
      </c>
      <c r="D414" s="28" t="s">
        <v>14</v>
      </c>
      <c r="E414" s="28" t="s">
        <v>47</v>
      </c>
      <c r="F414" s="23" t="s">
        <v>164</v>
      </c>
      <c r="G414" s="28">
        <v>1</v>
      </c>
      <c r="H414" s="28" t="s">
        <v>165</v>
      </c>
      <c r="I414" s="28" t="s">
        <v>11</v>
      </c>
    </row>
    <row r="415" spans="1:9" s="28" customFormat="1" x14ac:dyDescent="0.3">
      <c r="A415" s="28" t="s">
        <v>108</v>
      </c>
      <c r="B415" s="28" t="s">
        <v>46</v>
      </c>
      <c r="C415" s="28" t="s">
        <v>39</v>
      </c>
      <c r="D415" s="28" t="s">
        <v>14</v>
      </c>
      <c r="E415" s="28" t="s">
        <v>47</v>
      </c>
      <c r="F415" s="23" t="s">
        <v>166</v>
      </c>
      <c r="G415" s="28">
        <v>1</v>
      </c>
      <c r="H415" s="28" t="s">
        <v>167</v>
      </c>
      <c r="I415" s="28" t="s">
        <v>11</v>
      </c>
    </row>
    <row r="416" spans="1:9" s="28" customFormat="1" x14ac:dyDescent="0.3">
      <c r="A416" s="28" t="s">
        <v>108</v>
      </c>
      <c r="B416" s="28" t="s">
        <v>46</v>
      </c>
      <c r="C416" s="28" t="s">
        <v>39</v>
      </c>
      <c r="D416" s="28" t="s">
        <v>14</v>
      </c>
      <c r="E416" s="28" t="s">
        <v>47</v>
      </c>
      <c r="F416" s="23" t="s">
        <v>168</v>
      </c>
      <c r="G416" s="28">
        <v>1</v>
      </c>
      <c r="H416" s="28" t="s">
        <v>169</v>
      </c>
      <c r="I416" s="28" t="s">
        <v>11</v>
      </c>
    </row>
    <row r="417" spans="1:9" s="28" customFormat="1" x14ac:dyDescent="0.3">
      <c r="A417" s="28" t="s">
        <v>108</v>
      </c>
      <c r="B417" s="28" t="s">
        <v>46</v>
      </c>
      <c r="C417" s="28" t="s">
        <v>39</v>
      </c>
      <c r="D417" s="28" t="s">
        <v>14</v>
      </c>
      <c r="E417" s="28" t="s">
        <v>47</v>
      </c>
      <c r="F417" s="23" t="s">
        <v>170</v>
      </c>
      <c r="G417" s="28">
        <v>1</v>
      </c>
      <c r="H417" s="28" t="s">
        <v>171</v>
      </c>
      <c r="I417" s="28" t="s">
        <v>11</v>
      </c>
    </row>
    <row r="418" spans="1:9" s="28" customFormat="1" x14ac:dyDescent="0.3">
      <c r="A418" s="28" t="s">
        <v>108</v>
      </c>
      <c r="B418" s="28" t="s">
        <v>46</v>
      </c>
      <c r="C418" s="28" t="s">
        <v>39</v>
      </c>
      <c r="D418" s="28" t="s">
        <v>14</v>
      </c>
      <c r="E418" s="28" t="s">
        <v>47</v>
      </c>
      <c r="F418" s="23" t="s">
        <v>172</v>
      </c>
      <c r="G418" s="28">
        <v>1</v>
      </c>
      <c r="H418" s="28" t="s">
        <v>173</v>
      </c>
      <c r="I418" s="28" t="s">
        <v>11</v>
      </c>
    </row>
    <row r="419" spans="1:9" s="28" customFormat="1" x14ac:dyDescent="0.3">
      <c r="A419" s="28" t="s">
        <v>108</v>
      </c>
      <c r="B419" s="28" t="s">
        <v>46</v>
      </c>
      <c r="C419" s="28" t="s">
        <v>39</v>
      </c>
      <c r="D419" s="28" t="s">
        <v>14</v>
      </c>
      <c r="E419" s="28" t="s">
        <v>47</v>
      </c>
      <c r="F419" s="23" t="s">
        <v>174</v>
      </c>
      <c r="G419" s="28">
        <v>1</v>
      </c>
      <c r="H419" s="28" t="s">
        <v>175</v>
      </c>
      <c r="I419" s="28" t="s">
        <v>11</v>
      </c>
    </row>
    <row r="420" spans="1:9" s="28" customFormat="1" x14ac:dyDescent="0.3">
      <c r="A420" s="28" t="s">
        <v>108</v>
      </c>
      <c r="B420" s="28" t="s">
        <v>46</v>
      </c>
      <c r="C420" s="28" t="s">
        <v>39</v>
      </c>
      <c r="D420" s="28" t="s">
        <v>14</v>
      </c>
      <c r="E420" s="28" t="s">
        <v>47</v>
      </c>
      <c r="F420" s="23" t="s">
        <v>176</v>
      </c>
      <c r="G420" s="28">
        <v>1</v>
      </c>
      <c r="H420" s="28" t="s">
        <v>177</v>
      </c>
      <c r="I420" s="28" t="s">
        <v>11</v>
      </c>
    </row>
    <row r="421" spans="1:9" s="28" customFormat="1" x14ac:dyDescent="0.3">
      <c r="A421" s="28" t="s">
        <v>108</v>
      </c>
      <c r="B421" s="28" t="s">
        <v>46</v>
      </c>
      <c r="C421" s="28" t="s">
        <v>39</v>
      </c>
      <c r="D421" s="28" t="s">
        <v>14</v>
      </c>
      <c r="E421" s="28" t="s">
        <v>47</v>
      </c>
      <c r="F421" s="23" t="s">
        <v>178</v>
      </c>
      <c r="G421" s="28">
        <v>1</v>
      </c>
      <c r="H421" s="28" t="s">
        <v>179</v>
      </c>
      <c r="I421" s="28" t="s">
        <v>11</v>
      </c>
    </row>
    <row r="422" spans="1:9" s="28" customFormat="1" x14ac:dyDescent="0.3">
      <c r="A422" s="28" t="s">
        <v>108</v>
      </c>
      <c r="B422" s="28" t="s">
        <v>46</v>
      </c>
      <c r="C422" s="28" t="s">
        <v>39</v>
      </c>
      <c r="D422" s="28" t="s">
        <v>14</v>
      </c>
      <c r="E422" s="28" t="s">
        <v>47</v>
      </c>
      <c r="F422" s="23" t="s">
        <v>180</v>
      </c>
      <c r="G422" s="28">
        <v>1</v>
      </c>
      <c r="H422" s="28" t="s">
        <v>181</v>
      </c>
      <c r="I422" s="28" t="s">
        <v>11</v>
      </c>
    </row>
    <row r="423" spans="1:9" s="28" customFormat="1" x14ac:dyDescent="0.3">
      <c r="A423" s="28" t="s">
        <v>108</v>
      </c>
      <c r="B423" s="28" t="s">
        <v>46</v>
      </c>
      <c r="C423" s="28" t="s">
        <v>39</v>
      </c>
      <c r="D423" s="28" t="s">
        <v>14</v>
      </c>
      <c r="E423" s="28" t="s">
        <v>47</v>
      </c>
      <c r="F423" s="23" t="s">
        <v>182</v>
      </c>
      <c r="G423" s="28">
        <v>1</v>
      </c>
      <c r="H423" s="28" t="s">
        <v>183</v>
      </c>
      <c r="I423" s="28" t="s">
        <v>11</v>
      </c>
    </row>
    <row r="424" spans="1:9" s="28" customFormat="1" x14ac:dyDescent="0.3">
      <c r="A424" s="28" t="s">
        <v>108</v>
      </c>
      <c r="B424" s="28" t="s">
        <v>46</v>
      </c>
      <c r="C424" s="28" t="s">
        <v>39</v>
      </c>
      <c r="D424" s="28" t="s">
        <v>14</v>
      </c>
      <c r="E424" s="28" t="s">
        <v>47</v>
      </c>
      <c r="F424" s="23" t="s">
        <v>184</v>
      </c>
      <c r="G424" s="28">
        <v>1</v>
      </c>
      <c r="H424" s="28" t="s">
        <v>185</v>
      </c>
      <c r="I424" s="28" t="s">
        <v>11</v>
      </c>
    </row>
    <row r="425" spans="1:9" s="28" customFormat="1" x14ac:dyDescent="0.3">
      <c r="A425" s="28" t="s">
        <v>108</v>
      </c>
      <c r="B425" s="28" t="s">
        <v>46</v>
      </c>
      <c r="C425" s="28" t="s">
        <v>39</v>
      </c>
      <c r="D425" s="28" t="s">
        <v>14</v>
      </c>
      <c r="E425" s="28" t="s">
        <v>47</v>
      </c>
      <c r="F425" s="23" t="s">
        <v>186</v>
      </c>
      <c r="G425" s="28">
        <v>1</v>
      </c>
      <c r="H425" s="28" t="s">
        <v>187</v>
      </c>
      <c r="I425" s="28" t="s">
        <v>11</v>
      </c>
    </row>
    <row r="426" spans="1:9" s="28" customFormat="1" x14ac:dyDescent="0.3">
      <c r="A426" s="28" t="s">
        <v>108</v>
      </c>
      <c r="B426" s="28" t="s">
        <v>48</v>
      </c>
      <c r="C426" s="28" t="s">
        <v>18</v>
      </c>
      <c r="D426" s="28" t="s">
        <v>14</v>
      </c>
      <c r="E426" s="28" t="s">
        <v>49</v>
      </c>
      <c r="F426" s="23" t="s">
        <v>188</v>
      </c>
      <c r="G426" s="28">
        <v>1</v>
      </c>
      <c r="H426" s="28" t="s">
        <v>11</v>
      </c>
      <c r="I426" s="28" t="s">
        <v>11</v>
      </c>
    </row>
    <row r="427" spans="1:9" s="28" customFormat="1" x14ac:dyDescent="0.3">
      <c r="A427" s="28" t="s">
        <v>108</v>
      </c>
      <c r="B427" s="28" t="s">
        <v>48</v>
      </c>
      <c r="C427" s="28" t="s">
        <v>18</v>
      </c>
      <c r="D427" s="28" t="s">
        <v>14</v>
      </c>
      <c r="E427" s="28" t="s">
        <v>49</v>
      </c>
      <c r="F427" s="23" t="s">
        <v>189</v>
      </c>
      <c r="G427" s="28">
        <v>1</v>
      </c>
      <c r="H427" s="28" t="s">
        <v>11</v>
      </c>
      <c r="I427" s="28" t="s">
        <v>11</v>
      </c>
    </row>
    <row r="428" spans="1:9" s="28" customFormat="1" x14ac:dyDescent="0.3">
      <c r="A428" s="28" t="s">
        <v>108</v>
      </c>
      <c r="B428" s="28" t="s">
        <v>48</v>
      </c>
      <c r="C428" s="28" t="s">
        <v>18</v>
      </c>
      <c r="D428" s="28" t="s">
        <v>14</v>
      </c>
      <c r="E428" s="28" t="s">
        <v>49</v>
      </c>
      <c r="F428" s="23" t="s">
        <v>190</v>
      </c>
      <c r="G428" s="28">
        <v>1</v>
      </c>
      <c r="H428" s="28" t="s">
        <v>11</v>
      </c>
      <c r="I428" s="28" t="s">
        <v>11</v>
      </c>
    </row>
    <row r="429" spans="1:9" s="28" customFormat="1" x14ac:dyDescent="0.3">
      <c r="A429" s="28" t="s">
        <v>108</v>
      </c>
      <c r="B429" s="28" t="s">
        <v>48</v>
      </c>
      <c r="C429" s="28" t="s">
        <v>18</v>
      </c>
      <c r="D429" s="28" t="s">
        <v>14</v>
      </c>
      <c r="E429" s="28" t="s">
        <v>49</v>
      </c>
      <c r="F429" s="23" t="s">
        <v>191</v>
      </c>
      <c r="G429" s="28">
        <v>1</v>
      </c>
      <c r="H429" s="28" t="s">
        <v>11</v>
      </c>
      <c r="I429" s="28" t="s">
        <v>11</v>
      </c>
    </row>
    <row r="430" spans="1:9" s="28" customFormat="1" x14ac:dyDescent="0.3">
      <c r="A430" s="28" t="s">
        <v>108</v>
      </c>
      <c r="B430" s="28" t="s">
        <v>48</v>
      </c>
      <c r="C430" s="28" t="s">
        <v>18</v>
      </c>
      <c r="D430" s="28" t="s">
        <v>14</v>
      </c>
      <c r="E430" s="28" t="s">
        <v>49</v>
      </c>
      <c r="F430" s="23" t="s">
        <v>192</v>
      </c>
      <c r="G430" s="28">
        <v>1</v>
      </c>
      <c r="H430" s="28" t="s">
        <v>11</v>
      </c>
      <c r="I430" s="28" t="s">
        <v>11</v>
      </c>
    </row>
    <row r="431" spans="1:9" s="28" customFormat="1" x14ac:dyDescent="0.3">
      <c r="A431" s="28" t="s">
        <v>108</v>
      </c>
      <c r="B431" s="28" t="s">
        <v>48</v>
      </c>
      <c r="C431" s="28" t="s">
        <v>18</v>
      </c>
      <c r="D431" s="28" t="s">
        <v>14</v>
      </c>
      <c r="E431" s="28" t="s">
        <v>49</v>
      </c>
      <c r="F431" s="23" t="s">
        <v>193</v>
      </c>
      <c r="G431" s="28">
        <v>1</v>
      </c>
      <c r="H431" s="28" t="s">
        <v>11</v>
      </c>
      <c r="I431" s="28" t="s">
        <v>11</v>
      </c>
    </row>
    <row r="432" spans="1:9" s="28" customFormat="1" x14ac:dyDescent="0.3">
      <c r="A432" s="28" t="s">
        <v>108</v>
      </c>
      <c r="B432" s="28" t="s">
        <v>48</v>
      </c>
      <c r="C432" s="28" t="s">
        <v>18</v>
      </c>
      <c r="D432" s="28" t="s">
        <v>14</v>
      </c>
      <c r="E432" s="28" t="s">
        <v>49</v>
      </c>
      <c r="F432" s="23" t="s">
        <v>194</v>
      </c>
      <c r="G432" s="28">
        <v>1</v>
      </c>
      <c r="H432" s="28" t="s">
        <v>11</v>
      </c>
      <c r="I432" s="28" t="s">
        <v>11</v>
      </c>
    </row>
    <row r="433" spans="1:9" s="28" customFormat="1" x14ac:dyDescent="0.3">
      <c r="A433" s="28" t="s">
        <v>108</v>
      </c>
      <c r="B433" s="28" t="s">
        <v>48</v>
      </c>
      <c r="C433" s="28" t="s">
        <v>18</v>
      </c>
      <c r="D433" s="28" t="s">
        <v>14</v>
      </c>
      <c r="E433" s="28" t="s">
        <v>49</v>
      </c>
      <c r="F433" s="23" t="s">
        <v>195</v>
      </c>
      <c r="G433" s="28">
        <v>1</v>
      </c>
      <c r="H433" s="28" t="s">
        <v>11</v>
      </c>
      <c r="I433" s="28" t="s">
        <v>11</v>
      </c>
    </row>
    <row r="434" spans="1:9" s="28" customFormat="1" x14ac:dyDescent="0.3">
      <c r="A434" s="28" t="s">
        <v>108</v>
      </c>
      <c r="B434" s="28" t="s">
        <v>50</v>
      </c>
      <c r="C434" s="28" t="s">
        <v>10</v>
      </c>
      <c r="D434" s="28" t="s">
        <v>11</v>
      </c>
      <c r="E434" s="28" t="s">
        <v>11</v>
      </c>
      <c r="F434" s="23" t="s">
        <v>11</v>
      </c>
      <c r="G434" s="28">
        <v>1</v>
      </c>
      <c r="H434" s="28" t="s">
        <v>50</v>
      </c>
      <c r="I434" s="28" t="s">
        <v>11</v>
      </c>
    </row>
    <row r="435" spans="1:9" s="28" customFormat="1" x14ac:dyDescent="0.3">
      <c r="A435" s="28" t="s">
        <v>108</v>
      </c>
      <c r="B435" s="28" t="s">
        <v>51</v>
      </c>
      <c r="C435" s="28" t="s">
        <v>52</v>
      </c>
      <c r="D435" s="28" t="s">
        <v>53</v>
      </c>
      <c r="E435" s="28" t="s">
        <v>54</v>
      </c>
      <c r="F435" s="23" t="s">
        <v>196</v>
      </c>
      <c r="G435" s="28">
        <v>1</v>
      </c>
      <c r="H435" s="28" t="s">
        <v>50</v>
      </c>
      <c r="I435" s="28" t="s">
        <v>55</v>
      </c>
    </row>
    <row r="436" spans="1:9" s="28" customFormat="1" x14ac:dyDescent="0.3">
      <c r="A436" s="28" t="s">
        <v>108</v>
      </c>
      <c r="B436" s="28" t="s">
        <v>56</v>
      </c>
      <c r="C436" s="28" t="s">
        <v>57</v>
      </c>
      <c r="D436" s="28" t="s">
        <v>14</v>
      </c>
      <c r="E436" s="28" t="s">
        <v>58</v>
      </c>
      <c r="F436" s="23" t="s">
        <v>197</v>
      </c>
      <c r="G436" s="28">
        <v>1</v>
      </c>
      <c r="H436" s="28" t="s">
        <v>50</v>
      </c>
      <c r="I436" s="28" t="s">
        <v>59</v>
      </c>
    </row>
    <row r="437" spans="1:9" s="28" customFormat="1" x14ac:dyDescent="0.3">
      <c r="A437" s="28" t="s">
        <v>108</v>
      </c>
      <c r="B437" s="28" t="s">
        <v>60</v>
      </c>
      <c r="C437" s="28" t="s">
        <v>61</v>
      </c>
      <c r="D437" s="28" t="s">
        <v>11</v>
      </c>
      <c r="E437" s="28" t="s">
        <v>11</v>
      </c>
      <c r="F437" s="23" t="s">
        <v>11</v>
      </c>
      <c r="G437" s="28">
        <v>1</v>
      </c>
      <c r="H437" s="28" t="s">
        <v>60</v>
      </c>
      <c r="I437" s="28" t="s">
        <v>11</v>
      </c>
    </row>
    <row r="438" spans="1:9" s="28" customFormat="1" x14ac:dyDescent="0.3">
      <c r="A438" s="28" t="s">
        <v>108</v>
      </c>
      <c r="B438" s="28" t="s">
        <v>378</v>
      </c>
      <c r="C438" s="28" t="s">
        <v>379</v>
      </c>
      <c r="D438" s="28" t="s">
        <v>380</v>
      </c>
      <c r="E438" s="28" t="s">
        <v>381</v>
      </c>
      <c r="F438" s="23" t="s">
        <v>717</v>
      </c>
      <c r="H438" s="28" t="s">
        <v>11</v>
      </c>
      <c r="I438" s="28" t="s">
        <v>11</v>
      </c>
    </row>
    <row r="439" spans="1:9" s="28" customFormat="1" x14ac:dyDescent="0.3">
      <c r="A439" s="28" t="s">
        <v>108</v>
      </c>
      <c r="B439" s="28" t="s">
        <v>383</v>
      </c>
      <c r="C439" s="28" t="s">
        <v>384</v>
      </c>
      <c r="D439" s="28" t="s">
        <v>380</v>
      </c>
      <c r="E439" s="28" t="s">
        <v>385</v>
      </c>
      <c r="F439" s="23" t="s">
        <v>718</v>
      </c>
      <c r="H439" s="28" t="s">
        <v>11</v>
      </c>
      <c r="I439" s="28" t="s">
        <v>11</v>
      </c>
    </row>
    <row r="440" spans="1:9" s="28" customFormat="1" x14ac:dyDescent="0.3">
      <c r="A440" s="28" t="s">
        <v>108</v>
      </c>
      <c r="B440" s="28" t="s">
        <v>387</v>
      </c>
      <c r="C440" s="28" t="s">
        <v>388</v>
      </c>
      <c r="D440" s="28" t="s">
        <v>380</v>
      </c>
      <c r="E440" s="28" t="s">
        <v>388</v>
      </c>
      <c r="F440" s="23" t="s">
        <v>389</v>
      </c>
      <c r="G440" s="28">
        <v>1</v>
      </c>
      <c r="H440" s="28" t="s">
        <v>11</v>
      </c>
      <c r="I440" s="28" t="s">
        <v>11</v>
      </c>
    </row>
    <row r="441" spans="1:9" s="28" customFormat="1" x14ac:dyDescent="0.3">
      <c r="A441" s="28" t="s">
        <v>108</v>
      </c>
      <c r="B441" s="28" t="s">
        <v>387</v>
      </c>
      <c r="C441" s="28" t="s">
        <v>388</v>
      </c>
      <c r="D441" s="28" t="s">
        <v>380</v>
      </c>
      <c r="E441" s="28" t="s">
        <v>388</v>
      </c>
      <c r="F441" s="23" t="s">
        <v>389</v>
      </c>
      <c r="G441" s="28">
        <v>1</v>
      </c>
      <c r="H441" s="28" t="s">
        <v>11</v>
      </c>
      <c r="I441" s="28" t="s">
        <v>11</v>
      </c>
    </row>
    <row r="442" spans="1:9" s="28" customFormat="1" x14ac:dyDescent="0.3">
      <c r="A442" s="28" t="s">
        <v>108</v>
      </c>
      <c r="B442" s="28" t="s">
        <v>62</v>
      </c>
      <c r="C442" s="28" t="s">
        <v>63</v>
      </c>
      <c r="D442" s="28" t="s">
        <v>64</v>
      </c>
      <c r="E442" s="28" t="s">
        <v>65</v>
      </c>
      <c r="F442" s="23" t="s">
        <v>198</v>
      </c>
      <c r="G442" s="28">
        <v>1</v>
      </c>
      <c r="H442" s="28" t="s">
        <v>621</v>
      </c>
      <c r="I442" s="28" t="s">
        <v>66</v>
      </c>
    </row>
    <row r="443" spans="1:9" s="28" customFormat="1" x14ac:dyDescent="0.3">
      <c r="A443" s="28" t="s">
        <v>108</v>
      </c>
      <c r="B443" s="28" t="s">
        <v>393</v>
      </c>
      <c r="C443" s="28" t="s">
        <v>394</v>
      </c>
      <c r="D443" s="28" t="s">
        <v>380</v>
      </c>
      <c r="E443" s="28" t="s">
        <v>395</v>
      </c>
      <c r="F443" s="23" t="s">
        <v>1012</v>
      </c>
      <c r="G443" s="28">
        <v>1</v>
      </c>
      <c r="H443" s="28" t="s">
        <v>66</v>
      </c>
      <c r="I443" s="28" t="s">
        <v>11</v>
      </c>
    </row>
    <row r="444" spans="1:9" s="28" customFormat="1" x14ac:dyDescent="0.3">
      <c r="A444" s="28" t="s">
        <v>108</v>
      </c>
      <c r="B444" s="28" t="s">
        <v>623</v>
      </c>
      <c r="C444" s="28" t="s">
        <v>624</v>
      </c>
      <c r="D444" s="28" t="s">
        <v>380</v>
      </c>
      <c r="E444" s="28" t="s">
        <v>625</v>
      </c>
      <c r="F444" s="23" t="s">
        <v>1011</v>
      </c>
      <c r="G444" s="28">
        <v>1</v>
      </c>
      <c r="H444" s="28" t="s">
        <v>66</v>
      </c>
      <c r="I444" s="28" t="s">
        <v>11</v>
      </c>
    </row>
    <row r="445" spans="1:9" s="28" customFormat="1" x14ac:dyDescent="0.3">
      <c r="A445" s="28" t="s">
        <v>108</v>
      </c>
      <c r="B445" s="28" t="s">
        <v>396</v>
      </c>
      <c r="C445" s="28" t="s">
        <v>397</v>
      </c>
      <c r="D445" s="28" t="s">
        <v>64</v>
      </c>
      <c r="E445" s="28" t="s">
        <v>398</v>
      </c>
      <c r="F445" s="23" t="s">
        <v>719</v>
      </c>
      <c r="G445" s="28">
        <v>1</v>
      </c>
      <c r="H445" s="28" t="s">
        <v>66</v>
      </c>
      <c r="I445" s="28" t="s">
        <v>11</v>
      </c>
    </row>
    <row r="446" spans="1:9" s="28" customFormat="1" x14ac:dyDescent="0.3">
      <c r="A446" s="28" t="s">
        <v>108</v>
      </c>
      <c r="B446" s="28" t="s">
        <v>400</v>
      </c>
      <c r="C446" s="28" t="s">
        <v>401</v>
      </c>
      <c r="D446" s="28" t="s">
        <v>64</v>
      </c>
      <c r="E446" s="28" t="s">
        <v>402</v>
      </c>
      <c r="F446" s="23" t="s">
        <v>389</v>
      </c>
      <c r="G446" s="28">
        <v>1</v>
      </c>
      <c r="H446" s="28" t="s">
        <v>66</v>
      </c>
      <c r="I446" s="28" t="s">
        <v>11</v>
      </c>
    </row>
    <row r="447" spans="1:9" s="28" customFormat="1" x14ac:dyDescent="0.3">
      <c r="A447" s="28" t="s">
        <v>108</v>
      </c>
      <c r="B447" s="28" t="s">
        <v>407</v>
      </c>
      <c r="C447" s="28" t="s">
        <v>408</v>
      </c>
      <c r="D447" s="28" t="s">
        <v>64</v>
      </c>
      <c r="E447" s="28" t="s">
        <v>409</v>
      </c>
      <c r="F447" s="23" t="s">
        <v>720</v>
      </c>
      <c r="G447" s="28">
        <v>1</v>
      </c>
      <c r="H447" s="28" t="s">
        <v>66</v>
      </c>
      <c r="I447" s="28" t="s">
        <v>11</v>
      </c>
    </row>
    <row r="448" spans="1:9" s="28" customFormat="1" x14ac:dyDescent="0.3">
      <c r="A448" s="28" t="s">
        <v>108</v>
      </c>
      <c r="B448" s="28" t="s">
        <v>67</v>
      </c>
      <c r="C448" s="28" t="s">
        <v>68</v>
      </c>
      <c r="D448" s="28" t="s">
        <v>64</v>
      </c>
      <c r="E448" s="28" t="s">
        <v>69</v>
      </c>
      <c r="F448" s="23" t="s">
        <v>199</v>
      </c>
      <c r="G448" s="28">
        <v>1</v>
      </c>
      <c r="H448" s="28" t="s">
        <v>66</v>
      </c>
      <c r="I448" s="28" t="s">
        <v>70</v>
      </c>
    </row>
    <row r="449" spans="1:9" s="28" customFormat="1" x14ac:dyDescent="0.3">
      <c r="A449" s="28" t="s">
        <v>108</v>
      </c>
      <c r="B449" s="28" t="s">
        <v>67</v>
      </c>
      <c r="C449" s="28" t="s">
        <v>68</v>
      </c>
      <c r="D449" s="28" t="s">
        <v>64</v>
      </c>
      <c r="E449" s="28" t="s">
        <v>69</v>
      </c>
      <c r="F449" s="23" t="s">
        <v>200</v>
      </c>
      <c r="G449" s="28">
        <v>1</v>
      </c>
      <c r="H449" s="28" t="s">
        <v>66</v>
      </c>
      <c r="I449" s="28" t="s">
        <v>71</v>
      </c>
    </row>
    <row r="450" spans="1:9" s="28" customFormat="1" x14ac:dyDescent="0.3">
      <c r="A450" s="28" t="s">
        <v>108</v>
      </c>
      <c r="B450" s="28" t="s">
        <v>632</v>
      </c>
      <c r="C450" s="28" t="s">
        <v>633</v>
      </c>
      <c r="D450" s="28" t="s">
        <v>64</v>
      </c>
      <c r="E450" s="28" t="s">
        <v>385</v>
      </c>
      <c r="F450" s="23" t="s">
        <v>721</v>
      </c>
      <c r="H450" s="28" t="s">
        <v>66</v>
      </c>
      <c r="I450" s="28" t="s">
        <v>11</v>
      </c>
    </row>
    <row r="451" spans="1:9" s="28" customFormat="1" x14ac:dyDescent="0.3">
      <c r="A451" s="28" t="s">
        <v>108</v>
      </c>
      <c r="B451" s="28" t="s">
        <v>632</v>
      </c>
      <c r="C451" s="28" t="s">
        <v>633</v>
      </c>
      <c r="D451" s="28" t="s">
        <v>64</v>
      </c>
      <c r="E451" s="28" t="s">
        <v>385</v>
      </c>
      <c r="F451" s="23" t="s">
        <v>722</v>
      </c>
      <c r="H451" s="28" t="s">
        <v>66</v>
      </c>
      <c r="I451" s="28" t="s">
        <v>11</v>
      </c>
    </row>
    <row r="452" spans="1:9" s="28" customFormat="1" x14ac:dyDescent="0.3">
      <c r="A452" s="28" t="s">
        <v>108</v>
      </c>
      <c r="B452" s="28" t="s">
        <v>62</v>
      </c>
      <c r="C452" s="28" t="s">
        <v>63</v>
      </c>
      <c r="D452" s="28" t="s">
        <v>64</v>
      </c>
      <c r="E452" s="28" t="s">
        <v>65</v>
      </c>
      <c r="F452" s="23" t="s">
        <v>201</v>
      </c>
      <c r="G452" s="28">
        <v>1</v>
      </c>
      <c r="H452" s="28" t="s">
        <v>417</v>
      </c>
      <c r="I452" s="28" t="s">
        <v>72</v>
      </c>
    </row>
    <row r="453" spans="1:9" s="28" customFormat="1" x14ac:dyDescent="0.3">
      <c r="A453" s="28" t="s">
        <v>108</v>
      </c>
      <c r="B453" s="28" t="s">
        <v>393</v>
      </c>
      <c r="C453" s="28" t="s">
        <v>394</v>
      </c>
      <c r="D453" s="28" t="s">
        <v>380</v>
      </c>
      <c r="E453" s="28" t="s">
        <v>395</v>
      </c>
      <c r="F453" s="23" t="s">
        <v>1018</v>
      </c>
      <c r="G453" s="28">
        <v>1</v>
      </c>
      <c r="H453" s="28" t="s">
        <v>72</v>
      </c>
      <c r="I453" s="28" t="s">
        <v>11</v>
      </c>
    </row>
    <row r="454" spans="1:9" s="28" customFormat="1" x14ac:dyDescent="0.3">
      <c r="A454" s="28" t="s">
        <v>108</v>
      </c>
      <c r="B454" s="28" t="s">
        <v>396</v>
      </c>
      <c r="C454" s="28" t="s">
        <v>397</v>
      </c>
      <c r="D454" s="28" t="s">
        <v>64</v>
      </c>
      <c r="E454" s="28" t="s">
        <v>398</v>
      </c>
      <c r="F454" s="23" t="s">
        <v>723</v>
      </c>
      <c r="G454" s="28">
        <v>1</v>
      </c>
      <c r="H454" s="28" t="s">
        <v>72</v>
      </c>
      <c r="I454" s="28" t="s">
        <v>11</v>
      </c>
    </row>
    <row r="455" spans="1:9" s="28" customFormat="1" x14ac:dyDescent="0.3">
      <c r="A455" s="28" t="s">
        <v>108</v>
      </c>
      <c r="B455" s="28" t="s">
        <v>400</v>
      </c>
      <c r="C455" s="28" t="s">
        <v>401</v>
      </c>
      <c r="D455" s="28" t="s">
        <v>64</v>
      </c>
      <c r="E455" s="28" t="s">
        <v>402</v>
      </c>
      <c r="F455" s="23" t="s">
        <v>389</v>
      </c>
      <c r="G455" s="28">
        <v>1</v>
      </c>
      <c r="H455" s="28" t="s">
        <v>72</v>
      </c>
      <c r="I455" s="28" t="s">
        <v>11</v>
      </c>
    </row>
    <row r="456" spans="1:9" s="28" customFormat="1" x14ac:dyDescent="0.3">
      <c r="A456" s="28" t="s">
        <v>108</v>
      </c>
      <c r="B456" s="28" t="s">
        <v>403</v>
      </c>
      <c r="C456" s="28" t="s">
        <v>404</v>
      </c>
      <c r="D456" s="28" t="s">
        <v>64</v>
      </c>
      <c r="E456" s="28" t="s">
        <v>405</v>
      </c>
      <c r="F456" s="23" t="s">
        <v>724</v>
      </c>
      <c r="G456" s="28">
        <v>1</v>
      </c>
      <c r="H456" s="28" t="s">
        <v>72</v>
      </c>
      <c r="I456" s="28" t="s">
        <v>11</v>
      </c>
    </row>
    <row r="457" spans="1:9" s="28" customFormat="1" x14ac:dyDescent="0.3">
      <c r="A457" s="28" t="s">
        <v>108</v>
      </c>
      <c r="B457" s="28" t="s">
        <v>407</v>
      </c>
      <c r="C457" s="28" t="s">
        <v>408</v>
      </c>
      <c r="D457" s="28" t="s">
        <v>64</v>
      </c>
      <c r="E457" s="28" t="s">
        <v>409</v>
      </c>
      <c r="F457" s="23" t="s">
        <v>725</v>
      </c>
      <c r="G457" s="28">
        <v>1</v>
      </c>
      <c r="H457" s="28" t="s">
        <v>72</v>
      </c>
      <c r="I457" s="28" t="s">
        <v>11</v>
      </c>
    </row>
    <row r="458" spans="1:9" s="28" customFormat="1" x14ac:dyDescent="0.3">
      <c r="A458" s="28" t="s">
        <v>108</v>
      </c>
      <c r="B458" s="28" t="s">
        <v>67</v>
      </c>
      <c r="C458" s="28" t="s">
        <v>68</v>
      </c>
      <c r="D458" s="28" t="s">
        <v>64</v>
      </c>
      <c r="E458" s="28" t="s">
        <v>69</v>
      </c>
      <c r="F458" s="23" t="s">
        <v>202</v>
      </c>
      <c r="G458" s="28">
        <v>1</v>
      </c>
      <c r="H458" s="28" t="s">
        <v>72</v>
      </c>
      <c r="I458" s="28" t="s">
        <v>73</v>
      </c>
    </row>
    <row r="459" spans="1:9" s="28" customFormat="1" x14ac:dyDescent="0.3">
      <c r="A459" s="28" t="s">
        <v>108</v>
      </c>
      <c r="B459" s="28" t="s">
        <v>67</v>
      </c>
      <c r="C459" s="28" t="s">
        <v>68</v>
      </c>
      <c r="D459" s="28" t="s">
        <v>64</v>
      </c>
      <c r="E459" s="28" t="s">
        <v>69</v>
      </c>
      <c r="F459" s="23" t="s">
        <v>203</v>
      </c>
      <c r="G459" s="28">
        <v>1</v>
      </c>
      <c r="H459" s="28" t="s">
        <v>72</v>
      </c>
      <c r="I459" s="28" t="s">
        <v>74</v>
      </c>
    </row>
    <row r="460" spans="1:9" s="28" customFormat="1" x14ac:dyDescent="0.3">
      <c r="A460" s="28" t="s">
        <v>108</v>
      </c>
      <c r="B460" s="28" t="s">
        <v>75</v>
      </c>
      <c r="C460" s="28" t="s">
        <v>76</v>
      </c>
      <c r="D460" s="28" t="s">
        <v>11</v>
      </c>
      <c r="E460" s="28" t="s">
        <v>11</v>
      </c>
      <c r="F460" s="23" t="s">
        <v>11</v>
      </c>
      <c r="G460" s="28">
        <v>1</v>
      </c>
      <c r="H460" s="28" t="s">
        <v>75</v>
      </c>
      <c r="I460" s="28" t="s">
        <v>11</v>
      </c>
    </row>
    <row r="461" spans="1:9" s="28" customFormat="1" x14ac:dyDescent="0.3">
      <c r="A461" s="28" t="s">
        <v>108</v>
      </c>
      <c r="B461" s="28" t="s">
        <v>62</v>
      </c>
      <c r="C461" s="28" t="s">
        <v>63</v>
      </c>
      <c r="D461" s="28" t="s">
        <v>64</v>
      </c>
      <c r="E461" s="28" t="s">
        <v>65</v>
      </c>
      <c r="F461" s="23" t="s">
        <v>204</v>
      </c>
      <c r="G461" s="28">
        <v>1</v>
      </c>
      <c r="H461" s="28" t="s">
        <v>417</v>
      </c>
      <c r="I461" s="28" t="s">
        <v>77</v>
      </c>
    </row>
    <row r="462" spans="1:9" s="28" customFormat="1" x14ac:dyDescent="0.3">
      <c r="A462" s="28" t="s">
        <v>108</v>
      </c>
      <c r="B462" s="28" t="s">
        <v>393</v>
      </c>
      <c r="C462" s="28" t="s">
        <v>394</v>
      </c>
      <c r="D462" s="28" t="s">
        <v>380</v>
      </c>
      <c r="E462" s="28" t="s">
        <v>395</v>
      </c>
      <c r="F462" s="23" t="s">
        <v>1016</v>
      </c>
      <c r="G462" s="28">
        <v>1</v>
      </c>
      <c r="H462" s="28" t="s">
        <v>77</v>
      </c>
      <c r="I462" s="28" t="s">
        <v>11</v>
      </c>
    </row>
    <row r="463" spans="1:9" s="28" customFormat="1" x14ac:dyDescent="0.3">
      <c r="A463" s="28" t="s">
        <v>108</v>
      </c>
      <c r="B463" s="28" t="s">
        <v>396</v>
      </c>
      <c r="C463" s="28" t="s">
        <v>397</v>
      </c>
      <c r="D463" s="28" t="s">
        <v>64</v>
      </c>
      <c r="E463" s="28" t="s">
        <v>398</v>
      </c>
      <c r="F463" s="23" t="s">
        <v>726</v>
      </c>
      <c r="G463" s="28">
        <v>1</v>
      </c>
      <c r="H463" s="28" t="s">
        <v>77</v>
      </c>
      <c r="I463" s="28" t="s">
        <v>11</v>
      </c>
    </row>
    <row r="464" spans="1:9" s="28" customFormat="1" x14ac:dyDescent="0.3">
      <c r="A464" s="28" t="s">
        <v>108</v>
      </c>
      <c r="B464" s="28" t="s">
        <v>400</v>
      </c>
      <c r="C464" s="28" t="s">
        <v>401</v>
      </c>
      <c r="D464" s="28" t="s">
        <v>64</v>
      </c>
      <c r="E464" s="28" t="s">
        <v>402</v>
      </c>
      <c r="F464" s="23" t="s">
        <v>389</v>
      </c>
      <c r="G464" s="28">
        <v>1</v>
      </c>
      <c r="H464" s="28" t="s">
        <v>77</v>
      </c>
      <c r="I464" s="28" t="s">
        <v>11</v>
      </c>
    </row>
    <row r="465" spans="1:9" s="28" customFormat="1" x14ac:dyDescent="0.3">
      <c r="A465" s="28" t="s">
        <v>108</v>
      </c>
      <c r="B465" s="28" t="s">
        <v>403</v>
      </c>
      <c r="C465" s="28" t="s">
        <v>404</v>
      </c>
      <c r="D465" s="28" t="s">
        <v>64</v>
      </c>
      <c r="E465" s="28" t="s">
        <v>405</v>
      </c>
      <c r="F465" s="23" t="s">
        <v>727</v>
      </c>
      <c r="G465" s="28">
        <v>1</v>
      </c>
      <c r="H465" s="28" t="s">
        <v>77</v>
      </c>
      <c r="I465" s="28" t="s">
        <v>11</v>
      </c>
    </row>
    <row r="466" spans="1:9" s="28" customFormat="1" x14ac:dyDescent="0.3">
      <c r="A466" s="28" t="s">
        <v>108</v>
      </c>
      <c r="B466" s="28" t="s">
        <v>407</v>
      </c>
      <c r="C466" s="28" t="s">
        <v>408</v>
      </c>
      <c r="D466" s="28" t="s">
        <v>64</v>
      </c>
      <c r="E466" s="28" t="s">
        <v>409</v>
      </c>
      <c r="F466" s="23" t="s">
        <v>728</v>
      </c>
      <c r="G466" s="28">
        <v>1</v>
      </c>
      <c r="H466" s="28" t="s">
        <v>77</v>
      </c>
      <c r="I466" s="28" t="s">
        <v>11</v>
      </c>
    </row>
    <row r="467" spans="1:9" s="28" customFormat="1" x14ac:dyDescent="0.3">
      <c r="A467" s="28" t="s">
        <v>108</v>
      </c>
      <c r="B467" s="28" t="s">
        <v>67</v>
      </c>
      <c r="C467" s="28" t="s">
        <v>68</v>
      </c>
      <c r="D467" s="28" t="s">
        <v>64</v>
      </c>
      <c r="E467" s="28" t="s">
        <v>69</v>
      </c>
      <c r="F467" s="23" t="s">
        <v>205</v>
      </c>
      <c r="G467" s="28">
        <v>1</v>
      </c>
      <c r="H467" s="28" t="s">
        <v>77</v>
      </c>
      <c r="I467" s="28" t="s">
        <v>78</v>
      </c>
    </row>
    <row r="468" spans="1:9" s="28" customFormat="1" x14ac:dyDescent="0.3">
      <c r="A468" s="28" t="s">
        <v>108</v>
      </c>
      <c r="B468" s="28" t="s">
        <v>67</v>
      </c>
      <c r="C468" s="28" t="s">
        <v>68</v>
      </c>
      <c r="D468" s="28" t="s">
        <v>64</v>
      </c>
      <c r="E468" s="28" t="s">
        <v>69</v>
      </c>
      <c r="F468" s="23" t="s">
        <v>206</v>
      </c>
      <c r="G468" s="28">
        <v>1</v>
      </c>
      <c r="H468" s="28" t="s">
        <v>77</v>
      </c>
      <c r="I468" s="28" t="s">
        <v>79</v>
      </c>
    </row>
    <row r="469" spans="1:9" s="28" customFormat="1" x14ac:dyDescent="0.3">
      <c r="A469" s="28" t="s">
        <v>108</v>
      </c>
      <c r="B469" s="28" t="s">
        <v>62</v>
      </c>
      <c r="C469" s="28" t="s">
        <v>63</v>
      </c>
      <c r="D469" s="28" t="s">
        <v>64</v>
      </c>
      <c r="E469" s="28" t="s">
        <v>65</v>
      </c>
      <c r="F469" s="23" t="s">
        <v>207</v>
      </c>
      <c r="G469" s="28">
        <v>1</v>
      </c>
      <c r="H469" s="28" t="s">
        <v>11</v>
      </c>
      <c r="I469" s="28" t="s">
        <v>80</v>
      </c>
    </row>
    <row r="470" spans="1:9" s="28" customFormat="1" x14ac:dyDescent="0.3">
      <c r="A470" s="28" t="s">
        <v>108</v>
      </c>
      <c r="B470" s="28" t="s">
        <v>393</v>
      </c>
      <c r="C470" s="28" t="s">
        <v>394</v>
      </c>
      <c r="D470" s="28" t="s">
        <v>380</v>
      </c>
      <c r="E470" s="28" t="s">
        <v>395</v>
      </c>
      <c r="F470" s="23" t="s">
        <v>1013</v>
      </c>
      <c r="G470" s="28">
        <v>1</v>
      </c>
      <c r="H470" s="28" t="s">
        <v>80</v>
      </c>
      <c r="I470" s="28" t="s">
        <v>11</v>
      </c>
    </row>
    <row r="471" spans="1:9" s="28" customFormat="1" x14ac:dyDescent="0.3">
      <c r="A471" s="28" t="s">
        <v>108</v>
      </c>
      <c r="B471" s="28" t="s">
        <v>396</v>
      </c>
      <c r="C471" s="28" t="s">
        <v>397</v>
      </c>
      <c r="D471" s="28" t="s">
        <v>64</v>
      </c>
      <c r="E471" s="28" t="s">
        <v>398</v>
      </c>
      <c r="F471" s="23" t="s">
        <v>729</v>
      </c>
      <c r="G471" s="28">
        <v>1</v>
      </c>
      <c r="H471" s="28" t="s">
        <v>80</v>
      </c>
      <c r="I471" s="28" t="s">
        <v>11</v>
      </c>
    </row>
    <row r="472" spans="1:9" s="28" customFormat="1" x14ac:dyDescent="0.3">
      <c r="A472" s="28" t="s">
        <v>108</v>
      </c>
      <c r="B472" s="28" t="s">
        <v>400</v>
      </c>
      <c r="C472" s="28" t="s">
        <v>401</v>
      </c>
      <c r="D472" s="28" t="s">
        <v>64</v>
      </c>
      <c r="E472" s="28" t="s">
        <v>402</v>
      </c>
      <c r="F472" s="23" t="s">
        <v>389</v>
      </c>
      <c r="G472" s="28">
        <v>1</v>
      </c>
      <c r="H472" s="28" t="s">
        <v>80</v>
      </c>
      <c r="I472" s="28" t="s">
        <v>11</v>
      </c>
    </row>
    <row r="473" spans="1:9" s="28" customFormat="1" x14ac:dyDescent="0.3">
      <c r="A473" s="28" t="s">
        <v>108</v>
      </c>
      <c r="B473" s="28" t="s">
        <v>403</v>
      </c>
      <c r="C473" s="28" t="s">
        <v>404</v>
      </c>
      <c r="D473" s="28" t="s">
        <v>64</v>
      </c>
      <c r="E473" s="28" t="s">
        <v>405</v>
      </c>
      <c r="F473" s="23" t="s">
        <v>730</v>
      </c>
      <c r="G473" s="28">
        <v>1</v>
      </c>
      <c r="H473" s="28" t="s">
        <v>80</v>
      </c>
      <c r="I473" s="28" t="s">
        <v>11</v>
      </c>
    </row>
    <row r="474" spans="1:9" s="28" customFormat="1" x14ac:dyDescent="0.3">
      <c r="A474" s="28" t="s">
        <v>108</v>
      </c>
      <c r="B474" s="28" t="s">
        <v>407</v>
      </c>
      <c r="C474" s="28" t="s">
        <v>408</v>
      </c>
      <c r="D474" s="28" t="s">
        <v>64</v>
      </c>
      <c r="E474" s="28" t="s">
        <v>409</v>
      </c>
      <c r="F474" s="23" t="s">
        <v>731</v>
      </c>
      <c r="G474" s="28">
        <v>1</v>
      </c>
      <c r="H474" s="28" t="s">
        <v>80</v>
      </c>
      <c r="I474" s="28" t="s">
        <v>11</v>
      </c>
    </row>
    <row r="475" spans="1:9" s="28" customFormat="1" x14ac:dyDescent="0.3">
      <c r="A475" s="28" t="s">
        <v>108</v>
      </c>
      <c r="B475" s="28" t="s">
        <v>67</v>
      </c>
      <c r="C475" s="28" t="s">
        <v>68</v>
      </c>
      <c r="D475" s="28" t="s">
        <v>64</v>
      </c>
      <c r="E475" s="28" t="s">
        <v>69</v>
      </c>
      <c r="F475" s="23" t="s">
        <v>208</v>
      </c>
      <c r="G475" s="28">
        <v>1</v>
      </c>
      <c r="H475" s="28" t="s">
        <v>80</v>
      </c>
      <c r="I475" s="28" t="s">
        <v>81</v>
      </c>
    </row>
    <row r="476" spans="1:9" s="28" customFormat="1" x14ac:dyDescent="0.3">
      <c r="A476" s="28" t="s">
        <v>108</v>
      </c>
      <c r="B476" s="28" t="s">
        <v>67</v>
      </c>
      <c r="C476" s="28" t="s">
        <v>68</v>
      </c>
      <c r="D476" s="28" t="s">
        <v>64</v>
      </c>
      <c r="E476" s="28" t="s">
        <v>69</v>
      </c>
      <c r="F476" s="23" t="s">
        <v>209</v>
      </c>
      <c r="G476" s="28">
        <v>1</v>
      </c>
      <c r="H476" s="28" t="s">
        <v>80</v>
      </c>
      <c r="I476" s="28" t="s">
        <v>82</v>
      </c>
    </row>
    <row r="477" spans="1:9" s="28" customFormat="1" x14ac:dyDescent="0.3">
      <c r="A477" s="28" t="s">
        <v>108</v>
      </c>
      <c r="B477" s="28" t="s">
        <v>83</v>
      </c>
      <c r="C477" s="28" t="s">
        <v>84</v>
      </c>
      <c r="D477" s="28" t="s">
        <v>11</v>
      </c>
      <c r="E477" s="28" t="s">
        <v>11</v>
      </c>
      <c r="F477" s="23" t="s">
        <v>11</v>
      </c>
      <c r="G477" s="28">
        <v>1</v>
      </c>
      <c r="H477" s="28" t="s">
        <v>83</v>
      </c>
      <c r="I477" s="28" t="s">
        <v>11</v>
      </c>
    </row>
    <row r="478" spans="1:9" s="28" customFormat="1" x14ac:dyDescent="0.3">
      <c r="A478" s="28" t="s">
        <v>108</v>
      </c>
      <c r="B478" s="28" t="s">
        <v>62</v>
      </c>
      <c r="C478" s="28" t="s">
        <v>63</v>
      </c>
      <c r="D478" s="28" t="s">
        <v>64</v>
      </c>
      <c r="E478" s="28" t="s">
        <v>65</v>
      </c>
      <c r="F478" s="23" t="s">
        <v>210</v>
      </c>
      <c r="G478" s="28">
        <v>1</v>
      </c>
      <c r="H478" s="28" t="s">
        <v>11</v>
      </c>
      <c r="I478" s="28" t="s">
        <v>85</v>
      </c>
    </row>
    <row r="479" spans="1:9" s="28" customFormat="1" x14ac:dyDescent="0.3">
      <c r="A479" s="28" t="s">
        <v>108</v>
      </c>
      <c r="B479" s="28" t="s">
        <v>393</v>
      </c>
      <c r="C479" s="28" t="s">
        <v>394</v>
      </c>
      <c r="D479" s="28" t="s">
        <v>380</v>
      </c>
      <c r="E479" s="28" t="s">
        <v>395</v>
      </c>
      <c r="F479" s="23" t="s">
        <v>1014</v>
      </c>
      <c r="G479" s="28">
        <v>1</v>
      </c>
      <c r="H479" s="28" t="s">
        <v>85</v>
      </c>
      <c r="I479" s="28" t="s">
        <v>11</v>
      </c>
    </row>
    <row r="480" spans="1:9" s="28" customFormat="1" x14ac:dyDescent="0.3">
      <c r="A480" s="28" t="s">
        <v>108</v>
      </c>
      <c r="B480" s="28" t="s">
        <v>396</v>
      </c>
      <c r="C480" s="28" t="s">
        <v>397</v>
      </c>
      <c r="D480" s="28" t="s">
        <v>64</v>
      </c>
      <c r="E480" s="28" t="s">
        <v>398</v>
      </c>
      <c r="F480" s="23" t="s">
        <v>732</v>
      </c>
      <c r="G480" s="28">
        <v>1</v>
      </c>
      <c r="H480" s="28" t="s">
        <v>85</v>
      </c>
      <c r="I480" s="28" t="s">
        <v>11</v>
      </c>
    </row>
    <row r="481" spans="1:9" s="28" customFormat="1" x14ac:dyDescent="0.3">
      <c r="A481" s="28" t="s">
        <v>108</v>
      </c>
      <c r="B481" s="28" t="s">
        <v>400</v>
      </c>
      <c r="C481" s="28" t="s">
        <v>401</v>
      </c>
      <c r="D481" s="28" t="s">
        <v>64</v>
      </c>
      <c r="E481" s="28" t="s">
        <v>402</v>
      </c>
      <c r="F481" s="23" t="s">
        <v>389</v>
      </c>
      <c r="G481" s="28">
        <v>1</v>
      </c>
      <c r="H481" s="28" t="s">
        <v>85</v>
      </c>
      <c r="I481" s="28" t="s">
        <v>11</v>
      </c>
    </row>
    <row r="482" spans="1:9" s="28" customFormat="1" x14ac:dyDescent="0.3">
      <c r="A482" s="28" t="s">
        <v>108</v>
      </c>
      <c r="B482" s="28" t="s">
        <v>403</v>
      </c>
      <c r="C482" s="28" t="s">
        <v>404</v>
      </c>
      <c r="D482" s="28" t="s">
        <v>64</v>
      </c>
      <c r="E482" s="28" t="s">
        <v>405</v>
      </c>
      <c r="F482" s="23" t="s">
        <v>733</v>
      </c>
      <c r="G482" s="28">
        <v>1</v>
      </c>
      <c r="H482" s="28" t="s">
        <v>85</v>
      </c>
      <c r="I482" s="28" t="s">
        <v>11</v>
      </c>
    </row>
    <row r="483" spans="1:9" s="28" customFormat="1" x14ac:dyDescent="0.3">
      <c r="A483" s="28" t="s">
        <v>108</v>
      </c>
      <c r="B483" s="28" t="s">
        <v>407</v>
      </c>
      <c r="C483" s="28" t="s">
        <v>408</v>
      </c>
      <c r="D483" s="28" t="s">
        <v>64</v>
      </c>
      <c r="E483" s="28" t="s">
        <v>409</v>
      </c>
      <c r="F483" s="23" t="s">
        <v>734</v>
      </c>
      <c r="G483" s="28">
        <v>1</v>
      </c>
      <c r="H483" s="28" t="s">
        <v>85</v>
      </c>
      <c r="I483" s="28" t="s">
        <v>11</v>
      </c>
    </row>
    <row r="484" spans="1:9" s="28" customFormat="1" x14ac:dyDescent="0.3">
      <c r="A484" s="28" t="s">
        <v>108</v>
      </c>
      <c r="B484" s="28" t="s">
        <v>67</v>
      </c>
      <c r="C484" s="28" t="s">
        <v>68</v>
      </c>
      <c r="D484" s="28" t="s">
        <v>64</v>
      </c>
      <c r="E484" s="28" t="s">
        <v>69</v>
      </c>
      <c r="F484" s="23" t="s">
        <v>211</v>
      </c>
      <c r="G484" s="28">
        <v>1</v>
      </c>
      <c r="H484" s="28" t="s">
        <v>85</v>
      </c>
      <c r="I484" s="28" t="s">
        <v>86</v>
      </c>
    </row>
    <row r="485" spans="1:9" s="28" customFormat="1" x14ac:dyDescent="0.3">
      <c r="A485" s="28" t="s">
        <v>108</v>
      </c>
      <c r="B485" s="28" t="s">
        <v>67</v>
      </c>
      <c r="C485" s="28" t="s">
        <v>68</v>
      </c>
      <c r="D485" s="28" t="s">
        <v>64</v>
      </c>
      <c r="E485" s="28" t="s">
        <v>69</v>
      </c>
      <c r="F485" s="23" t="s">
        <v>212</v>
      </c>
      <c r="G485" s="28">
        <v>1</v>
      </c>
      <c r="H485" s="28" t="s">
        <v>85</v>
      </c>
      <c r="I485" s="28" t="s">
        <v>87</v>
      </c>
    </row>
    <row r="486" spans="1:9" s="28" customFormat="1" x14ac:dyDescent="0.3">
      <c r="A486" s="28" t="s">
        <v>108</v>
      </c>
      <c r="B486" s="28" t="s">
        <v>62</v>
      </c>
      <c r="C486" s="28" t="s">
        <v>63</v>
      </c>
      <c r="D486" s="28" t="s">
        <v>64</v>
      </c>
      <c r="E486" s="28" t="s">
        <v>65</v>
      </c>
      <c r="F486" s="23" t="s">
        <v>213</v>
      </c>
      <c r="G486" s="28">
        <v>1</v>
      </c>
      <c r="H486" s="28" t="s">
        <v>11</v>
      </c>
      <c r="I486" s="28" t="s">
        <v>88</v>
      </c>
    </row>
    <row r="487" spans="1:9" s="28" customFormat="1" x14ac:dyDescent="0.3">
      <c r="A487" s="28" t="s">
        <v>108</v>
      </c>
      <c r="B487" s="28" t="s">
        <v>393</v>
      </c>
      <c r="C487" s="28" t="s">
        <v>394</v>
      </c>
      <c r="D487" s="28" t="s">
        <v>380</v>
      </c>
      <c r="E487" s="28" t="s">
        <v>395</v>
      </c>
      <c r="F487" s="23" t="s">
        <v>1017</v>
      </c>
      <c r="G487" s="28">
        <v>1</v>
      </c>
      <c r="H487" s="28" t="s">
        <v>88</v>
      </c>
      <c r="I487" s="28" t="s">
        <v>11</v>
      </c>
    </row>
    <row r="488" spans="1:9" s="28" customFormat="1" x14ac:dyDescent="0.3">
      <c r="A488" s="28" t="s">
        <v>108</v>
      </c>
      <c r="B488" s="28" t="s">
        <v>396</v>
      </c>
      <c r="C488" s="28" t="s">
        <v>397</v>
      </c>
      <c r="D488" s="28" t="s">
        <v>64</v>
      </c>
      <c r="E488" s="28" t="s">
        <v>398</v>
      </c>
      <c r="F488" s="23" t="s">
        <v>735</v>
      </c>
      <c r="G488" s="28">
        <v>1</v>
      </c>
      <c r="H488" s="28" t="s">
        <v>88</v>
      </c>
      <c r="I488" s="28" t="s">
        <v>11</v>
      </c>
    </row>
    <row r="489" spans="1:9" s="28" customFormat="1" x14ac:dyDescent="0.3">
      <c r="A489" s="28" t="s">
        <v>108</v>
      </c>
      <c r="B489" s="28" t="s">
        <v>400</v>
      </c>
      <c r="C489" s="28" t="s">
        <v>401</v>
      </c>
      <c r="D489" s="28" t="s">
        <v>64</v>
      </c>
      <c r="E489" s="28" t="s">
        <v>402</v>
      </c>
      <c r="F489" s="23" t="s">
        <v>389</v>
      </c>
      <c r="G489" s="28">
        <v>1</v>
      </c>
      <c r="H489" s="28" t="s">
        <v>88</v>
      </c>
      <c r="I489" s="28" t="s">
        <v>11</v>
      </c>
    </row>
    <row r="490" spans="1:9" s="28" customFormat="1" x14ac:dyDescent="0.3">
      <c r="A490" s="28" t="s">
        <v>108</v>
      </c>
      <c r="B490" s="28" t="s">
        <v>403</v>
      </c>
      <c r="C490" s="28" t="s">
        <v>404</v>
      </c>
      <c r="D490" s="28" t="s">
        <v>64</v>
      </c>
      <c r="E490" s="28" t="s">
        <v>405</v>
      </c>
      <c r="F490" s="23" t="s">
        <v>736</v>
      </c>
      <c r="G490" s="28">
        <v>1</v>
      </c>
      <c r="H490" s="28" t="s">
        <v>88</v>
      </c>
      <c r="I490" s="28" t="s">
        <v>11</v>
      </c>
    </row>
    <row r="491" spans="1:9" s="28" customFormat="1" x14ac:dyDescent="0.3">
      <c r="A491" s="28" t="s">
        <v>108</v>
      </c>
      <c r="B491" s="28" t="s">
        <v>407</v>
      </c>
      <c r="C491" s="28" t="s">
        <v>408</v>
      </c>
      <c r="D491" s="28" t="s">
        <v>64</v>
      </c>
      <c r="E491" s="28" t="s">
        <v>409</v>
      </c>
      <c r="F491" s="23" t="s">
        <v>737</v>
      </c>
      <c r="G491" s="28">
        <v>1</v>
      </c>
      <c r="H491" s="28" t="s">
        <v>88</v>
      </c>
      <c r="I491" s="28" t="s">
        <v>11</v>
      </c>
    </row>
    <row r="492" spans="1:9" s="28" customFormat="1" x14ac:dyDescent="0.3">
      <c r="A492" s="28" t="s">
        <v>108</v>
      </c>
      <c r="B492" s="28" t="s">
        <v>67</v>
      </c>
      <c r="C492" s="28" t="s">
        <v>68</v>
      </c>
      <c r="D492" s="28" t="s">
        <v>64</v>
      </c>
      <c r="E492" s="28" t="s">
        <v>69</v>
      </c>
      <c r="F492" s="23" t="s">
        <v>214</v>
      </c>
      <c r="G492" s="28">
        <v>1</v>
      </c>
      <c r="H492" s="28" t="s">
        <v>88</v>
      </c>
      <c r="I492" s="28" t="s">
        <v>89</v>
      </c>
    </row>
    <row r="493" spans="1:9" s="28" customFormat="1" x14ac:dyDescent="0.3">
      <c r="A493" s="28" t="s">
        <v>108</v>
      </c>
      <c r="B493" s="28" t="s">
        <v>67</v>
      </c>
      <c r="C493" s="28" t="s">
        <v>68</v>
      </c>
      <c r="D493" s="28" t="s">
        <v>64</v>
      </c>
      <c r="E493" s="28" t="s">
        <v>69</v>
      </c>
      <c r="F493" s="23" t="s">
        <v>215</v>
      </c>
      <c r="G493" s="28">
        <v>1</v>
      </c>
      <c r="H493" s="28" t="s">
        <v>88</v>
      </c>
      <c r="I493" s="28" t="s">
        <v>90</v>
      </c>
    </row>
    <row r="494" spans="1:9" s="28" customFormat="1" x14ac:dyDescent="0.3">
      <c r="A494" s="28" t="s">
        <v>108</v>
      </c>
      <c r="B494" s="28" t="s">
        <v>91</v>
      </c>
      <c r="C494" s="28" t="s">
        <v>92</v>
      </c>
      <c r="D494" s="28" t="s">
        <v>11</v>
      </c>
      <c r="E494" s="28" t="s">
        <v>11</v>
      </c>
      <c r="F494" s="23" t="s">
        <v>11</v>
      </c>
      <c r="G494" s="28">
        <v>1</v>
      </c>
      <c r="H494" s="28" t="s">
        <v>91</v>
      </c>
      <c r="I494" s="28" t="s">
        <v>11</v>
      </c>
    </row>
    <row r="495" spans="1:9" s="28" customFormat="1" x14ac:dyDescent="0.3">
      <c r="A495" s="28" t="s">
        <v>108</v>
      </c>
      <c r="B495" s="28" t="s">
        <v>62</v>
      </c>
      <c r="C495" s="28" t="s">
        <v>63</v>
      </c>
      <c r="D495" s="28" t="s">
        <v>64</v>
      </c>
      <c r="E495" s="28" t="s">
        <v>65</v>
      </c>
      <c r="F495" s="23" t="s">
        <v>216</v>
      </c>
      <c r="G495" s="28">
        <v>1</v>
      </c>
      <c r="H495" s="28" t="s">
        <v>11</v>
      </c>
      <c r="I495" s="28" t="s">
        <v>93</v>
      </c>
    </row>
    <row r="496" spans="1:9" s="28" customFormat="1" x14ac:dyDescent="0.3">
      <c r="A496" s="28" t="s">
        <v>108</v>
      </c>
      <c r="B496" s="28" t="s">
        <v>393</v>
      </c>
      <c r="C496" s="28" t="s">
        <v>394</v>
      </c>
      <c r="D496" s="28" t="s">
        <v>380</v>
      </c>
      <c r="E496" s="28" t="s">
        <v>395</v>
      </c>
      <c r="F496" s="23" t="s">
        <v>1015</v>
      </c>
      <c r="G496" s="28">
        <v>1</v>
      </c>
      <c r="H496" s="28" t="s">
        <v>93</v>
      </c>
      <c r="I496" s="28" t="s">
        <v>11</v>
      </c>
    </row>
    <row r="497" spans="1:9" s="28" customFormat="1" x14ac:dyDescent="0.3">
      <c r="A497" s="28" t="s">
        <v>108</v>
      </c>
      <c r="B497" s="28" t="s">
        <v>396</v>
      </c>
      <c r="C497" s="28" t="s">
        <v>397</v>
      </c>
      <c r="D497" s="28" t="s">
        <v>64</v>
      </c>
      <c r="E497" s="28" t="s">
        <v>398</v>
      </c>
      <c r="F497" s="23" t="s">
        <v>738</v>
      </c>
      <c r="G497" s="28">
        <v>1</v>
      </c>
      <c r="H497" s="28" t="s">
        <v>93</v>
      </c>
      <c r="I497" s="28" t="s">
        <v>11</v>
      </c>
    </row>
    <row r="498" spans="1:9" s="28" customFormat="1" x14ac:dyDescent="0.3">
      <c r="A498" s="28" t="s">
        <v>108</v>
      </c>
      <c r="B498" s="28" t="s">
        <v>400</v>
      </c>
      <c r="C498" s="28" t="s">
        <v>401</v>
      </c>
      <c r="D498" s="28" t="s">
        <v>64</v>
      </c>
      <c r="E498" s="28" t="s">
        <v>402</v>
      </c>
      <c r="F498" s="23" t="s">
        <v>389</v>
      </c>
      <c r="G498" s="28">
        <v>1</v>
      </c>
      <c r="H498" s="28" t="s">
        <v>93</v>
      </c>
      <c r="I498" s="28" t="s">
        <v>11</v>
      </c>
    </row>
    <row r="499" spans="1:9" s="28" customFormat="1" x14ac:dyDescent="0.3">
      <c r="A499" s="28" t="s">
        <v>108</v>
      </c>
      <c r="B499" s="28" t="s">
        <v>403</v>
      </c>
      <c r="C499" s="28" t="s">
        <v>404</v>
      </c>
      <c r="D499" s="28" t="s">
        <v>64</v>
      </c>
      <c r="E499" s="28" t="s">
        <v>405</v>
      </c>
      <c r="F499" s="23" t="s">
        <v>739</v>
      </c>
      <c r="G499" s="28">
        <v>1</v>
      </c>
      <c r="H499" s="28" t="s">
        <v>93</v>
      </c>
      <c r="I499" s="28" t="s">
        <v>11</v>
      </c>
    </row>
    <row r="500" spans="1:9" s="28" customFormat="1" x14ac:dyDescent="0.3">
      <c r="A500" s="28" t="s">
        <v>108</v>
      </c>
      <c r="B500" s="28" t="s">
        <v>407</v>
      </c>
      <c r="C500" s="28" t="s">
        <v>408</v>
      </c>
      <c r="D500" s="28" t="s">
        <v>64</v>
      </c>
      <c r="E500" s="28" t="s">
        <v>409</v>
      </c>
      <c r="F500" s="23" t="s">
        <v>740</v>
      </c>
      <c r="G500" s="28">
        <v>1</v>
      </c>
      <c r="H500" s="28" t="s">
        <v>93</v>
      </c>
      <c r="I500" s="28" t="s">
        <v>11</v>
      </c>
    </row>
    <row r="501" spans="1:9" s="28" customFormat="1" x14ac:dyDescent="0.3">
      <c r="A501" s="28" t="s">
        <v>108</v>
      </c>
      <c r="B501" s="28" t="s">
        <v>217</v>
      </c>
      <c r="C501" s="28" t="s">
        <v>68</v>
      </c>
      <c r="D501" s="28" t="s">
        <v>64</v>
      </c>
      <c r="E501" s="28" t="s">
        <v>218</v>
      </c>
      <c r="F501" s="23" t="s">
        <v>219</v>
      </c>
      <c r="G501" s="28">
        <v>1</v>
      </c>
      <c r="H501" s="28" t="s">
        <v>93</v>
      </c>
      <c r="I501" s="28" t="s">
        <v>94</v>
      </c>
    </row>
    <row r="502" spans="1:9" s="28" customFormat="1" x14ac:dyDescent="0.3">
      <c r="A502" s="28" t="s">
        <v>108</v>
      </c>
      <c r="B502" s="28" t="s">
        <v>217</v>
      </c>
      <c r="C502" s="28" t="s">
        <v>68</v>
      </c>
      <c r="D502" s="28" t="s">
        <v>64</v>
      </c>
      <c r="E502" s="28" t="s">
        <v>218</v>
      </c>
      <c r="F502" s="23" t="s">
        <v>220</v>
      </c>
      <c r="G502" s="28">
        <v>1</v>
      </c>
      <c r="H502" s="28" t="s">
        <v>93</v>
      </c>
      <c r="I502" s="28" t="s">
        <v>95</v>
      </c>
    </row>
    <row r="503" spans="1:9" s="28" customFormat="1" x14ac:dyDescent="0.3">
      <c r="A503" s="28" t="s">
        <v>108</v>
      </c>
      <c r="B503" s="28" t="s">
        <v>96</v>
      </c>
      <c r="C503" s="28" t="s">
        <v>97</v>
      </c>
      <c r="D503" s="28" t="s">
        <v>11</v>
      </c>
      <c r="E503" s="28" t="s">
        <v>11</v>
      </c>
      <c r="F503" s="23" t="s">
        <v>11</v>
      </c>
      <c r="G503" s="28">
        <v>1</v>
      </c>
      <c r="H503" s="28" t="s">
        <v>96</v>
      </c>
      <c r="I503" s="28" t="s">
        <v>11</v>
      </c>
    </row>
    <row r="504" spans="1:9" s="28" customFormat="1" x14ac:dyDescent="0.3">
      <c r="A504" s="28" t="s">
        <v>108</v>
      </c>
      <c r="B504" s="28" t="s">
        <v>62</v>
      </c>
      <c r="C504" s="28" t="s">
        <v>63</v>
      </c>
      <c r="D504" s="28" t="s">
        <v>64</v>
      </c>
      <c r="E504" s="28" t="s">
        <v>65</v>
      </c>
      <c r="F504" s="23" t="s">
        <v>221</v>
      </c>
      <c r="G504" s="28">
        <v>1</v>
      </c>
      <c r="H504" s="28" t="s">
        <v>11</v>
      </c>
      <c r="I504" s="28" t="s">
        <v>98</v>
      </c>
    </row>
    <row r="505" spans="1:9" s="28" customFormat="1" x14ac:dyDescent="0.3">
      <c r="A505" s="28" t="s">
        <v>108</v>
      </c>
      <c r="B505" s="28" t="s">
        <v>393</v>
      </c>
      <c r="C505" s="28" t="s">
        <v>394</v>
      </c>
      <c r="D505" s="28" t="s">
        <v>380</v>
      </c>
      <c r="E505" s="28" t="s">
        <v>395</v>
      </c>
      <c r="F505" s="23" t="s">
        <v>1020</v>
      </c>
      <c r="G505" s="28">
        <v>1</v>
      </c>
      <c r="H505" s="28" t="s">
        <v>98</v>
      </c>
      <c r="I505" s="28" t="s">
        <v>11</v>
      </c>
    </row>
    <row r="506" spans="1:9" s="28" customFormat="1" x14ac:dyDescent="0.3">
      <c r="A506" s="28" t="s">
        <v>108</v>
      </c>
      <c r="B506" s="28" t="s">
        <v>623</v>
      </c>
      <c r="C506" s="28" t="s">
        <v>624</v>
      </c>
      <c r="D506" s="28" t="s">
        <v>380</v>
      </c>
      <c r="E506" s="28" t="s">
        <v>625</v>
      </c>
      <c r="F506" s="23" t="s">
        <v>1019</v>
      </c>
      <c r="G506" s="28">
        <v>1</v>
      </c>
      <c r="H506" s="28" t="s">
        <v>98</v>
      </c>
      <c r="I506" s="28" t="s">
        <v>11</v>
      </c>
    </row>
    <row r="507" spans="1:9" s="28" customFormat="1" x14ac:dyDescent="0.3">
      <c r="A507" s="28" t="s">
        <v>108</v>
      </c>
      <c r="B507" s="28" t="s">
        <v>396</v>
      </c>
      <c r="C507" s="28" t="s">
        <v>397</v>
      </c>
      <c r="D507" s="28" t="s">
        <v>64</v>
      </c>
      <c r="E507" s="28" t="s">
        <v>398</v>
      </c>
      <c r="F507" s="23" t="s">
        <v>741</v>
      </c>
      <c r="G507" s="28">
        <v>1</v>
      </c>
      <c r="H507" s="28" t="s">
        <v>98</v>
      </c>
      <c r="I507" s="28" t="s">
        <v>11</v>
      </c>
    </row>
    <row r="508" spans="1:9" s="28" customFormat="1" x14ac:dyDescent="0.3">
      <c r="A508" s="28" t="s">
        <v>108</v>
      </c>
      <c r="B508" s="28" t="s">
        <v>400</v>
      </c>
      <c r="C508" s="28" t="s">
        <v>401</v>
      </c>
      <c r="D508" s="28" t="s">
        <v>64</v>
      </c>
      <c r="E508" s="28" t="s">
        <v>402</v>
      </c>
      <c r="F508" s="23" t="s">
        <v>389</v>
      </c>
      <c r="G508" s="28">
        <v>1</v>
      </c>
      <c r="H508" s="28" t="s">
        <v>98</v>
      </c>
      <c r="I508" s="28" t="s">
        <v>11</v>
      </c>
    </row>
    <row r="509" spans="1:9" s="28" customFormat="1" x14ac:dyDescent="0.3">
      <c r="A509" s="28" t="s">
        <v>108</v>
      </c>
      <c r="B509" s="28" t="s">
        <v>403</v>
      </c>
      <c r="C509" s="28" t="s">
        <v>404</v>
      </c>
      <c r="D509" s="28" t="s">
        <v>64</v>
      </c>
      <c r="E509" s="28" t="s">
        <v>405</v>
      </c>
      <c r="F509" s="23" t="s">
        <v>742</v>
      </c>
      <c r="G509" s="28">
        <v>1</v>
      </c>
      <c r="H509" s="28" t="s">
        <v>11</v>
      </c>
      <c r="I509" s="28" t="s">
        <v>11</v>
      </c>
    </row>
    <row r="510" spans="1:9" s="28" customFormat="1" x14ac:dyDescent="0.3">
      <c r="A510" s="28" t="s">
        <v>108</v>
      </c>
      <c r="B510" s="28" t="s">
        <v>407</v>
      </c>
      <c r="C510" s="28" t="s">
        <v>408</v>
      </c>
      <c r="D510" s="28" t="s">
        <v>64</v>
      </c>
      <c r="E510" s="28" t="s">
        <v>409</v>
      </c>
      <c r="F510" s="23" t="s">
        <v>743</v>
      </c>
      <c r="G510" s="28">
        <v>1</v>
      </c>
      <c r="H510" s="28" t="s">
        <v>11</v>
      </c>
      <c r="I510" s="28" t="s">
        <v>11</v>
      </c>
    </row>
    <row r="511" spans="1:9" s="28" customFormat="1" x14ac:dyDescent="0.3">
      <c r="A511" s="28" t="s">
        <v>108</v>
      </c>
      <c r="B511" s="28" t="s">
        <v>407</v>
      </c>
      <c r="C511" s="28" t="s">
        <v>408</v>
      </c>
      <c r="D511" s="28" t="s">
        <v>64</v>
      </c>
      <c r="E511" s="28" t="s">
        <v>409</v>
      </c>
      <c r="F511" s="23" t="s">
        <v>744</v>
      </c>
      <c r="G511" s="28">
        <v>1</v>
      </c>
      <c r="H511" s="28" t="s">
        <v>11</v>
      </c>
      <c r="I511" s="28" t="s">
        <v>11</v>
      </c>
    </row>
    <row r="512" spans="1:9" s="28" customFormat="1" x14ac:dyDescent="0.3">
      <c r="A512" s="28" t="s">
        <v>108</v>
      </c>
      <c r="B512" s="28" t="s">
        <v>67</v>
      </c>
      <c r="C512" s="28" t="s">
        <v>68</v>
      </c>
      <c r="D512" s="28" t="s">
        <v>64</v>
      </c>
      <c r="E512" s="28" t="s">
        <v>69</v>
      </c>
      <c r="F512" s="23" t="s">
        <v>222</v>
      </c>
      <c r="G512" s="28">
        <v>1</v>
      </c>
      <c r="H512" s="28" t="s">
        <v>11</v>
      </c>
      <c r="I512" s="28" t="s">
        <v>99</v>
      </c>
    </row>
    <row r="513" spans="1:9" s="28" customFormat="1" x14ac:dyDescent="0.3">
      <c r="A513" s="28" t="s">
        <v>108</v>
      </c>
      <c r="B513" s="28" t="s">
        <v>67</v>
      </c>
      <c r="C513" s="28" t="s">
        <v>68</v>
      </c>
      <c r="D513" s="28" t="s">
        <v>64</v>
      </c>
      <c r="E513" s="28" t="s">
        <v>69</v>
      </c>
      <c r="F513" s="23" t="s">
        <v>223</v>
      </c>
      <c r="G513" s="28">
        <v>1</v>
      </c>
      <c r="H513" s="28" t="s">
        <v>11</v>
      </c>
      <c r="I513" s="28" t="s">
        <v>100</v>
      </c>
    </row>
    <row r="514" spans="1:9" s="28" customFormat="1" x14ac:dyDescent="0.3">
      <c r="A514" s="28" t="s">
        <v>108</v>
      </c>
      <c r="B514" s="28" t="s">
        <v>217</v>
      </c>
      <c r="C514" s="28" t="s">
        <v>68</v>
      </c>
      <c r="D514" s="28" t="s">
        <v>64</v>
      </c>
      <c r="E514" s="28" t="s">
        <v>218</v>
      </c>
      <c r="F514" s="23" t="s">
        <v>224</v>
      </c>
      <c r="G514" s="28">
        <v>1</v>
      </c>
      <c r="H514" s="28" t="s">
        <v>11</v>
      </c>
      <c r="I514" s="28" t="s">
        <v>745</v>
      </c>
    </row>
    <row r="515" spans="1:9" s="28" customFormat="1" x14ac:dyDescent="0.3">
      <c r="A515" s="28" t="s">
        <v>108</v>
      </c>
      <c r="B515" s="28" t="s">
        <v>746</v>
      </c>
      <c r="C515" s="28" t="s">
        <v>693</v>
      </c>
      <c r="D515" s="28" t="s">
        <v>11</v>
      </c>
      <c r="E515" s="28" t="s">
        <v>11</v>
      </c>
      <c r="F515" s="23" t="s">
        <v>11</v>
      </c>
      <c r="G515" s="28">
        <v>1</v>
      </c>
      <c r="H515" s="28" t="s">
        <v>746</v>
      </c>
      <c r="I515" s="28" t="s">
        <v>11</v>
      </c>
    </row>
    <row r="516" spans="1:9" s="28" customFormat="1" x14ac:dyDescent="0.3">
      <c r="A516" s="28" t="s">
        <v>108</v>
      </c>
      <c r="B516" s="28" t="s">
        <v>694</v>
      </c>
      <c r="C516" s="28" t="s">
        <v>695</v>
      </c>
      <c r="D516" s="28" t="s">
        <v>696</v>
      </c>
      <c r="E516" s="28" t="s">
        <v>697</v>
      </c>
      <c r="F516" s="23" t="s">
        <v>389</v>
      </c>
      <c r="G516" s="28">
        <v>1</v>
      </c>
      <c r="H516" s="28" t="s">
        <v>11</v>
      </c>
      <c r="I516" s="28" t="s">
        <v>747</v>
      </c>
    </row>
    <row r="517" spans="1:9" s="28" customFormat="1" x14ac:dyDescent="0.3">
      <c r="A517" s="28" t="s">
        <v>108</v>
      </c>
      <c r="B517" s="28" t="s">
        <v>525</v>
      </c>
      <c r="C517" s="28" t="s">
        <v>526</v>
      </c>
      <c r="D517" s="28" t="s">
        <v>380</v>
      </c>
      <c r="E517" s="28" t="s">
        <v>527</v>
      </c>
      <c r="F517" s="23" t="s">
        <v>389</v>
      </c>
      <c r="G517" s="28">
        <v>1</v>
      </c>
      <c r="H517" s="28" t="s">
        <v>11</v>
      </c>
      <c r="I517" s="28" t="s">
        <v>748</v>
      </c>
    </row>
    <row r="518" spans="1:9" s="28" customFormat="1" x14ac:dyDescent="0.3">
      <c r="A518" s="28" t="s">
        <v>108</v>
      </c>
      <c r="B518" s="28" t="s">
        <v>38</v>
      </c>
      <c r="C518" s="28" t="s">
        <v>39</v>
      </c>
      <c r="D518" s="28" t="s">
        <v>14</v>
      </c>
      <c r="E518" s="28" t="s">
        <v>572</v>
      </c>
      <c r="F518" s="23" t="s">
        <v>749</v>
      </c>
      <c r="G518" s="28">
        <v>1</v>
      </c>
      <c r="H518" s="28" t="s">
        <v>11</v>
      </c>
      <c r="I518" s="28" t="s">
        <v>750</v>
      </c>
    </row>
    <row r="519" spans="1:9" s="28" customFormat="1" x14ac:dyDescent="0.3">
      <c r="A519" s="28" t="s">
        <v>108</v>
      </c>
      <c r="B519" s="28" t="s">
        <v>393</v>
      </c>
      <c r="C519" s="28" t="s">
        <v>394</v>
      </c>
      <c r="D519" s="28" t="s">
        <v>380</v>
      </c>
      <c r="E519" s="28" t="s">
        <v>395</v>
      </c>
      <c r="F519" s="23" t="s">
        <v>751</v>
      </c>
      <c r="G519" s="28">
        <v>1</v>
      </c>
      <c r="H519" s="28" t="s">
        <v>11</v>
      </c>
      <c r="I519" s="28" t="s">
        <v>752</v>
      </c>
    </row>
    <row r="520" spans="1:9" s="28" customFormat="1" x14ac:dyDescent="0.3">
      <c r="A520" s="28" t="s">
        <v>108</v>
      </c>
      <c r="B520" s="28" t="s">
        <v>46</v>
      </c>
      <c r="C520" s="28" t="s">
        <v>39</v>
      </c>
      <c r="D520" s="28" t="s">
        <v>380</v>
      </c>
      <c r="E520" s="28" t="s">
        <v>47</v>
      </c>
      <c r="F520" s="29" t="s">
        <v>974</v>
      </c>
      <c r="G520" s="28">
        <v>1</v>
      </c>
      <c r="H520" s="28" t="s">
        <v>11</v>
      </c>
      <c r="I520" s="28" t="s">
        <v>753</v>
      </c>
    </row>
    <row r="521" spans="1:9" s="28" customFormat="1" x14ac:dyDescent="0.3">
      <c r="A521" s="28" t="s">
        <v>108</v>
      </c>
      <c r="B521" s="28" t="s">
        <v>46</v>
      </c>
      <c r="C521" s="28" t="s">
        <v>39</v>
      </c>
      <c r="D521" s="28" t="s">
        <v>380</v>
      </c>
      <c r="E521" s="28" t="s">
        <v>47</v>
      </c>
      <c r="F521" s="29" t="s">
        <v>975</v>
      </c>
      <c r="G521" s="28">
        <v>1</v>
      </c>
      <c r="H521" s="28" t="s">
        <v>11</v>
      </c>
      <c r="I521" s="28" t="s">
        <v>754</v>
      </c>
    </row>
    <row r="522" spans="1:9" s="28" customFormat="1" x14ac:dyDescent="0.3">
      <c r="A522" s="28" t="s">
        <v>108</v>
      </c>
      <c r="B522" s="28" t="s">
        <v>28</v>
      </c>
      <c r="C522" s="28" t="s">
        <v>18</v>
      </c>
      <c r="D522" s="28" t="s">
        <v>533</v>
      </c>
      <c r="E522" s="28" t="s">
        <v>29</v>
      </c>
      <c r="F522" s="23" t="s">
        <v>755</v>
      </c>
      <c r="G522" s="28">
        <v>1</v>
      </c>
      <c r="H522" s="28" t="s">
        <v>11</v>
      </c>
      <c r="I522" s="28" t="s">
        <v>756</v>
      </c>
    </row>
    <row r="523" spans="1:9" s="28" customFormat="1" x14ac:dyDescent="0.3">
      <c r="A523" s="28" t="s">
        <v>108</v>
      </c>
      <c r="B523" s="28" t="s">
        <v>28</v>
      </c>
      <c r="C523" s="28" t="s">
        <v>18</v>
      </c>
      <c r="D523" s="28" t="s">
        <v>533</v>
      </c>
      <c r="E523" s="28" t="s">
        <v>29</v>
      </c>
      <c r="F523" s="23" t="s">
        <v>757</v>
      </c>
      <c r="G523" s="28">
        <v>1</v>
      </c>
      <c r="H523" s="28" t="s">
        <v>11</v>
      </c>
      <c r="I523" s="28" t="s">
        <v>758</v>
      </c>
    </row>
    <row r="524" spans="1:9" s="28" customFormat="1" x14ac:dyDescent="0.3">
      <c r="A524" s="28" t="s">
        <v>108</v>
      </c>
      <c r="B524" s="28" t="s">
        <v>30</v>
      </c>
      <c r="C524" s="28" t="s">
        <v>18</v>
      </c>
      <c r="D524" s="28" t="s">
        <v>533</v>
      </c>
      <c r="E524" s="28" t="s">
        <v>31</v>
      </c>
      <c r="F524" s="23" t="s">
        <v>759</v>
      </c>
      <c r="G524" s="28">
        <v>1</v>
      </c>
      <c r="H524" s="28" t="s">
        <v>11</v>
      </c>
      <c r="I524" s="28" t="s">
        <v>760</v>
      </c>
    </row>
    <row r="525" spans="1:9" s="28" customFormat="1" x14ac:dyDescent="0.3">
      <c r="A525" s="28" t="s">
        <v>108</v>
      </c>
      <c r="B525" s="28" t="s">
        <v>30</v>
      </c>
      <c r="C525" s="28" t="s">
        <v>18</v>
      </c>
      <c r="D525" s="28" t="s">
        <v>533</v>
      </c>
      <c r="E525" s="28" t="s">
        <v>31</v>
      </c>
      <c r="F525" s="23" t="s">
        <v>761</v>
      </c>
      <c r="G525" s="28">
        <v>1</v>
      </c>
      <c r="H525" s="28" t="s">
        <v>11</v>
      </c>
      <c r="I525" s="28" t="s">
        <v>762</v>
      </c>
    </row>
    <row r="526" spans="1:9" s="28" customFormat="1" x14ac:dyDescent="0.3">
      <c r="A526" s="28" t="s">
        <v>108</v>
      </c>
      <c r="B526" s="28" t="s">
        <v>32</v>
      </c>
      <c r="C526" s="28" t="s">
        <v>18</v>
      </c>
      <c r="D526" s="28" t="s">
        <v>533</v>
      </c>
      <c r="E526" s="28" t="s">
        <v>33</v>
      </c>
      <c r="F526" s="23" t="s">
        <v>763</v>
      </c>
      <c r="G526" s="28">
        <v>1</v>
      </c>
      <c r="H526" s="28" t="s">
        <v>11</v>
      </c>
      <c r="I526" s="28" t="s">
        <v>764</v>
      </c>
    </row>
    <row r="527" spans="1:9" s="28" customFormat="1" x14ac:dyDescent="0.3">
      <c r="A527" s="28" t="s">
        <v>765</v>
      </c>
      <c r="B527" s="28" t="s">
        <v>12</v>
      </c>
      <c r="C527" s="28" t="s">
        <v>13</v>
      </c>
      <c r="D527" s="28" t="s">
        <v>14</v>
      </c>
      <c r="E527" s="28" t="s">
        <v>15</v>
      </c>
      <c r="F527" s="23" t="s">
        <v>766</v>
      </c>
      <c r="G527" s="28">
        <v>1</v>
      </c>
      <c r="H527" s="28" t="s">
        <v>11</v>
      </c>
      <c r="I527" s="28" t="s">
        <v>767</v>
      </c>
    </row>
    <row r="528" spans="1:9" s="28" customFormat="1" x14ac:dyDescent="0.3">
      <c r="A528" s="28" t="s">
        <v>765</v>
      </c>
      <c r="B528" s="28" t="s">
        <v>17</v>
      </c>
      <c r="C528" s="28" t="s">
        <v>18</v>
      </c>
      <c r="D528" s="28" t="s">
        <v>14</v>
      </c>
      <c r="E528" s="28" t="s">
        <v>19</v>
      </c>
      <c r="F528" s="23" t="s">
        <v>768</v>
      </c>
      <c r="G528" s="28">
        <v>1</v>
      </c>
      <c r="H528" s="28" t="s">
        <v>11</v>
      </c>
      <c r="I528" s="28" t="s">
        <v>11</v>
      </c>
    </row>
    <row r="529" spans="1:11" s="28" customFormat="1" x14ac:dyDescent="0.3">
      <c r="A529" s="28" t="s">
        <v>765</v>
      </c>
      <c r="B529" s="28" t="s">
        <v>17</v>
      </c>
      <c r="C529" s="28" t="s">
        <v>18</v>
      </c>
      <c r="D529" s="28" t="s">
        <v>14</v>
      </c>
      <c r="E529" s="28" t="s">
        <v>19</v>
      </c>
      <c r="F529" s="23" t="s">
        <v>769</v>
      </c>
      <c r="G529" s="28">
        <v>1</v>
      </c>
      <c r="H529" s="28" t="s">
        <v>11</v>
      </c>
      <c r="I529" s="28" t="s">
        <v>11</v>
      </c>
      <c r="K529" s="23"/>
    </row>
    <row r="530" spans="1:11" s="28" customFormat="1" x14ac:dyDescent="0.3">
      <c r="A530" s="28" t="s">
        <v>765</v>
      </c>
      <c r="B530" s="28" t="s">
        <v>20</v>
      </c>
      <c r="C530" s="28" t="s">
        <v>18</v>
      </c>
      <c r="D530" s="28" t="s">
        <v>14</v>
      </c>
      <c r="E530" s="28" t="s">
        <v>21</v>
      </c>
      <c r="F530" s="23" t="s">
        <v>770</v>
      </c>
      <c r="G530" s="28">
        <v>1</v>
      </c>
      <c r="H530" s="28" t="s">
        <v>11</v>
      </c>
      <c r="I530" s="28" t="s">
        <v>11</v>
      </c>
    </row>
    <row r="531" spans="1:11" s="28" customFormat="1" x14ac:dyDescent="0.3">
      <c r="A531" s="28" t="s">
        <v>765</v>
      </c>
      <c r="B531" s="28" t="s">
        <v>20</v>
      </c>
      <c r="C531" s="28" t="s">
        <v>18</v>
      </c>
      <c r="D531" s="28" t="s">
        <v>14</v>
      </c>
      <c r="E531" s="28" t="s">
        <v>21</v>
      </c>
      <c r="F531" s="23" t="s">
        <v>771</v>
      </c>
      <c r="G531" s="28">
        <v>1</v>
      </c>
      <c r="H531" s="28" t="s">
        <v>11</v>
      </c>
      <c r="I531" s="28" t="s">
        <v>11</v>
      </c>
    </row>
    <row r="532" spans="1:11" s="28" customFormat="1" x14ac:dyDescent="0.3">
      <c r="A532" s="28" t="s">
        <v>765</v>
      </c>
      <c r="B532" s="28" t="s">
        <v>12</v>
      </c>
      <c r="C532" s="28" t="s">
        <v>13</v>
      </c>
      <c r="D532" s="28" t="s">
        <v>14</v>
      </c>
      <c r="E532" s="28" t="s">
        <v>15</v>
      </c>
      <c r="F532" s="23" t="s">
        <v>772</v>
      </c>
      <c r="G532" s="28">
        <v>1</v>
      </c>
      <c r="H532" s="28" t="s">
        <v>11</v>
      </c>
      <c r="I532" s="28" t="s">
        <v>773</v>
      </c>
    </row>
    <row r="533" spans="1:11" s="28" customFormat="1" x14ac:dyDescent="0.3">
      <c r="A533" s="28" t="s">
        <v>765</v>
      </c>
      <c r="B533" s="28" t="s">
        <v>17</v>
      </c>
      <c r="C533" s="28" t="s">
        <v>18</v>
      </c>
      <c r="D533" s="28" t="s">
        <v>14</v>
      </c>
      <c r="E533" s="28" t="s">
        <v>19</v>
      </c>
      <c r="F533" s="23" t="s">
        <v>774</v>
      </c>
      <c r="G533" s="28">
        <v>1</v>
      </c>
      <c r="H533" s="28" t="s">
        <v>11</v>
      </c>
      <c r="I533" s="28" t="s">
        <v>11</v>
      </c>
    </row>
    <row r="534" spans="1:11" s="28" customFormat="1" x14ac:dyDescent="0.3">
      <c r="A534" s="28" t="s">
        <v>765</v>
      </c>
      <c r="B534" s="28" t="s">
        <v>17</v>
      </c>
      <c r="C534" s="28" t="s">
        <v>18</v>
      </c>
      <c r="D534" s="28" t="s">
        <v>14</v>
      </c>
      <c r="E534" s="28" t="s">
        <v>19</v>
      </c>
      <c r="F534" s="23" t="s">
        <v>775</v>
      </c>
      <c r="G534" s="28">
        <v>1</v>
      </c>
      <c r="H534" s="28" t="s">
        <v>11</v>
      </c>
      <c r="I534" s="28" t="s">
        <v>11</v>
      </c>
    </row>
    <row r="535" spans="1:11" s="28" customFormat="1" x14ac:dyDescent="0.3">
      <c r="A535" s="28" t="s">
        <v>765</v>
      </c>
      <c r="B535" s="28" t="s">
        <v>20</v>
      </c>
      <c r="C535" s="28" t="s">
        <v>18</v>
      </c>
      <c r="D535" s="28" t="s">
        <v>14</v>
      </c>
      <c r="E535" s="28" t="s">
        <v>21</v>
      </c>
      <c r="F535" s="23" t="s">
        <v>776</v>
      </c>
      <c r="G535" s="28">
        <v>1</v>
      </c>
      <c r="H535" s="28" t="s">
        <v>11</v>
      </c>
      <c r="I535" s="28" t="s">
        <v>11</v>
      </c>
    </row>
    <row r="536" spans="1:11" s="28" customFormat="1" x14ac:dyDescent="0.3">
      <c r="A536" s="28" t="s">
        <v>765</v>
      </c>
      <c r="B536" s="28" t="s">
        <v>20</v>
      </c>
      <c r="C536" s="28" t="s">
        <v>18</v>
      </c>
      <c r="D536" s="28" t="s">
        <v>14</v>
      </c>
      <c r="E536" s="28" t="s">
        <v>21</v>
      </c>
      <c r="F536" s="23" t="s">
        <v>777</v>
      </c>
      <c r="G536" s="28">
        <v>1</v>
      </c>
      <c r="H536" s="28" t="s">
        <v>11</v>
      </c>
      <c r="I536" s="28" t="s">
        <v>11</v>
      </c>
    </row>
    <row r="537" spans="1:11" s="28" customFormat="1" x14ac:dyDescent="0.3">
      <c r="A537" s="28" t="s">
        <v>765</v>
      </c>
      <c r="B537" s="28" t="s">
        <v>23</v>
      </c>
      <c r="C537" s="28" t="s">
        <v>24</v>
      </c>
      <c r="D537" s="28" t="s">
        <v>25</v>
      </c>
      <c r="E537" s="28" t="s">
        <v>26</v>
      </c>
      <c r="F537" s="23" t="s">
        <v>789</v>
      </c>
      <c r="G537" s="28">
        <v>1</v>
      </c>
      <c r="H537" s="28" t="s">
        <v>11</v>
      </c>
      <c r="I537" s="28" t="s">
        <v>779</v>
      </c>
    </row>
    <row r="538" spans="1:11" s="28" customFormat="1" x14ac:dyDescent="0.3">
      <c r="A538" s="28" t="s">
        <v>765</v>
      </c>
      <c r="B538" s="28" t="s">
        <v>28</v>
      </c>
      <c r="C538" s="28" t="s">
        <v>18</v>
      </c>
      <c r="D538" s="28" t="s">
        <v>25</v>
      </c>
      <c r="E538" s="28" t="s">
        <v>29</v>
      </c>
      <c r="F538" s="23" t="s">
        <v>969</v>
      </c>
      <c r="G538" s="28">
        <v>1</v>
      </c>
      <c r="H538" s="28" t="s">
        <v>11</v>
      </c>
      <c r="I538" s="28" t="s">
        <v>11</v>
      </c>
    </row>
    <row r="539" spans="1:11" s="28" customFormat="1" x14ac:dyDescent="0.3">
      <c r="A539" s="28" t="s">
        <v>765</v>
      </c>
      <c r="B539" s="28" t="s">
        <v>28</v>
      </c>
      <c r="C539" s="28" t="s">
        <v>18</v>
      </c>
      <c r="D539" s="28" t="s">
        <v>25</v>
      </c>
      <c r="E539" s="28" t="s">
        <v>29</v>
      </c>
      <c r="F539" s="23" t="s">
        <v>968</v>
      </c>
      <c r="G539" s="28">
        <v>1</v>
      </c>
      <c r="H539" s="28" t="s">
        <v>11</v>
      </c>
      <c r="I539" s="28" t="s">
        <v>11</v>
      </c>
    </row>
    <row r="540" spans="1:11" s="28" customFormat="1" x14ac:dyDescent="0.3">
      <c r="A540" s="28" t="s">
        <v>765</v>
      </c>
      <c r="B540" s="28" t="s">
        <v>28</v>
      </c>
      <c r="C540" s="28" t="s">
        <v>18</v>
      </c>
      <c r="D540" s="28" t="s">
        <v>25</v>
      </c>
      <c r="E540" s="28" t="s">
        <v>29</v>
      </c>
      <c r="F540" s="23" t="s">
        <v>967</v>
      </c>
      <c r="G540" s="28">
        <v>1</v>
      </c>
      <c r="H540" s="28" t="s">
        <v>11</v>
      </c>
      <c r="I540" s="28" t="s">
        <v>11</v>
      </c>
    </row>
    <row r="541" spans="1:11" s="28" customFormat="1" x14ac:dyDescent="0.3">
      <c r="A541" s="28" t="s">
        <v>765</v>
      </c>
      <c r="B541" s="28" t="s">
        <v>28</v>
      </c>
      <c r="C541" s="28" t="s">
        <v>18</v>
      </c>
      <c r="D541" s="28" t="s">
        <v>25</v>
      </c>
      <c r="E541" s="28" t="s">
        <v>29</v>
      </c>
      <c r="F541" s="23" t="s">
        <v>966</v>
      </c>
      <c r="G541" s="28">
        <v>1</v>
      </c>
      <c r="H541" s="28" t="s">
        <v>11</v>
      </c>
      <c r="I541" s="28" t="s">
        <v>11</v>
      </c>
    </row>
    <row r="542" spans="1:11" s="28" customFormat="1" x14ac:dyDescent="0.3">
      <c r="A542" s="28" t="s">
        <v>765</v>
      </c>
      <c r="B542" s="28" t="s">
        <v>28</v>
      </c>
      <c r="C542" s="28" t="s">
        <v>18</v>
      </c>
      <c r="D542" s="28" t="s">
        <v>25</v>
      </c>
      <c r="E542" s="28" t="s">
        <v>29</v>
      </c>
      <c r="F542" s="23" t="s">
        <v>965</v>
      </c>
      <c r="G542" s="28">
        <v>1</v>
      </c>
      <c r="H542" s="28" t="s">
        <v>11</v>
      </c>
      <c r="I542" s="28" t="s">
        <v>11</v>
      </c>
    </row>
    <row r="543" spans="1:11" s="28" customFormat="1" x14ac:dyDescent="0.3">
      <c r="A543" s="28" t="s">
        <v>765</v>
      </c>
      <c r="B543" s="28" t="s">
        <v>30</v>
      </c>
      <c r="C543" s="28" t="s">
        <v>18</v>
      </c>
      <c r="D543" s="28" t="s">
        <v>25</v>
      </c>
      <c r="E543" s="28" t="s">
        <v>31</v>
      </c>
      <c r="F543" s="23" t="s">
        <v>791</v>
      </c>
      <c r="G543" s="28">
        <v>1</v>
      </c>
      <c r="H543" s="28" t="s">
        <v>11</v>
      </c>
      <c r="I543" s="28" t="s">
        <v>11</v>
      </c>
    </row>
    <row r="544" spans="1:11" s="28" customFormat="1" x14ac:dyDescent="0.3">
      <c r="A544" s="28" t="s">
        <v>765</v>
      </c>
      <c r="B544" s="28" t="s">
        <v>30</v>
      </c>
      <c r="C544" s="28" t="s">
        <v>18</v>
      </c>
      <c r="D544" s="28" t="s">
        <v>25</v>
      </c>
      <c r="E544" s="28" t="s">
        <v>31</v>
      </c>
      <c r="F544" s="23" t="s">
        <v>792</v>
      </c>
      <c r="G544" s="28">
        <v>1</v>
      </c>
      <c r="H544" s="28" t="s">
        <v>11</v>
      </c>
      <c r="I544" s="28" t="s">
        <v>11</v>
      </c>
    </row>
    <row r="545" spans="1:9" s="28" customFormat="1" x14ac:dyDescent="0.3">
      <c r="A545" s="28" t="s">
        <v>765</v>
      </c>
      <c r="B545" s="28" t="s">
        <v>30</v>
      </c>
      <c r="C545" s="28" t="s">
        <v>18</v>
      </c>
      <c r="D545" s="28" t="s">
        <v>25</v>
      </c>
      <c r="E545" s="28" t="s">
        <v>31</v>
      </c>
      <c r="F545" s="23" t="s">
        <v>793</v>
      </c>
      <c r="G545" s="28">
        <v>1</v>
      </c>
      <c r="H545" s="28" t="s">
        <v>11</v>
      </c>
      <c r="I545" s="28" t="s">
        <v>11</v>
      </c>
    </row>
    <row r="546" spans="1:9" s="28" customFormat="1" x14ac:dyDescent="0.3">
      <c r="A546" s="28" t="s">
        <v>765</v>
      </c>
      <c r="B546" s="28" t="s">
        <v>30</v>
      </c>
      <c r="C546" s="28" t="s">
        <v>18</v>
      </c>
      <c r="D546" s="28" t="s">
        <v>25</v>
      </c>
      <c r="E546" s="28" t="s">
        <v>31</v>
      </c>
      <c r="F546" s="23" t="s">
        <v>794</v>
      </c>
      <c r="G546" s="28">
        <v>1</v>
      </c>
      <c r="H546" s="28" t="s">
        <v>11</v>
      </c>
      <c r="I546" s="28" t="s">
        <v>11</v>
      </c>
    </row>
    <row r="547" spans="1:9" s="28" customFormat="1" x14ac:dyDescent="0.3">
      <c r="A547" s="28" t="s">
        <v>765</v>
      </c>
      <c r="B547" s="28" t="s">
        <v>32</v>
      </c>
      <c r="C547" s="28" t="s">
        <v>18</v>
      </c>
      <c r="D547" s="28" t="s">
        <v>25</v>
      </c>
      <c r="E547" s="28" t="s">
        <v>33</v>
      </c>
      <c r="F547" s="23" t="s">
        <v>795</v>
      </c>
      <c r="G547" s="28">
        <v>1</v>
      </c>
      <c r="H547" s="28" t="s">
        <v>11</v>
      </c>
      <c r="I547" s="28" t="s">
        <v>11</v>
      </c>
    </row>
    <row r="548" spans="1:9" s="28" customFormat="1" x14ac:dyDescent="0.3">
      <c r="A548" s="28" t="s">
        <v>765</v>
      </c>
      <c r="B548" s="28" t="s">
        <v>32</v>
      </c>
      <c r="C548" s="28" t="s">
        <v>18</v>
      </c>
      <c r="D548" s="28" t="s">
        <v>25</v>
      </c>
      <c r="E548" s="28" t="s">
        <v>33</v>
      </c>
      <c r="F548" s="23" t="s">
        <v>796</v>
      </c>
      <c r="G548" s="28">
        <v>1</v>
      </c>
      <c r="H548" s="28" t="s">
        <v>11</v>
      </c>
      <c r="I548" s="28" t="s">
        <v>11</v>
      </c>
    </row>
    <row r="549" spans="1:9" s="28" customFormat="1" x14ac:dyDescent="0.3">
      <c r="A549" s="28" t="s">
        <v>765</v>
      </c>
      <c r="B549" s="28" t="s">
        <v>32</v>
      </c>
      <c r="C549" s="28" t="s">
        <v>18</v>
      </c>
      <c r="D549" s="28" t="s">
        <v>25</v>
      </c>
      <c r="E549" s="28" t="s">
        <v>33</v>
      </c>
      <c r="F549" s="23" t="s">
        <v>797</v>
      </c>
      <c r="G549" s="28">
        <v>1</v>
      </c>
      <c r="H549" s="28" t="s">
        <v>11</v>
      </c>
      <c r="I549" s="28" t="s">
        <v>11</v>
      </c>
    </row>
    <row r="550" spans="1:9" s="28" customFormat="1" x14ac:dyDescent="0.3">
      <c r="A550" s="28" t="s">
        <v>765</v>
      </c>
      <c r="B550" s="28" t="s">
        <v>32</v>
      </c>
      <c r="C550" s="28" t="s">
        <v>18</v>
      </c>
      <c r="D550" s="28" t="s">
        <v>25</v>
      </c>
      <c r="E550" s="28" t="s">
        <v>33</v>
      </c>
      <c r="F550" s="23" t="s">
        <v>798</v>
      </c>
      <c r="G550" s="28">
        <v>1</v>
      </c>
      <c r="H550" s="28" t="s">
        <v>11</v>
      </c>
      <c r="I550" s="28" t="s">
        <v>11</v>
      </c>
    </row>
    <row r="551" spans="1:9" s="28" customFormat="1" x14ac:dyDescent="0.3">
      <c r="A551" s="28" t="s">
        <v>765</v>
      </c>
      <c r="B551" s="28" t="s">
        <v>23</v>
      </c>
      <c r="C551" s="28" t="s">
        <v>24</v>
      </c>
      <c r="D551" s="28" t="s">
        <v>25</v>
      </c>
      <c r="E551" s="28" t="s">
        <v>26</v>
      </c>
      <c r="F551" s="23" t="s">
        <v>778</v>
      </c>
      <c r="G551" s="28">
        <v>1</v>
      </c>
      <c r="H551" s="28" t="s">
        <v>11</v>
      </c>
      <c r="I551" s="28" t="s">
        <v>790</v>
      </c>
    </row>
    <row r="552" spans="1:9" s="28" customFormat="1" x14ac:dyDescent="0.3">
      <c r="A552" s="28" t="s">
        <v>765</v>
      </c>
      <c r="B552" s="28" t="s">
        <v>28</v>
      </c>
      <c r="C552" s="28" t="s">
        <v>18</v>
      </c>
      <c r="D552" s="28" t="s">
        <v>25</v>
      </c>
      <c r="E552" s="28" t="s">
        <v>29</v>
      </c>
      <c r="F552" s="23" t="s">
        <v>960</v>
      </c>
      <c r="G552" s="28">
        <v>1</v>
      </c>
      <c r="H552" s="28" t="s">
        <v>11</v>
      </c>
      <c r="I552" s="28" t="s">
        <v>11</v>
      </c>
    </row>
    <row r="553" spans="1:9" s="28" customFormat="1" x14ac:dyDescent="0.3">
      <c r="A553" s="28" t="s">
        <v>765</v>
      </c>
      <c r="B553" s="28" t="s">
        <v>28</v>
      </c>
      <c r="C553" s="28" t="s">
        <v>18</v>
      </c>
      <c r="D553" s="28" t="s">
        <v>25</v>
      </c>
      <c r="E553" s="28" t="s">
        <v>29</v>
      </c>
      <c r="F553" s="23" t="s">
        <v>961</v>
      </c>
      <c r="G553" s="28">
        <v>1</v>
      </c>
      <c r="H553" s="28" t="s">
        <v>11</v>
      </c>
      <c r="I553" s="28" t="s">
        <v>11</v>
      </c>
    </row>
    <row r="554" spans="1:9" s="28" customFormat="1" x14ac:dyDescent="0.3">
      <c r="A554" s="28" t="s">
        <v>765</v>
      </c>
      <c r="B554" s="28" t="s">
        <v>28</v>
      </c>
      <c r="C554" s="28" t="s">
        <v>18</v>
      </c>
      <c r="D554" s="28" t="s">
        <v>25</v>
      </c>
      <c r="E554" s="28" t="s">
        <v>29</v>
      </c>
      <c r="F554" s="23" t="s">
        <v>962</v>
      </c>
      <c r="G554" s="28">
        <v>1</v>
      </c>
      <c r="H554" s="28" t="s">
        <v>11</v>
      </c>
      <c r="I554" s="28" t="s">
        <v>11</v>
      </c>
    </row>
    <row r="555" spans="1:9" s="28" customFormat="1" x14ac:dyDescent="0.3">
      <c r="A555" s="28" t="s">
        <v>765</v>
      </c>
      <c r="B555" s="28" t="s">
        <v>28</v>
      </c>
      <c r="C555" s="28" t="s">
        <v>18</v>
      </c>
      <c r="D555" s="28" t="s">
        <v>25</v>
      </c>
      <c r="E555" s="28" t="s">
        <v>29</v>
      </c>
      <c r="F555" s="23" t="s">
        <v>963</v>
      </c>
      <c r="G555" s="28">
        <v>1</v>
      </c>
      <c r="H555" s="28" t="s">
        <v>11</v>
      </c>
      <c r="I555" s="28" t="s">
        <v>11</v>
      </c>
    </row>
    <row r="556" spans="1:9" s="28" customFormat="1" x14ac:dyDescent="0.3">
      <c r="A556" s="28" t="s">
        <v>765</v>
      </c>
      <c r="B556" s="28" t="s">
        <v>28</v>
      </c>
      <c r="C556" s="28" t="s">
        <v>18</v>
      </c>
      <c r="D556" s="28" t="s">
        <v>25</v>
      </c>
      <c r="E556" s="28" t="s">
        <v>29</v>
      </c>
      <c r="F556" s="23" t="s">
        <v>964</v>
      </c>
      <c r="G556" s="28">
        <v>1</v>
      </c>
      <c r="H556" s="28" t="s">
        <v>11</v>
      </c>
      <c r="I556" s="28" t="s">
        <v>11</v>
      </c>
    </row>
    <row r="557" spans="1:9" s="28" customFormat="1" x14ac:dyDescent="0.3">
      <c r="A557" s="28" t="s">
        <v>765</v>
      </c>
      <c r="B557" s="28" t="s">
        <v>30</v>
      </c>
      <c r="C557" s="28" t="s">
        <v>18</v>
      </c>
      <c r="D557" s="28" t="s">
        <v>25</v>
      </c>
      <c r="E557" s="28" t="s">
        <v>31</v>
      </c>
      <c r="F557" s="23" t="s">
        <v>781</v>
      </c>
      <c r="G557" s="28">
        <v>1</v>
      </c>
      <c r="H557" s="28" t="s">
        <v>11</v>
      </c>
      <c r="I557" s="28" t="s">
        <v>11</v>
      </c>
    </row>
    <row r="558" spans="1:9" s="28" customFormat="1" x14ac:dyDescent="0.3">
      <c r="A558" s="28" t="s">
        <v>765</v>
      </c>
      <c r="B558" s="28" t="s">
        <v>30</v>
      </c>
      <c r="C558" s="28" t="s">
        <v>18</v>
      </c>
      <c r="D558" s="28" t="s">
        <v>25</v>
      </c>
      <c r="E558" s="28" t="s">
        <v>31</v>
      </c>
      <c r="F558" s="23" t="s">
        <v>782</v>
      </c>
      <c r="G558" s="28">
        <v>1</v>
      </c>
      <c r="H558" s="28" t="s">
        <v>11</v>
      </c>
      <c r="I558" s="28" t="s">
        <v>11</v>
      </c>
    </row>
    <row r="559" spans="1:9" s="28" customFormat="1" x14ac:dyDescent="0.3">
      <c r="A559" s="28" t="s">
        <v>765</v>
      </c>
      <c r="B559" s="28" t="s">
        <v>30</v>
      </c>
      <c r="C559" s="28" t="s">
        <v>18</v>
      </c>
      <c r="D559" s="28" t="s">
        <v>25</v>
      </c>
      <c r="E559" s="28" t="s">
        <v>31</v>
      </c>
      <c r="F559" s="23" t="s">
        <v>783</v>
      </c>
      <c r="G559" s="28">
        <v>1</v>
      </c>
      <c r="H559" s="28" t="s">
        <v>11</v>
      </c>
      <c r="I559" s="28" t="s">
        <v>11</v>
      </c>
    </row>
    <row r="560" spans="1:9" s="28" customFormat="1" x14ac:dyDescent="0.3">
      <c r="A560" s="28" t="s">
        <v>765</v>
      </c>
      <c r="B560" s="28" t="s">
        <v>30</v>
      </c>
      <c r="C560" s="28" t="s">
        <v>18</v>
      </c>
      <c r="D560" s="28" t="s">
        <v>25</v>
      </c>
      <c r="E560" s="28" t="s">
        <v>31</v>
      </c>
      <c r="F560" s="23" t="s">
        <v>784</v>
      </c>
      <c r="G560" s="28">
        <v>1</v>
      </c>
      <c r="H560" s="28" t="s">
        <v>11</v>
      </c>
      <c r="I560" s="28" t="s">
        <v>11</v>
      </c>
    </row>
    <row r="561" spans="1:9" s="28" customFormat="1" x14ac:dyDescent="0.3">
      <c r="A561" s="28" t="s">
        <v>765</v>
      </c>
      <c r="B561" s="28" t="s">
        <v>32</v>
      </c>
      <c r="C561" s="28" t="s">
        <v>18</v>
      </c>
      <c r="D561" s="28" t="s">
        <v>25</v>
      </c>
      <c r="E561" s="28" t="s">
        <v>33</v>
      </c>
      <c r="F561" s="23" t="s">
        <v>785</v>
      </c>
      <c r="G561" s="28">
        <v>1</v>
      </c>
      <c r="H561" s="28" t="s">
        <v>11</v>
      </c>
      <c r="I561" s="28" t="s">
        <v>11</v>
      </c>
    </row>
    <row r="562" spans="1:9" s="28" customFormat="1" x14ac:dyDescent="0.3">
      <c r="A562" s="28" t="s">
        <v>765</v>
      </c>
      <c r="B562" s="28" t="s">
        <v>32</v>
      </c>
      <c r="C562" s="28" t="s">
        <v>18</v>
      </c>
      <c r="D562" s="28" t="s">
        <v>25</v>
      </c>
      <c r="E562" s="28" t="s">
        <v>33</v>
      </c>
      <c r="F562" s="23" t="s">
        <v>786</v>
      </c>
      <c r="G562" s="28">
        <v>1</v>
      </c>
      <c r="H562" s="28" t="s">
        <v>11</v>
      </c>
      <c r="I562" s="28" t="s">
        <v>11</v>
      </c>
    </row>
    <row r="563" spans="1:9" s="28" customFormat="1" x14ac:dyDescent="0.3">
      <c r="A563" s="28" t="s">
        <v>765</v>
      </c>
      <c r="B563" s="28" t="s">
        <v>32</v>
      </c>
      <c r="C563" s="28" t="s">
        <v>18</v>
      </c>
      <c r="D563" s="28" t="s">
        <v>25</v>
      </c>
      <c r="E563" s="28" t="s">
        <v>33</v>
      </c>
      <c r="F563" s="23" t="s">
        <v>787</v>
      </c>
      <c r="G563" s="28">
        <v>1</v>
      </c>
      <c r="H563" s="28" t="s">
        <v>11</v>
      </c>
      <c r="I563" s="28" t="s">
        <v>11</v>
      </c>
    </row>
    <row r="564" spans="1:9" s="28" customFormat="1" x14ac:dyDescent="0.3">
      <c r="A564" s="28" t="s">
        <v>765</v>
      </c>
      <c r="B564" s="28" t="s">
        <v>32</v>
      </c>
      <c r="C564" s="28" t="s">
        <v>18</v>
      </c>
      <c r="D564" s="28" t="s">
        <v>25</v>
      </c>
      <c r="E564" s="28" t="s">
        <v>33</v>
      </c>
      <c r="F564" s="23" t="s">
        <v>788</v>
      </c>
      <c r="G564" s="28">
        <v>1</v>
      </c>
      <c r="H564" s="28" t="s">
        <v>11</v>
      </c>
      <c r="I564" s="28" t="s">
        <v>11</v>
      </c>
    </row>
    <row r="565" spans="1:9" s="28" customFormat="1" x14ac:dyDescent="0.3">
      <c r="A565" s="28" t="s">
        <v>765</v>
      </c>
      <c r="B565" s="28" t="s">
        <v>12</v>
      </c>
      <c r="C565" s="28" t="s">
        <v>13</v>
      </c>
      <c r="D565" s="28" t="s">
        <v>14</v>
      </c>
      <c r="E565" s="28" t="s">
        <v>15</v>
      </c>
      <c r="F565" s="23" t="s">
        <v>799</v>
      </c>
      <c r="G565" s="28">
        <v>1</v>
      </c>
      <c r="H565" s="28" t="s">
        <v>11</v>
      </c>
      <c r="I565" s="28" t="s">
        <v>800</v>
      </c>
    </row>
    <row r="566" spans="1:9" s="28" customFormat="1" x14ac:dyDescent="0.3">
      <c r="A566" s="28" t="s">
        <v>765</v>
      </c>
      <c r="B566" s="28" t="s">
        <v>17</v>
      </c>
      <c r="C566" s="28" t="s">
        <v>18</v>
      </c>
      <c r="D566" s="28" t="s">
        <v>14</v>
      </c>
      <c r="E566" s="28" t="s">
        <v>19</v>
      </c>
      <c r="F566" s="23" t="s">
        <v>801</v>
      </c>
      <c r="G566" s="28">
        <v>1</v>
      </c>
      <c r="H566" s="28" t="s">
        <v>11</v>
      </c>
      <c r="I566" s="28" t="s">
        <v>11</v>
      </c>
    </row>
    <row r="567" spans="1:9" s="28" customFormat="1" x14ac:dyDescent="0.3">
      <c r="A567" s="28" t="s">
        <v>765</v>
      </c>
      <c r="B567" s="28" t="s">
        <v>17</v>
      </c>
      <c r="C567" s="28" t="s">
        <v>18</v>
      </c>
      <c r="D567" s="28" t="s">
        <v>14</v>
      </c>
      <c r="E567" s="28" t="s">
        <v>19</v>
      </c>
      <c r="F567" s="23" t="s">
        <v>802</v>
      </c>
      <c r="G567" s="28">
        <v>1</v>
      </c>
      <c r="H567" s="28" t="s">
        <v>11</v>
      </c>
      <c r="I567" s="28" t="s">
        <v>11</v>
      </c>
    </row>
    <row r="568" spans="1:9" s="28" customFormat="1" x14ac:dyDescent="0.3">
      <c r="A568" s="28" t="s">
        <v>765</v>
      </c>
      <c r="B568" s="28" t="s">
        <v>20</v>
      </c>
      <c r="C568" s="28" t="s">
        <v>18</v>
      </c>
      <c r="D568" s="28" t="s">
        <v>14</v>
      </c>
      <c r="E568" s="28" t="s">
        <v>21</v>
      </c>
      <c r="F568" s="23" t="s">
        <v>803</v>
      </c>
      <c r="G568" s="28">
        <v>1</v>
      </c>
      <c r="H568" s="28" t="s">
        <v>11</v>
      </c>
      <c r="I568" s="28" t="s">
        <v>11</v>
      </c>
    </row>
    <row r="569" spans="1:9" s="28" customFormat="1" x14ac:dyDescent="0.3">
      <c r="A569" s="28" t="s">
        <v>765</v>
      </c>
      <c r="B569" s="28" t="s">
        <v>20</v>
      </c>
      <c r="C569" s="28" t="s">
        <v>18</v>
      </c>
      <c r="D569" s="28" t="s">
        <v>14</v>
      </c>
      <c r="E569" s="28" t="s">
        <v>21</v>
      </c>
      <c r="F569" s="23" t="s">
        <v>804</v>
      </c>
      <c r="G569" s="28">
        <v>1</v>
      </c>
      <c r="H569" s="28" t="s">
        <v>11</v>
      </c>
      <c r="I569" s="28" t="s">
        <v>11</v>
      </c>
    </row>
    <row r="570" spans="1:9" s="28" customFormat="1" x14ac:dyDescent="0.3">
      <c r="A570" s="28" t="s">
        <v>765</v>
      </c>
      <c r="B570" s="28" t="s">
        <v>12</v>
      </c>
      <c r="C570" s="28" t="s">
        <v>13</v>
      </c>
      <c r="D570" s="28" t="s">
        <v>14</v>
      </c>
      <c r="E570" s="28" t="s">
        <v>15</v>
      </c>
      <c r="F570" s="23" t="s">
        <v>805</v>
      </c>
      <c r="G570" s="28">
        <v>1</v>
      </c>
      <c r="H570" s="28" t="s">
        <v>11</v>
      </c>
      <c r="I570" s="28" t="s">
        <v>806</v>
      </c>
    </row>
    <row r="571" spans="1:9" s="28" customFormat="1" x14ac:dyDescent="0.3">
      <c r="A571" s="28" t="s">
        <v>765</v>
      </c>
      <c r="B571" s="28" t="s">
        <v>17</v>
      </c>
      <c r="C571" s="28" t="s">
        <v>18</v>
      </c>
      <c r="D571" s="28" t="s">
        <v>14</v>
      </c>
      <c r="E571" s="28" t="s">
        <v>19</v>
      </c>
      <c r="F571" s="23" t="s">
        <v>807</v>
      </c>
      <c r="G571" s="28">
        <v>1</v>
      </c>
      <c r="H571" s="28" t="s">
        <v>11</v>
      </c>
      <c r="I571" s="28" t="s">
        <v>11</v>
      </c>
    </row>
    <row r="572" spans="1:9" s="28" customFormat="1" x14ac:dyDescent="0.3">
      <c r="A572" s="28" t="s">
        <v>765</v>
      </c>
      <c r="B572" s="28" t="s">
        <v>17</v>
      </c>
      <c r="C572" s="28" t="s">
        <v>18</v>
      </c>
      <c r="D572" s="28" t="s">
        <v>14</v>
      </c>
      <c r="E572" s="28" t="s">
        <v>19</v>
      </c>
      <c r="F572" s="23" t="s">
        <v>808</v>
      </c>
      <c r="G572" s="28">
        <v>1</v>
      </c>
      <c r="H572" s="28" t="s">
        <v>11</v>
      </c>
      <c r="I572" s="28" t="s">
        <v>11</v>
      </c>
    </row>
    <row r="573" spans="1:9" s="28" customFormat="1" x14ac:dyDescent="0.3">
      <c r="A573" s="28" t="s">
        <v>765</v>
      </c>
      <c r="B573" s="28" t="s">
        <v>20</v>
      </c>
      <c r="C573" s="28" t="s">
        <v>18</v>
      </c>
      <c r="D573" s="28" t="s">
        <v>14</v>
      </c>
      <c r="E573" s="28" t="s">
        <v>21</v>
      </c>
      <c r="F573" s="23" t="s">
        <v>809</v>
      </c>
      <c r="G573" s="28">
        <v>1</v>
      </c>
      <c r="H573" s="28" t="s">
        <v>11</v>
      </c>
      <c r="I573" s="28" t="s">
        <v>11</v>
      </c>
    </row>
    <row r="574" spans="1:9" s="28" customFormat="1" x14ac:dyDescent="0.3">
      <c r="A574" s="28" t="s">
        <v>765</v>
      </c>
      <c r="B574" s="28" t="s">
        <v>20</v>
      </c>
      <c r="C574" s="28" t="s">
        <v>18</v>
      </c>
      <c r="D574" s="28" t="s">
        <v>14</v>
      </c>
      <c r="E574" s="28" t="s">
        <v>21</v>
      </c>
      <c r="F574" s="23" t="s">
        <v>810</v>
      </c>
      <c r="G574" s="28">
        <v>1</v>
      </c>
      <c r="H574" s="28" t="s">
        <v>11</v>
      </c>
      <c r="I574" s="28" t="s">
        <v>11</v>
      </c>
    </row>
    <row r="575" spans="1:9" s="28" customFormat="1" x14ac:dyDescent="0.3">
      <c r="A575" s="28" t="s">
        <v>765</v>
      </c>
      <c r="B575" s="28" t="s">
        <v>38</v>
      </c>
      <c r="C575" s="28" t="s">
        <v>39</v>
      </c>
      <c r="D575" s="28" t="s">
        <v>14</v>
      </c>
      <c r="E575" s="28" t="s">
        <v>572</v>
      </c>
      <c r="F575" s="23" t="s">
        <v>811</v>
      </c>
      <c r="G575" s="28">
        <v>1</v>
      </c>
      <c r="H575" s="28" t="s">
        <v>812</v>
      </c>
      <c r="I575" s="28" t="s">
        <v>11</v>
      </c>
    </row>
    <row r="576" spans="1:9" s="28" customFormat="1" x14ac:dyDescent="0.3">
      <c r="A576" s="28" t="s">
        <v>765</v>
      </c>
      <c r="B576" s="28" t="s">
        <v>38</v>
      </c>
      <c r="C576" s="28" t="s">
        <v>39</v>
      </c>
      <c r="D576" s="28" t="s">
        <v>14</v>
      </c>
      <c r="E576" s="28" t="s">
        <v>572</v>
      </c>
      <c r="F576" s="23" t="s">
        <v>813</v>
      </c>
      <c r="G576" s="28">
        <v>1</v>
      </c>
      <c r="H576" s="28" t="s">
        <v>814</v>
      </c>
      <c r="I576" s="28" t="s">
        <v>11</v>
      </c>
    </row>
    <row r="577" spans="1:9" s="28" customFormat="1" x14ac:dyDescent="0.3">
      <c r="A577" s="28" t="s">
        <v>765</v>
      </c>
      <c r="B577" s="28" t="s">
        <v>40</v>
      </c>
      <c r="C577" s="28" t="s">
        <v>41</v>
      </c>
      <c r="D577" s="28" t="s">
        <v>14</v>
      </c>
      <c r="E577" s="28" t="s">
        <v>42</v>
      </c>
      <c r="F577" s="23" t="s">
        <v>815</v>
      </c>
      <c r="G577" s="28">
        <v>1</v>
      </c>
      <c r="H577" s="28" t="s">
        <v>11</v>
      </c>
      <c r="I577" s="28" t="s">
        <v>816</v>
      </c>
    </row>
    <row r="578" spans="1:9" s="28" customFormat="1" x14ac:dyDescent="0.3">
      <c r="A578" s="28" t="s">
        <v>765</v>
      </c>
      <c r="B578" s="28" t="s">
        <v>44</v>
      </c>
      <c r="C578" s="28" t="s">
        <v>41</v>
      </c>
      <c r="D578" s="28" t="s">
        <v>14</v>
      </c>
      <c r="E578" s="28" t="s">
        <v>45</v>
      </c>
      <c r="F578" s="23" t="s">
        <v>817</v>
      </c>
      <c r="G578" s="28">
        <v>1</v>
      </c>
      <c r="H578" s="28" t="s">
        <v>11</v>
      </c>
      <c r="I578" s="28" t="s">
        <v>11</v>
      </c>
    </row>
    <row r="579" spans="1:9" s="28" customFormat="1" x14ac:dyDescent="0.3">
      <c r="A579" s="28" t="s">
        <v>765</v>
      </c>
      <c r="B579" s="28" t="s">
        <v>44</v>
      </c>
      <c r="C579" s="28" t="s">
        <v>41</v>
      </c>
      <c r="D579" s="28" t="s">
        <v>14</v>
      </c>
      <c r="E579" s="28" t="s">
        <v>45</v>
      </c>
      <c r="F579" s="23" t="s">
        <v>818</v>
      </c>
      <c r="G579" s="28">
        <v>1</v>
      </c>
      <c r="H579" s="28" t="s">
        <v>11</v>
      </c>
      <c r="I579" s="28" t="s">
        <v>11</v>
      </c>
    </row>
    <row r="580" spans="1:9" s="28" customFormat="1" x14ac:dyDescent="0.3">
      <c r="A580" s="28" t="s">
        <v>765</v>
      </c>
      <c r="B580" s="28" t="s">
        <v>46</v>
      </c>
      <c r="C580" s="28" t="s">
        <v>39</v>
      </c>
      <c r="D580" s="28" t="s">
        <v>14</v>
      </c>
      <c r="E580" s="28" t="s">
        <v>47</v>
      </c>
      <c r="F580" s="23" t="s">
        <v>819</v>
      </c>
      <c r="G580" s="28">
        <v>1</v>
      </c>
      <c r="H580" s="28" t="s">
        <v>820</v>
      </c>
      <c r="I580" s="28" t="s">
        <v>11</v>
      </c>
    </row>
    <row r="581" spans="1:9" s="28" customFormat="1" x14ac:dyDescent="0.3">
      <c r="A581" s="28" t="s">
        <v>765</v>
      </c>
      <c r="B581" s="28" t="s">
        <v>46</v>
      </c>
      <c r="C581" s="28" t="s">
        <v>39</v>
      </c>
      <c r="D581" s="28" t="s">
        <v>14</v>
      </c>
      <c r="E581" s="28" t="s">
        <v>47</v>
      </c>
      <c r="F581" s="23" t="s">
        <v>821</v>
      </c>
      <c r="G581" s="28">
        <v>1</v>
      </c>
      <c r="H581" s="28" t="s">
        <v>822</v>
      </c>
      <c r="I581" s="28" t="s">
        <v>11</v>
      </c>
    </row>
    <row r="582" spans="1:9" s="28" customFormat="1" x14ac:dyDescent="0.3">
      <c r="A582" s="28" t="s">
        <v>765</v>
      </c>
      <c r="B582" s="28" t="s">
        <v>46</v>
      </c>
      <c r="C582" s="28" t="s">
        <v>39</v>
      </c>
      <c r="D582" s="28" t="s">
        <v>14</v>
      </c>
      <c r="E582" s="28" t="s">
        <v>47</v>
      </c>
      <c r="F582" s="23" t="s">
        <v>823</v>
      </c>
      <c r="G582" s="28">
        <v>1</v>
      </c>
      <c r="H582" s="28" t="s">
        <v>824</v>
      </c>
      <c r="I582" s="28" t="s">
        <v>11</v>
      </c>
    </row>
    <row r="583" spans="1:9" s="28" customFormat="1" x14ac:dyDescent="0.3">
      <c r="A583" s="28" t="s">
        <v>765</v>
      </c>
      <c r="B583" s="28" t="s">
        <v>46</v>
      </c>
      <c r="C583" s="28" t="s">
        <v>39</v>
      </c>
      <c r="D583" s="28" t="s">
        <v>14</v>
      </c>
      <c r="E583" s="28" t="s">
        <v>47</v>
      </c>
      <c r="F583" s="23" t="s">
        <v>825</v>
      </c>
      <c r="G583" s="28">
        <v>1</v>
      </c>
      <c r="H583" s="28" t="s">
        <v>826</v>
      </c>
      <c r="I583" s="28" t="s">
        <v>11</v>
      </c>
    </row>
    <row r="584" spans="1:9" s="28" customFormat="1" x14ac:dyDescent="0.3">
      <c r="A584" s="28" t="s">
        <v>765</v>
      </c>
      <c r="B584" s="28" t="s">
        <v>46</v>
      </c>
      <c r="C584" s="28" t="s">
        <v>39</v>
      </c>
      <c r="D584" s="28" t="s">
        <v>14</v>
      </c>
      <c r="E584" s="28" t="s">
        <v>47</v>
      </c>
      <c r="F584" s="23" t="s">
        <v>827</v>
      </c>
      <c r="G584" s="28">
        <v>1</v>
      </c>
      <c r="H584" s="28" t="s">
        <v>828</v>
      </c>
      <c r="I584" s="28" t="s">
        <v>11</v>
      </c>
    </row>
    <row r="585" spans="1:9" s="28" customFormat="1" x14ac:dyDescent="0.3">
      <c r="A585" s="28" t="s">
        <v>765</v>
      </c>
      <c r="B585" s="28" t="s">
        <v>46</v>
      </c>
      <c r="C585" s="28" t="s">
        <v>39</v>
      </c>
      <c r="D585" s="28" t="s">
        <v>14</v>
      </c>
      <c r="E585" s="28" t="s">
        <v>47</v>
      </c>
      <c r="F585" s="23" t="s">
        <v>829</v>
      </c>
      <c r="G585" s="28">
        <v>1</v>
      </c>
      <c r="H585" s="28" t="s">
        <v>830</v>
      </c>
      <c r="I585" s="28" t="s">
        <v>11</v>
      </c>
    </row>
    <row r="586" spans="1:9" s="28" customFormat="1" x14ac:dyDescent="0.3">
      <c r="A586" s="28" t="s">
        <v>765</v>
      </c>
      <c r="B586" s="28" t="s">
        <v>46</v>
      </c>
      <c r="C586" s="28" t="s">
        <v>39</v>
      </c>
      <c r="D586" s="28" t="s">
        <v>14</v>
      </c>
      <c r="E586" s="28" t="s">
        <v>47</v>
      </c>
      <c r="F586" s="23" t="s">
        <v>831</v>
      </c>
      <c r="G586" s="28">
        <v>1</v>
      </c>
      <c r="H586" s="28" t="s">
        <v>832</v>
      </c>
      <c r="I586" s="28" t="s">
        <v>11</v>
      </c>
    </row>
    <row r="587" spans="1:9" s="28" customFormat="1" x14ac:dyDescent="0.3">
      <c r="A587" s="28" t="s">
        <v>765</v>
      </c>
      <c r="B587" s="28" t="s">
        <v>46</v>
      </c>
      <c r="C587" s="28" t="s">
        <v>39</v>
      </c>
      <c r="D587" s="28" t="s">
        <v>14</v>
      </c>
      <c r="E587" s="28" t="s">
        <v>47</v>
      </c>
      <c r="F587" s="23" t="s">
        <v>833</v>
      </c>
      <c r="G587" s="28">
        <v>1</v>
      </c>
      <c r="H587" s="28" t="s">
        <v>834</v>
      </c>
      <c r="I587" s="28" t="s">
        <v>11</v>
      </c>
    </row>
    <row r="588" spans="1:9" s="28" customFormat="1" x14ac:dyDescent="0.3">
      <c r="A588" s="28" t="s">
        <v>765</v>
      </c>
      <c r="B588" s="28" t="s">
        <v>46</v>
      </c>
      <c r="C588" s="28" t="s">
        <v>39</v>
      </c>
      <c r="D588" s="28" t="s">
        <v>14</v>
      </c>
      <c r="E588" s="28" t="s">
        <v>47</v>
      </c>
      <c r="F588" s="23" t="s">
        <v>835</v>
      </c>
      <c r="G588" s="28">
        <v>1</v>
      </c>
      <c r="H588" s="28" t="s">
        <v>836</v>
      </c>
      <c r="I588" s="28" t="s">
        <v>11</v>
      </c>
    </row>
    <row r="589" spans="1:9" s="28" customFormat="1" x14ac:dyDescent="0.3">
      <c r="A589" s="28" t="s">
        <v>765</v>
      </c>
      <c r="B589" s="28" t="s">
        <v>46</v>
      </c>
      <c r="C589" s="28" t="s">
        <v>39</v>
      </c>
      <c r="D589" s="28" t="s">
        <v>14</v>
      </c>
      <c r="E589" s="28" t="s">
        <v>47</v>
      </c>
      <c r="F589" s="23" t="s">
        <v>837</v>
      </c>
      <c r="G589" s="28">
        <v>1</v>
      </c>
      <c r="H589" s="28" t="s">
        <v>838</v>
      </c>
      <c r="I589" s="28" t="s">
        <v>11</v>
      </c>
    </row>
    <row r="590" spans="1:9" s="28" customFormat="1" x14ac:dyDescent="0.3">
      <c r="A590" s="28" t="s">
        <v>765</v>
      </c>
      <c r="B590" s="28" t="s">
        <v>46</v>
      </c>
      <c r="C590" s="28" t="s">
        <v>39</v>
      </c>
      <c r="D590" s="28" t="s">
        <v>14</v>
      </c>
      <c r="E590" s="28" t="s">
        <v>47</v>
      </c>
      <c r="F590" s="23" t="s">
        <v>839</v>
      </c>
      <c r="G590" s="28">
        <v>1</v>
      </c>
      <c r="H590" s="28" t="s">
        <v>840</v>
      </c>
      <c r="I590" s="28" t="s">
        <v>11</v>
      </c>
    </row>
    <row r="591" spans="1:9" s="28" customFormat="1" x14ac:dyDescent="0.3">
      <c r="A591" s="28" t="s">
        <v>765</v>
      </c>
      <c r="B591" s="28" t="s">
        <v>46</v>
      </c>
      <c r="C591" s="28" t="s">
        <v>39</v>
      </c>
      <c r="D591" s="28" t="s">
        <v>14</v>
      </c>
      <c r="E591" s="28" t="s">
        <v>47</v>
      </c>
      <c r="F591" s="23" t="s">
        <v>841</v>
      </c>
      <c r="G591" s="28">
        <v>1</v>
      </c>
      <c r="H591" s="28" t="s">
        <v>842</v>
      </c>
      <c r="I591" s="28" t="s">
        <v>11</v>
      </c>
    </row>
    <row r="592" spans="1:9" s="28" customFormat="1" x14ac:dyDescent="0.3">
      <c r="A592" s="28" t="s">
        <v>765</v>
      </c>
      <c r="B592" s="28" t="s">
        <v>48</v>
      </c>
      <c r="C592" s="28" t="s">
        <v>18</v>
      </c>
      <c r="D592" s="28" t="s">
        <v>14</v>
      </c>
      <c r="E592" s="28" t="s">
        <v>49</v>
      </c>
      <c r="F592" s="23" t="s">
        <v>843</v>
      </c>
      <c r="G592" s="28">
        <v>1</v>
      </c>
      <c r="H592" s="28" t="s">
        <v>11</v>
      </c>
      <c r="I592" s="28" t="s">
        <v>11</v>
      </c>
    </row>
    <row r="593" spans="1:11" s="28" customFormat="1" x14ac:dyDescent="0.3">
      <c r="A593" s="28" t="s">
        <v>765</v>
      </c>
      <c r="B593" s="28" t="s">
        <v>48</v>
      </c>
      <c r="C593" s="28" t="s">
        <v>18</v>
      </c>
      <c r="D593" s="28" t="s">
        <v>14</v>
      </c>
      <c r="E593" s="28" t="s">
        <v>49</v>
      </c>
      <c r="F593" s="23" t="s">
        <v>844</v>
      </c>
      <c r="G593" s="28">
        <v>1</v>
      </c>
      <c r="H593" s="28" t="s">
        <v>11</v>
      </c>
      <c r="I593" s="28" t="s">
        <v>11</v>
      </c>
    </row>
    <row r="594" spans="1:11" s="28" customFormat="1" x14ac:dyDescent="0.3">
      <c r="A594" s="28" t="s">
        <v>765</v>
      </c>
      <c r="B594" s="28" t="s">
        <v>48</v>
      </c>
      <c r="C594" s="28" t="s">
        <v>18</v>
      </c>
      <c r="D594" s="28" t="s">
        <v>14</v>
      </c>
      <c r="E594" s="28" t="s">
        <v>49</v>
      </c>
      <c r="F594" s="23" t="s">
        <v>845</v>
      </c>
      <c r="G594" s="28">
        <v>1</v>
      </c>
      <c r="H594" s="28" t="s">
        <v>11</v>
      </c>
      <c r="I594" s="28" t="s">
        <v>11</v>
      </c>
    </row>
    <row r="595" spans="1:11" s="28" customFormat="1" x14ac:dyDescent="0.3">
      <c r="A595" s="28" t="s">
        <v>765</v>
      </c>
      <c r="B595" s="28" t="s">
        <v>48</v>
      </c>
      <c r="C595" s="28" t="s">
        <v>18</v>
      </c>
      <c r="D595" s="28" t="s">
        <v>14</v>
      </c>
      <c r="E595" s="28" t="s">
        <v>49</v>
      </c>
      <c r="F595" s="23" t="s">
        <v>846</v>
      </c>
      <c r="G595" s="28">
        <v>1</v>
      </c>
      <c r="H595" s="28" t="s">
        <v>11</v>
      </c>
      <c r="I595" s="28" t="s">
        <v>11</v>
      </c>
    </row>
    <row r="596" spans="1:11" s="28" customFormat="1" x14ac:dyDescent="0.3">
      <c r="A596" s="28" t="s">
        <v>765</v>
      </c>
      <c r="B596" s="28" t="s">
        <v>48</v>
      </c>
      <c r="C596" s="28" t="s">
        <v>18</v>
      </c>
      <c r="D596" s="28" t="s">
        <v>14</v>
      </c>
      <c r="E596" s="28" t="s">
        <v>49</v>
      </c>
      <c r="F596" s="23" t="s">
        <v>847</v>
      </c>
      <c r="G596" s="28">
        <v>1</v>
      </c>
      <c r="H596" s="28" t="s">
        <v>11</v>
      </c>
      <c r="I596" s="28" t="s">
        <v>11</v>
      </c>
    </row>
    <row r="597" spans="1:11" s="28" customFormat="1" x14ac:dyDescent="0.3">
      <c r="A597" s="28" t="s">
        <v>765</v>
      </c>
      <c r="B597" s="28" t="s">
        <v>48</v>
      </c>
      <c r="C597" s="28" t="s">
        <v>18</v>
      </c>
      <c r="D597" s="28" t="s">
        <v>14</v>
      </c>
      <c r="E597" s="28" t="s">
        <v>49</v>
      </c>
      <c r="F597" s="23" t="s">
        <v>848</v>
      </c>
      <c r="G597" s="28">
        <v>1</v>
      </c>
      <c r="H597" s="28" t="s">
        <v>11</v>
      </c>
      <c r="I597" s="28" t="s">
        <v>11</v>
      </c>
    </row>
    <row r="598" spans="1:11" s="28" customFormat="1" x14ac:dyDescent="0.3">
      <c r="A598" s="28" t="s">
        <v>765</v>
      </c>
      <c r="B598" s="28" t="s">
        <v>48</v>
      </c>
      <c r="C598" s="28" t="s">
        <v>18</v>
      </c>
      <c r="D598" s="28" t="s">
        <v>14</v>
      </c>
      <c r="E598" s="28" t="s">
        <v>49</v>
      </c>
      <c r="F598" s="23" t="s">
        <v>849</v>
      </c>
      <c r="G598" s="28">
        <v>1</v>
      </c>
      <c r="H598" s="28" t="s">
        <v>11</v>
      </c>
      <c r="I598" s="28" t="s">
        <v>11</v>
      </c>
    </row>
    <row r="599" spans="1:11" s="28" customFormat="1" x14ac:dyDescent="0.3">
      <c r="A599" s="28" t="s">
        <v>765</v>
      </c>
      <c r="B599" s="28" t="s">
        <v>48</v>
      </c>
      <c r="C599" s="28" t="s">
        <v>18</v>
      </c>
      <c r="D599" s="28" t="s">
        <v>14</v>
      </c>
      <c r="E599" s="28" t="s">
        <v>49</v>
      </c>
      <c r="F599" s="23" t="s">
        <v>850</v>
      </c>
      <c r="G599" s="28">
        <v>1</v>
      </c>
      <c r="H599" s="28" t="s">
        <v>11</v>
      </c>
      <c r="I599" s="28" t="s">
        <v>11</v>
      </c>
    </row>
    <row r="600" spans="1:11" s="28" customFormat="1" x14ac:dyDescent="0.3">
      <c r="A600" s="28" t="s">
        <v>765</v>
      </c>
      <c r="B600" s="28" t="s">
        <v>51</v>
      </c>
      <c r="C600" s="28" t="s">
        <v>52</v>
      </c>
      <c r="D600" s="28" t="s">
        <v>53</v>
      </c>
      <c r="E600" s="28" t="s">
        <v>54</v>
      </c>
      <c r="F600" s="23" t="s">
        <v>851</v>
      </c>
      <c r="G600" s="28">
        <v>1</v>
      </c>
      <c r="H600" s="28" t="s">
        <v>11</v>
      </c>
      <c r="I600" s="28" t="s">
        <v>852</v>
      </c>
      <c r="K600" s="23"/>
    </row>
    <row r="601" spans="1:11" s="28" customFormat="1" x14ac:dyDescent="0.3">
      <c r="A601" s="28" t="s">
        <v>765</v>
      </c>
      <c r="B601" s="28" t="s">
        <v>56</v>
      </c>
      <c r="C601" s="28" t="s">
        <v>57</v>
      </c>
      <c r="D601" s="28" t="s">
        <v>14</v>
      </c>
      <c r="E601" s="28" t="s">
        <v>58</v>
      </c>
      <c r="F601" s="23" t="s">
        <v>853</v>
      </c>
      <c r="G601" s="28">
        <v>1</v>
      </c>
      <c r="H601" s="28" t="s">
        <v>11</v>
      </c>
      <c r="I601" s="28" t="s">
        <v>854</v>
      </c>
      <c r="K601" s="23"/>
    </row>
    <row r="602" spans="1:11" s="28" customFormat="1" x14ac:dyDescent="0.3">
      <c r="A602" s="28" t="s">
        <v>765</v>
      </c>
      <c r="B602" s="28" t="s">
        <v>378</v>
      </c>
      <c r="C602" s="28" t="s">
        <v>379</v>
      </c>
      <c r="D602" s="28" t="s">
        <v>855</v>
      </c>
      <c r="E602" s="28" t="s">
        <v>381</v>
      </c>
      <c r="F602" s="23" t="s">
        <v>856</v>
      </c>
      <c r="H602" s="28" t="s">
        <v>11</v>
      </c>
      <c r="I602" s="28" t="s">
        <v>11</v>
      </c>
    </row>
    <row r="603" spans="1:11" s="28" customFormat="1" x14ac:dyDescent="0.3">
      <c r="A603" s="28" t="s">
        <v>765</v>
      </c>
      <c r="B603" s="28" t="s">
        <v>383</v>
      </c>
      <c r="C603" s="28" t="s">
        <v>384</v>
      </c>
      <c r="D603" s="28" t="s">
        <v>855</v>
      </c>
      <c r="E603" s="28" t="s">
        <v>385</v>
      </c>
      <c r="F603" s="23" t="s">
        <v>857</v>
      </c>
      <c r="H603" s="28" t="s">
        <v>11</v>
      </c>
      <c r="I603" s="28" t="s">
        <v>11</v>
      </c>
    </row>
    <row r="604" spans="1:11" s="28" customFormat="1" x14ac:dyDescent="0.3">
      <c r="A604" s="28" t="s">
        <v>765</v>
      </c>
      <c r="B604" s="28" t="s">
        <v>387</v>
      </c>
      <c r="C604" s="28" t="s">
        <v>388</v>
      </c>
      <c r="D604" s="28" t="s">
        <v>380</v>
      </c>
      <c r="E604" s="28" t="s">
        <v>388</v>
      </c>
      <c r="F604" s="23" t="s">
        <v>389</v>
      </c>
      <c r="G604" s="28">
        <v>1</v>
      </c>
      <c r="H604" s="28" t="s">
        <v>11</v>
      </c>
      <c r="I604" s="28" t="s">
        <v>11</v>
      </c>
    </row>
    <row r="605" spans="1:11" s="28" customFormat="1" x14ac:dyDescent="0.3">
      <c r="A605" s="28" t="s">
        <v>765</v>
      </c>
      <c r="B605" s="28" t="s">
        <v>387</v>
      </c>
      <c r="C605" s="28" t="s">
        <v>388</v>
      </c>
      <c r="D605" s="28" t="s">
        <v>380</v>
      </c>
      <c r="E605" s="28" t="s">
        <v>388</v>
      </c>
      <c r="F605" s="23" t="s">
        <v>389</v>
      </c>
      <c r="G605" s="28">
        <v>1</v>
      </c>
      <c r="H605" s="28" t="s">
        <v>11</v>
      </c>
      <c r="I605" s="28" t="s">
        <v>11</v>
      </c>
    </row>
    <row r="606" spans="1:11" s="28" customFormat="1" x14ac:dyDescent="0.3">
      <c r="A606" s="28" t="s">
        <v>765</v>
      </c>
      <c r="B606" s="28" t="s">
        <v>62</v>
      </c>
      <c r="C606" s="28" t="s">
        <v>63</v>
      </c>
      <c r="D606" s="28" t="s">
        <v>64</v>
      </c>
      <c r="E606" s="28" t="s">
        <v>65</v>
      </c>
      <c r="F606" s="23" t="s">
        <v>858</v>
      </c>
      <c r="G606" s="28">
        <v>1</v>
      </c>
      <c r="H606" s="28" t="s">
        <v>859</v>
      </c>
      <c r="I606" s="28" t="s">
        <v>860</v>
      </c>
      <c r="K606" s="23"/>
    </row>
    <row r="607" spans="1:11" s="28" customFormat="1" x14ac:dyDescent="0.3">
      <c r="A607" s="28" t="s">
        <v>765</v>
      </c>
      <c r="B607" s="28" t="s">
        <v>393</v>
      </c>
      <c r="C607" s="28" t="s">
        <v>394</v>
      </c>
      <c r="D607" s="28" t="s">
        <v>380</v>
      </c>
      <c r="E607" s="28" t="s">
        <v>395</v>
      </c>
      <c r="F607" s="23" t="s">
        <v>1089</v>
      </c>
      <c r="G607" s="28">
        <v>1</v>
      </c>
      <c r="H607" s="28" t="s">
        <v>860</v>
      </c>
      <c r="I607" s="28" t="s">
        <v>11</v>
      </c>
    </row>
    <row r="608" spans="1:11" s="28" customFormat="1" x14ac:dyDescent="0.3">
      <c r="A608" s="28" t="s">
        <v>765</v>
      </c>
      <c r="B608" s="28" t="s">
        <v>623</v>
      </c>
      <c r="C608" s="28" t="s">
        <v>624</v>
      </c>
      <c r="D608" s="28" t="s">
        <v>380</v>
      </c>
      <c r="E608" s="28" t="s">
        <v>625</v>
      </c>
      <c r="F608" s="23" t="s">
        <v>1003</v>
      </c>
      <c r="G608" s="28">
        <v>1</v>
      </c>
      <c r="H608" s="28" t="s">
        <v>860</v>
      </c>
      <c r="I608" s="28" t="s">
        <v>11</v>
      </c>
    </row>
    <row r="609" spans="1:11" s="28" customFormat="1" x14ac:dyDescent="0.3">
      <c r="A609" s="28" t="s">
        <v>765</v>
      </c>
      <c r="B609" s="28" t="s">
        <v>396</v>
      </c>
      <c r="C609" s="28" t="s">
        <v>397</v>
      </c>
      <c r="D609" s="28" t="s">
        <v>64</v>
      </c>
      <c r="E609" s="28" t="s">
        <v>398</v>
      </c>
      <c r="F609" s="23" t="s">
        <v>861</v>
      </c>
      <c r="G609" s="28">
        <v>1</v>
      </c>
      <c r="H609" s="28" t="s">
        <v>860</v>
      </c>
      <c r="I609" s="28" t="s">
        <v>11</v>
      </c>
      <c r="K609" s="23"/>
    </row>
    <row r="610" spans="1:11" s="28" customFormat="1" x14ac:dyDescent="0.3">
      <c r="A610" s="28" t="s">
        <v>765</v>
      </c>
      <c r="B610" s="28" t="s">
        <v>400</v>
      </c>
      <c r="C610" s="28" t="s">
        <v>401</v>
      </c>
      <c r="D610" s="28" t="s">
        <v>64</v>
      </c>
      <c r="E610" s="28" t="s">
        <v>402</v>
      </c>
      <c r="F610" s="23" t="s">
        <v>389</v>
      </c>
      <c r="G610" s="28">
        <v>1</v>
      </c>
      <c r="H610" s="28" t="s">
        <v>860</v>
      </c>
      <c r="I610" s="28" t="s">
        <v>11</v>
      </c>
    </row>
    <row r="611" spans="1:11" s="28" customFormat="1" x14ac:dyDescent="0.3">
      <c r="A611" s="28" t="s">
        <v>765</v>
      </c>
      <c r="B611" s="28" t="s">
        <v>407</v>
      </c>
      <c r="C611" s="28" t="s">
        <v>408</v>
      </c>
      <c r="D611" s="28" t="s">
        <v>64</v>
      </c>
      <c r="E611" s="28" t="s">
        <v>409</v>
      </c>
      <c r="F611" s="23" t="s">
        <v>862</v>
      </c>
      <c r="G611" s="28">
        <v>1</v>
      </c>
      <c r="H611" s="28" t="s">
        <v>860</v>
      </c>
      <c r="I611" s="28" t="s">
        <v>11</v>
      </c>
      <c r="K611" s="23"/>
    </row>
    <row r="612" spans="1:11" s="28" customFormat="1" x14ac:dyDescent="0.3">
      <c r="A612" s="28" t="s">
        <v>765</v>
      </c>
      <c r="B612" s="28" t="s">
        <v>67</v>
      </c>
      <c r="C612" s="28" t="s">
        <v>68</v>
      </c>
      <c r="D612" s="28" t="s">
        <v>64</v>
      </c>
      <c r="E612" s="28" t="s">
        <v>69</v>
      </c>
      <c r="F612" s="23" t="s">
        <v>863</v>
      </c>
      <c r="G612" s="28">
        <v>1</v>
      </c>
      <c r="H612" s="28" t="s">
        <v>860</v>
      </c>
      <c r="I612" s="28" t="s">
        <v>864</v>
      </c>
      <c r="K612" s="23"/>
    </row>
    <row r="613" spans="1:11" s="28" customFormat="1" x14ac:dyDescent="0.3">
      <c r="A613" s="28" t="s">
        <v>765</v>
      </c>
      <c r="B613" s="28" t="s">
        <v>67</v>
      </c>
      <c r="C613" s="28" t="s">
        <v>68</v>
      </c>
      <c r="D613" s="28" t="s">
        <v>64</v>
      </c>
      <c r="E613" s="28" t="s">
        <v>69</v>
      </c>
      <c r="F613" s="23" t="s">
        <v>865</v>
      </c>
      <c r="G613" s="28">
        <v>1</v>
      </c>
      <c r="H613" s="28" t="s">
        <v>860</v>
      </c>
      <c r="I613" s="28" t="s">
        <v>866</v>
      </c>
      <c r="K613" s="23"/>
    </row>
    <row r="614" spans="1:11" s="28" customFormat="1" x14ac:dyDescent="0.3">
      <c r="A614" s="28" t="s">
        <v>765</v>
      </c>
      <c r="B614" s="28" t="s">
        <v>632</v>
      </c>
      <c r="C614" s="28" t="s">
        <v>633</v>
      </c>
      <c r="D614" s="28" t="s">
        <v>64</v>
      </c>
      <c r="E614" s="28" t="s">
        <v>385</v>
      </c>
      <c r="F614" s="23" t="s">
        <v>867</v>
      </c>
      <c r="H614" s="28" t="s">
        <v>860</v>
      </c>
      <c r="I614" s="28" t="s">
        <v>11</v>
      </c>
      <c r="K614" s="23"/>
    </row>
    <row r="615" spans="1:11" s="28" customFormat="1" x14ac:dyDescent="0.3">
      <c r="A615" s="28" t="s">
        <v>765</v>
      </c>
      <c r="B615" s="28" t="s">
        <v>632</v>
      </c>
      <c r="C615" s="28" t="s">
        <v>633</v>
      </c>
      <c r="D615" s="28" t="s">
        <v>64</v>
      </c>
      <c r="E615" s="28" t="s">
        <v>385</v>
      </c>
      <c r="F615" s="23" t="s">
        <v>868</v>
      </c>
      <c r="H615" s="28" t="s">
        <v>860</v>
      </c>
      <c r="I615" s="28" t="s">
        <v>11</v>
      </c>
      <c r="K615" s="23"/>
    </row>
    <row r="616" spans="1:11" s="28" customFormat="1" x14ac:dyDescent="0.3">
      <c r="A616" s="28" t="s">
        <v>765</v>
      </c>
      <c r="B616" s="28" t="s">
        <v>62</v>
      </c>
      <c r="C616" s="28" t="s">
        <v>63</v>
      </c>
      <c r="D616" s="28" t="s">
        <v>64</v>
      </c>
      <c r="E616" s="28" t="s">
        <v>65</v>
      </c>
      <c r="F616" s="23" t="s">
        <v>869</v>
      </c>
      <c r="G616" s="28">
        <v>1</v>
      </c>
      <c r="H616" s="28" t="s">
        <v>417</v>
      </c>
      <c r="I616" s="28" t="s">
        <v>870</v>
      </c>
      <c r="K616" s="23"/>
    </row>
    <row r="617" spans="1:11" s="28" customFormat="1" x14ac:dyDescent="0.3">
      <c r="A617" s="28" t="s">
        <v>765</v>
      </c>
      <c r="B617" s="28" t="s">
        <v>393</v>
      </c>
      <c r="C617" s="28" t="s">
        <v>394</v>
      </c>
      <c r="D617" s="28" t="s">
        <v>380</v>
      </c>
      <c r="E617" s="28" t="s">
        <v>395</v>
      </c>
      <c r="F617" s="23" t="s">
        <v>1010</v>
      </c>
      <c r="G617" s="28">
        <v>1</v>
      </c>
      <c r="H617" s="28" t="s">
        <v>870</v>
      </c>
      <c r="I617" s="28" t="s">
        <v>11</v>
      </c>
    </row>
    <row r="618" spans="1:11" s="28" customFormat="1" x14ac:dyDescent="0.3">
      <c r="A618" s="28" t="s">
        <v>765</v>
      </c>
      <c r="B618" s="28" t="s">
        <v>396</v>
      </c>
      <c r="C618" s="28" t="s">
        <v>397</v>
      </c>
      <c r="D618" s="28" t="s">
        <v>64</v>
      </c>
      <c r="E618" s="28" t="s">
        <v>398</v>
      </c>
      <c r="F618" s="23" t="s">
        <v>871</v>
      </c>
      <c r="G618" s="28">
        <v>1</v>
      </c>
      <c r="H618" s="28" t="s">
        <v>870</v>
      </c>
      <c r="I618" s="28" t="s">
        <v>11</v>
      </c>
      <c r="K618" s="23"/>
    </row>
    <row r="619" spans="1:11" s="28" customFormat="1" x14ac:dyDescent="0.3">
      <c r="A619" s="28" t="s">
        <v>765</v>
      </c>
      <c r="B619" s="28" t="s">
        <v>400</v>
      </c>
      <c r="C619" s="28" t="s">
        <v>401</v>
      </c>
      <c r="D619" s="28" t="s">
        <v>64</v>
      </c>
      <c r="E619" s="28" t="s">
        <v>402</v>
      </c>
      <c r="F619" s="23" t="s">
        <v>389</v>
      </c>
      <c r="G619" s="28">
        <v>1</v>
      </c>
      <c r="H619" s="28" t="s">
        <v>870</v>
      </c>
      <c r="I619" s="28" t="s">
        <v>11</v>
      </c>
    </row>
    <row r="620" spans="1:11" s="28" customFormat="1" x14ac:dyDescent="0.3">
      <c r="A620" s="28" t="s">
        <v>765</v>
      </c>
      <c r="B620" s="28" t="s">
        <v>403</v>
      </c>
      <c r="C620" s="28" t="s">
        <v>404</v>
      </c>
      <c r="D620" s="28" t="s">
        <v>64</v>
      </c>
      <c r="E620" s="28" t="s">
        <v>405</v>
      </c>
      <c r="F620" s="23" t="s">
        <v>872</v>
      </c>
      <c r="G620" s="28">
        <v>1</v>
      </c>
      <c r="H620" s="28" t="s">
        <v>870</v>
      </c>
      <c r="I620" s="28" t="s">
        <v>11</v>
      </c>
      <c r="K620" s="23"/>
    </row>
    <row r="621" spans="1:11" s="28" customFormat="1" x14ac:dyDescent="0.3">
      <c r="A621" s="28" t="s">
        <v>765</v>
      </c>
      <c r="B621" s="28" t="s">
        <v>407</v>
      </c>
      <c r="C621" s="28" t="s">
        <v>408</v>
      </c>
      <c r="D621" s="28" t="s">
        <v>64</v>
      </c>
      <c r="E621" s="28" t="s">
        <v>409</v>
      </c>
      <c r="F621" s="23" t="s">
        <v>873</v>
      </c>
      <c r="G621" s="28">
        <v>1</v>
      </c>
      <c r="H621" s="28" t="s">
        <v>870</v>
      </c>
      <c r="I621" s="28" t="s">
        <v>11</v>
      </c>
      <c r="K621" s="23"/>
    </row>
    <row r="622" spans="1:11" s="28" customFormat="1" x14ac:dyDescent="0.3">
      <c r="A622" s="28" t="s">
        <v>765</v>
      </c>
      <c r="B622" s="28" t="s">
        <v>67</v>
      </c>
      <c r="C622" s="28" t="s">
        <v>68</v>
      </c>
      <c r="D622" s="28" t="s">
        <v>64</v>
      </c>
      <c r="E622" s="28" t="s">
        <v>69</v>
      </c>
      <c r="F622" s="23" t="s">
        <v>874</v>
      </c>
      <c r="G622" s="28">
        <v>1</v>
      </c>
      <c r="H622" s="28" t="s">
        <v>870</v>
      </c>
      <c r="I622" s="28" t="s">
        <v>875</v>
      </c>
      <c r="K622" s="23"/>
    </row>
    <row r="623" spans="1:11" s="28" customFormat="1" x14ac:dyDescent="0.3">
      <c r="A623" s="28" t="s">
        <v>765</v>
      </c>
      <c r="B623" s="28" t="s">
        <v>67</v>
      </c>
      <c r="C623" s="28" t="s">
        <v>68</v>
      </c>
      <c r="D623" s="28" t="s">
        <v>64</v>
      </c>
      <c r="E623" s="28" t="s">
        <v>69</v>
      </c>
      <c r="F623" s="23" t="s">
        <v>876</v>
      </c>
      <c r="G623" s="28">
        <v>1</v>
      </c>
      <c r="H623" s="28" t="s">
        <v>870</v>
      </c>
      <c r="I623" s="28" t="s">
        <v>877</v>
      </c>
      <c r="K623" s="23"/>
    </row>
    <row r="624" spans="1:11" s="28" customFormat="1" x14ac:dyDescent="0.3">
      <c r="A624" s="28" t="s">
        <v>765</v>
      </c>
      <c r="B624" s="28" t="s">
        <v>62</v>
      </c>
      <c r="C624" s="28" t="s">
        <v>63</v>
      </c>
      <c r="D624" s="28" t="s">
        <v>64</v>
      </c>
      <c r="E624" s="28" t="s">
        <v>65</v>
      </c>
      <c r="F624" s="23" t="s">
        <v>878</v>
      </c>
      <c r="G624" s="28">
        <v>1</v>
      </c>
      <c r="H624" s="28" t="s">
        <v>417</v>
      </c>
      <c r="I624" s="28" t="s">
        <v>879</v>
      </c>
      <c r="K624" s="23"/>
    </row>
    <row r="625" spans="1:11" s="28" customFormat="1" x14ac:dyDescent="0.3">
      <c r="A625" s="28" t="s">
        <v>765</v>
      </c>
      <c r="B625" s="28" t="s">
        <v>393</v>
      </c>
      <c r="C625" s="28" t="s">
        <v>394</v>
      </c>
      <c r="D625" s="28" t="s">
        <v>380</v>
      </c>
      <c r="E625" s="28" t="s">
        <v>395</v>
      </c>
      <c r="F625" s="23" t="s">
        <v>1090</v>
      </c>
      <c r="G625" s="28">
        <v>1</v>
      </c>
      <c r="H625" s="28" t="s">
        <v>879</v>
      </c>
      <c r="I625" s="28" t="s">
        <v>11</v>
      </c>
    </row>
    <row r="626" spans="1:11" s="28" customFormat="1" x14ac:dyDescent="0.3">
      <c r="A626" s="28" t="s">
        <v>765</v>
      </c>
      <c r="B626" s="28" t="s">
        <v>396</v>
      </c>
      <c r="C626" s="28" t="s">
        <v>397</v>
      </c>
      <c r="D626" s="28" t="s">
        <v>64</v>
      </c>
      <c r="E626" s="28" t="s">
        <v>398</v>
      </c>
      <c r="F626" s="23" t="s">
        <v>880</v>
      </c>
      <c r="G626" s="28">
        <v>1</v>
      </c>
      <c r="H626" s="28" t="s">
        <v>879</v>
      </c>
      <c r="I626" s="28" t="s">
        <v>11</v>
      </c>
      <c r="K626" s="23"/>
    </row>
    <row r="627" spans="1:11" s="28" customFormat="1" x14ac:dyDescent="0.3">
      <c r="A627" s="28" t="s">
        <v>765</v>
      </c>
      <c r="B627" s="28" t="s">
        <v>400</v>
      </c>
      <c r="C627" s="28" t="s">
        <v>401</v>
      </c>
      <c r="D627" s="28" t="s">
        <v>64</v>
      </c>
      <c r="E627" s="28" t="s">
        <v>402</v>
      </c>
      <c r="F627" s="23" t="s">
        <v>389</v>
      </c>
      <c r="G627" s="28">
        <v>1</v>
      </c>
      <c r="H627" s="28" t="s">
        <v>879</v>
      </c>
      <c r="I627" s="28" t="s">
        <v>11</v>
      </c>
    </row>
    <row r="628" spans="1:11" s="28" customFormat="1" x14ac:dyDescent="0.3">
      <c r="A628" s="28" t="s">
        <v>765</v>
      </c>
      <c r="B628" s="28" t="s">
        <v>403</v>
      </c>
      <c r="C628" s="28" t="s">
        <v>404</v>
      </c>
      <c r="D628" s="28" t="s">
        <v>64</v>
      </c>
      <c r="E628" s="28" t="s">
        <v>405</v>
      </c>
      <c r="F628" s="23" t="s">
        <v>881</v>
      </c>
      <c r="G628" s="28">
        <v>1</v>
      </c>
      <c r="H628" s="28" t="s">
        <v>879</v>
      </c>
      <c r="I628" s="28" t="s">
        <v>11</v>
      </c>
      <c r="K628" s="23"/>
    </row>
    <row r="629" spans="1:11" s="28" customFormat="1" x14ac:dyDescent="0.3">
      <c r="A629" s="28" t="s">
        <v>765</v>
      </c>
      <c r="B629" s="28" t="s">
        <v>407</v>
      </c>
      <c r="C629" s="28" t="s">
        <v>408</v>
      </c>
      <c r="D629" s="28" t="s">
        <v>64</v>
      </c>
      <c r="E629" s="28" t="s">
        <v>409</v>
      </c>
      <c r="F629" s="23" t="s">
        <v>882</v>
      </c>
      <c r="G629" s="28">
        <v>1</v>
      </c>
      <c r="H629" s="28" t="s">
        <v>879</v>
      </c>
      <c r="I629" s="28" t="s">
        <v>11</v>
      </c>
      <c r="K629" s="23"/>
    </row>
    <row r="630" spans="1:11" s="28" customFormat="1" x14ac:dyDescent="0.3">
      <c r="A630" s="28" t="s">
        <v>765</v>
      </c>
      <c r="B630" s="28" t="s">
        <v>67</v>
      </c>
      <c r="C630" s="28" t="s">
        <v>68</v>
      </c>
      <c r="D630" s="28" t="s">
        <v>64</v>
      </c>
      <c r="E630" s="28" t="s">
        <v>69</v>
      </c>
      <c r="F630" s="23" t="s">
        <v>883</v>
      </c>
      <c r="G630" s="28">
        <v>1</v>
      </c>
      <c r="H630" s="28" t="s">
        <v>879</v>
      </c>
      <c r="I630" s="28" t="s">
        <v>884</v>
      </c>
      <c r="K630" s="23"/>
    </row>
    <row r="631" spans="1:11" s="28" customFormat="1" x14ac:dyDescent="0.3">
      <c r="A631" s="28" t="s">
        <v>765</v>
      </c>
      <c r="B631" s="28" t="s">
        <v>67</v>
      </c>
      <c r="C631" s="28" t="s">
        <v>68</v>
      </c>
      <c r="D631" s="28" t="s">
        <v>64</v>
      </c>
      <c r="E631" s="28" t="s">
        <v>69</v>
      </c>
      <c r="F631" s="23" t="s">
        <v>885</v>
      </c>
      <c r="G631" s="28">
        <v>1</v>
      </c>
      <c r="H631" s="28" t="s">
        <v>879</v>
      </c>
      <c r="I631" s="28" t="s">
        <v>886</v>
      </c>
      <c r="K631" s="23"/>
    </row>
    <row r="632" spans="1:11" s="28" customFormat="1" x14ac:dyDescent="0.3">
      <c r="A632" s="28" t="s">
        <v>765</v>
      </c>
      <c r="B632" s="28" t="s">
        <v>62</v>
      </c>
      <c r="C632" s="28" t="s">
        <v>63</v>
      </c>
      <c r="D632" s="28" t="s">
        <v>64</v>
      </c>
      <c r="E632" s="28" t="s">
        <v>65</v>
      </c>
      <c r="F632" s="23" t="s">
        <v>887</v>
      </c>
      <c r="G632" s="28">
        <v>1</v>
      </c>
      <c r="H632" s="28" t="s">
        <v>11</v>
      </c>
      <c r="I632" s="28" t="s">
        <v>888</v>
      </c>
      <c r="K632" s="23"/>
    </row>
    <row r="633" spans="1:11" s="28" customFormat="1" x14ac:dyDescent="0.3">
      <c r="A633" s="28" t="s">
        <v>765</v>
      </c>
      <c r="B633" s="28" t="s">
        <v>393</v>
      </c>
      <c r="C633" s="28" t="s">
        <v>394</v>
      </c>
      <c r="D633" s="28" t="s">
        <v>380</v>
      </c>
      <c r="E633" s="28" t="s">
        <v>395</v>
      </c>
      <c r="F633" s="23" t="s">
        <v>1007</v>
      </c>
      <c r="G633" s="28">
        <v>1</v>
      </c>
      <c r="H633" s="28" t="s">
        <v>888</v>
      </c>
      <c r="I633" s="28" t="s">
        <v>11</v>
      </c>
    </row>
    <row r="634" spans="1:11" s="28" customFormat="1" x14ac:dyDescent="0.3">
      <c r="A634" s="28" t="s">
        <v>765</v>
      </c>
      <c r="B634" s="28" t="s">
        <v>396</v>
      </c>
      <c r="C634" s="28" t="s">
        <v>397</v>
      </c>
      <c r="D634" s="28" t="s">
        <v>64</v>
      </c>
      <c r="E634" s="28" t="s">
        <v>398</v>
      </c>
      <c r="F634" s="23" t="s">
        <v>889</v>
      </c>
      <c r="G634" s="28">
        <v>1</v>
      </c>
      <c r="H634" s="28" t="s">
        <v>888</v>
      </c>
      <c r="I634" s="28" t="s">
        <v>11</v>
      </c>
      <c r="K634" s="23"/>
    </row>
    <row r="635" spans="1:11" s="28" customFormat="1" x14ac:dyDescent="0.3">
      <c r="A635" s="28" t="s">
        <v>765</v>
      </c>
      <c r="B635" s="28" t="s">
        <v>400</v>
      </c>
      <c r="C635" s="28" t="s">
        <v>401</v>
      </c>
      <c r="D635" s="28" t="s">
        <v>64</v>
      </c>
      <c r="E635" s="28" t="s">
        <v>402</v>
      </c>
      <c r="F635" s="23" t="s">
        <v>389</v>
      </c>
      <c r="G635" s="28">
        <v>1</v>
      </c>
      <c r="H635" s="28" t="s">
        <v>888</v>
      </c>
      <c r="I635" s="28" t="s">
        <v>11</v>
      </c>
    </row>
    <row r="636" spans="1:11" s="28" customFormat="1" x14ac:dyDescent="0.3">
      <c r="A636" s="28" t="s">
        <v>765</v>
      </c>
      <c r="B636" s="28" t="s">
        <v>403</v>
      </c>
      <c r="C636" s="28" t="s">
        <v>404</v>
      </c>
      <c r="D636" s="28" t="s">
        <v>64</v>
      </c>
      <c r="E636" s="28" t="s">
        <v>405</v>
      </c>
      <c r="F636" s="23" t="s">
        <v>890</v>
      </c>
      <c r="G636" s="28">
        <v>1</v>
      </c>
      <c r="H636" s="28" t="s">
        <v>888</v>
      </c>
      <c r="I636" s="28" t="s">
        <v>11</v>
      </c>
      <c r="K636" s="23"/>
    </row>
    <row r="637" spans="1:11" s="28" customFormat="1" x14ac:dyDescent="0.3">
      <c r="A637" s="28" t="s">
        <v>765</v>
      </c>
      <c r="B637" s="28" t="s">
        <v>407</v>
      </c>
      <c r="C637" s="28" t="s">
        <v>408</v>
      </c>
      <c r="D637" s="28" t="s">
        <v>64</v>
      </c>
      <c r="E637" s="28" t="s">
        <v>409</v>
      </c>
      <c r="F637" s="23" t="s">
        <v>891</v>
      </c>
      <c r="G637" s="28">
        <v>1</v>
      </c>
      <c r="H637" s="28" t="s">
        <v>888</v>
      </c>
      <c r="I637" s="28" t="s">
        <v>11</v>
      </c>
      <c r="K637" s="23"/>
    </row>
    <row r="638" spans="1:11" s="28" customFormat="1" x14ac:dyDescent="0.3">
      <c r="A638" s="28" t="s">
        <v>765</v>
      </c>
      <c r="B638" s="28" t="s">
        <v>67</v>
      </c>
      <c r="C638" s="28" t="s">
        <v>68</v>
      </c>
      <c r="D638" s="28" t="s">
        <v>64</v>
      </c>
      <c r="E638" s="28" t="s">
        <v>69</v>
      </c>
      <c r="F638" s="23" t="s">
        <v>892</v>
      </c>
      <c r="G638" s="28">
        <v>1</v>
      </c>
      <c r="H638" s="28" t="s">
        <v>888</v>
      </c>
      <c r="I638" s="28" t="s">
        <v>893</v>
      </c>
      <c r="K638" s="23"/>
    </row>
    <row r="639" spans="1:11" s="28" customFormat="1" x14ac:dyDescent="0.3">
      <c r="A639" s="28" t="s">
        <v>765</v>
      </c>
      <c r="B639" s="28" t="s">
        <v>67</v>
      </c>
      <c r="C639" s="28" t="s">
        <v>68</v>
      </c>
      <c r="D639" s="28" t="s">
        <v>64</v>
      </c>
      <c r="E639" s="28" t="s">
        <v>69</v>
      </c>
      <c r="F639" s="23" t="s">
        <v>894</v>
      </c>
      <c r="G639" s="28">
        <v>1</v>
      </c>
      <c r="H639" s="28" t="s">
        <v>888</v>
      </c>
      <c r="I639" s="28" t="s">
        <v>895</v>
      </c>
      <c r="K639" s="23"/>
    </row>
    <row r="640" spans="1:11" s="28" customFormat="1" x14ac:dyDescent="0.3">
      <c r="A640" s="28" t="s">
        <v>765</v>
      </c>
      <c r="B640" s="28" t="s">
        <v>62</v>
      </c>
      <c r="C640" s="28" t="s">
        <v>63</v>
      </c>
      <c r="D640" s="28" t="s">
        <v>64</v>
      </c>
      <c r="E640" s="28" t="s">
        <v>65</v>
      </c>
      <c r="F640" s="23" t="s">
        <v>896</v>
      </c>
      <c r="G640" s="28">
        <v>1</v>
      </c>
      <c r="H640" s="28" t="s">
        <v>11</v>
      </c>
      <c r="I640" s="28" t="s">
        <v>897</v>
      </c>
      <c r="K640" s="23"/>
    </row>
    <row r="641" spans="1:11" s="28" customFormat="1" x14ac:dyDescent="0.3">
      <c r="A641" s="28" t="s">
        <v>765</v>
      </c>
      <c r="B641" s="28" t="s">
        <v>393</v>
      </c>
      <c r="C641" s="28" t="s">
        <v>394</v>
      </c>
      <c r="D641" s="28" t="s">
        <v>380</v>
      </c>
      <c r="E641" s="28" t="s">
        <v>395</v>
      </c>
      <c r="F641" s="23" t="s">
        <v>1091</v>
      </c>
      <c r="G641" s="28">
        <v>1</v>
      </c>
      <c r="H641" s="28" t="s">
        <v>897</v>
      </c>
      <c r="I641" s="28" t="s">
        <v>11</v>
      </c>
    </row>
    <row r="642" spans="1:11" s="28" customFormat="1" x14ac:dyDescent="0.3">
      <c r="A642" s="28" t="s">
        <v>765</v>
      </c>
      <c r="B642" s="28" t="s">
        <v>396</v>
      </c>
      <c r="C642" s="28" t="s">
        <v>397</v>
      </c>
      <c r="D642" s="28" t="s">
        <v>64</v>
      </c>
      <c r="E642" s="28" t="s">
        <v>398</v>
      </c>
      <c r="F642" s="23" t="s">
        <v>898</v>
      </c>
      <c r="G642" s="28">
        <v>1</v>
      </c>
      <c r="H642" s="28" t="s">
        <v>897</v>
      </c>
      <c r="I642" s="28" t="s">
        <v>11</v>
      </c>
      <c r="K642" s="23"/>
    </row>
    <row r="643" spans="1:11" s="28" customFormat="1" x14ac:dyDescent="0.3">
      <c r="A643" s="28" t="s">
        <v>765</v>
      </c>
      <c r="B643" s="28" t="s">
        <v>400</v>
      </c>
      <c r="C643" s="28" t="s">
        <v>401</v>
      </c>
      <c r="D643" s="28" t="s">
        <v>64</v>
      </c>
      <c r="E643" s="28" t="s">
        <v>402</v>
      </c>
      <c r="F643" s="23" t="s">
        <v>389</v>
      </c>
      <c r="G643" s="28">
        <v>1</v>
      </c>
      <c r="H643" s="28" t="s">
        <v>897</v>
      </c>
      <c r="I643" s="28" t="s">
        <v>11</v>
      </c>
    </row>
    <row r="644" spans="1:11" s="28" customFormat="1" x14ac:dyDescent="0.3">
      <c r="A644" s="28" t="s">
        <v>765</v>
      </c>
      <c r="B644" s="28" t="s">
        <v>403</v>
      </c>
      <c r="C644" s="28" t="s">
        <v>404</v>
      </c>
      <c r="D644" s="28" t="s">
        <v>64</v>
      </c>
      <c r="E644" s="28" t="s">
        <v>405</v>
      </c>
      <c r="F644" s="23" t="s">
        <v>899</v>
      </c>
      <c r="G644" s="28">
        <v>1</v>
      </c>
      <c r="H644" s="28" t="s">
        <v>897</v>
      </c>
      <c r="I644" s="28" t="s">
        <v>11</v>
      </c>
      <c r="K644" s="23"/>
    </row>
    <row r="645" spans="1:11" s="28" customFormat="1" x14ac:dyDescent="0.3">
      <c r="A645" s="28" t="s">
        <v>765</v>
      </c>
      <c r="B645" s="28" t="s">
        <v>407</v>
      </c>
      <c r="C645" s="28" t="s">
        <v>408</v>
      </c>
      <c r="D645" s="28" t="s">
        <v>64</v>
      </c>
      <c r="E645" s="28" t="s">
        <v>409</v>
      </c>
      <c r="F645" s="23" t="s">
        <v>900</v>
      </c>
      <c r="G645" s="28">
        <v>1</v>
      </c>
      <c r="H645" s="28" t="s">
        <v>897</v>
      </c>
      <c r="I645" s="28" t="s">
        <v>11</v>
      </c>
      <c r="K645" s="23"/>
    </row>
    <row r="646" spans="1:11" s="28" customFormat="1" x14ac:dyDescent="0.3">
      <c r="A646" s="28" t="s">
        <v>765</v>
      </c>
      <c r="B646" s="28" t="s">
        <v>67</v>
      </c>
      <c r="C646" s="28" t="s">
        <v>68</v>
      </c>
      <c r="D646" s="28" t="s">
        <v>64</v>
      </c>
      <c r="E646" s="28" t="s">
        <v>69</v>
      </c>
      <c r="F646" s="23" t="s">
        <v>901</v>
      </c>
      <c r="G646" s="28">
        <v>1</v>
      </c>
      <c r="H646" s="28" t="s">
        <v>897</v>
      </c>
      <c r="I646" s="28" t="s">
        <v>902</v>
      </c>
      <c r="K646" s="23"/>
    </row>
    <row r="647" spans="1:11" s="28" customFormat="1" x14ac:dyDescent="0.3">
      <c r="A647" s="28" t="s">
        <v>765</v>
      </c>
      <c r="B647" s="28" t="s">
        <v>67</v>
      </c>
      <c r="C647" s="28" t="s">
        <v>68</v>
      </c>
      <c r="D647" s="28" t="s">
        <v>64</v>
      </c>
      <c r="E647" s="28" t="s">
        <v>69</v>
      </c>
      <c r="F647" s="23" t="s">
        <v>903</v>
      </c>
      <c r="G647" s="28">
        <v>1</v>
      </c>
      <c r="H647" s="28" t="s">
        <v>897</v>
      </c>
      <c r="I647" s="28" t="s">
        <v>904</v>
      </c>
      <c r="K647" s="23"/>
    </row>
    <row r="648" spans="1:11" s="28" customFormat="1" x14ac:dyDescent="0.3">
      <c r="A648" s="28" t="s">
        <v>765</v>
      </c>
      <c r="B648" s="28" t="s">
        <v>62</v>
      </c>
      <c r="C648" s="28" t="s">
        <v>63</v>
      </c>
      <c r="D648" s="28" t="s">
        <v>64</v>
      </c>
      <c r="E648" s="28" t="s">
        <v>65</v>
      </c>
      <c r="F648" s="23" t="s">
        <v>905</v>
      </c>
      <c r="G648" s="28">
        <v>1</v>
      </c>
      <c r="H648" s="28" t="s">
        <v>11</v>
      </c>
      <c r="I648" s="28" t="s">
        <v>906</v>
      </c>
      <c r="K648" s="23"/>
    </row>
    <row r="649" spans="1:11" s="28" customFormat="1" x14ac:dyDescent="0.3">
      <c r="A649" s="28" t="s">
        <v>765</v>
      </c>
      <c r="B649" s="28" t="s">
        <v>393</v>
      </c>
      <c r="C649" s="28" t="s">
        <v>394</v>
      </c>
      <c r="D649" s="28" t="s">
        <v>380</v>
      </c>
      <c r="E649" s="28" t="s">
        <v>395</v>
      </c>
      <c r="F649" s="23" t="s">
        <v>1009</v>
      </c>
      <c r="G649" s="28">
        <v>1</v>
      </c>
      <c r="H649" s="28" t="s">
        <v>906</v>
      </c>
      <c r="I649" s="28" t="s">
        <v>11</v>
      </c>
    </row>
    <row r="650" spans="1:11" s="28" customFormat="1" x14ac:dyDescent="0.3">
      <c r="A650" s="28" t="s">
        <v>765</v>
      </c>
      <c r="B650" s="28" t="s">
        <v>396</v>
      </c>
      <c r="C650" s="28" t="s">
        <v>397</v>
      </c>
      <c r="D650" s="28" t="s">
        <v>64</v>
      </c>
      <c r="E650" s="28" t="s">
        <v>398</v>
      </c>
      <c r="F650" s="23" t="s">
        <v>907</v>
      </c>
      <c r="G650" s="28">
        <v>1</v>
      </c>
      <c r="H650" s="28" t="s">
        <v>906</v>
      </c>
      <c r="I650" s="28" t="s">
        <v>11</v>
      </c>
      <c r="K650" s="23"/>
    </row>
    <row r="651" spans="1:11" s="28" customFormat="1" x14ac:dyDescent="0.3">
      <c r="A651" s="28" t="s">
        <v>765</v>
      </c>
      <c r="B651" s="28" t="s">
        <v>400</v>
      </c>
      <c r="C651" s="28" t="s">
        <v>401</v>
      </c>
      <c r="D651" s="28" t="s">
        <v>64</v>
      </c>
      <c r="E651" s="28" t="s">
        <v>402</v>
      </c>
      <c r="F651" s="23" t="s">
        <v>389</v>
      </c>
      <c r="G651" s="28">
        <v>1</v>
      </c>
      <c r="H651" s="28" t="s">
        <v>906</v>
      </c>
      <c r="I651" s="28" t="s">
        <v>11</v>
      </c>
    </row>
    <row r="652" spans="1:11" s="28" customFormat="1" x14ac:dyDescent="0.3">
      <c r="A652" s="28" t="s">
        <v>765</v>
      </c>
      <c r="B652" s="28" t="s">
        <v>403</v>
      </c>
      <c r="C652" s="28" t="s">
        <v>404</v>
      </c>
      <c r="D652" s="28" t="s">
        <v>64</v>
      </c>
      <c r="E652" s="28" t="s">
        <v>405</v>
      </c>
      <c r="F652" s="23" t="s">
        <v>908</v>
      </c>
      <c r="G652" s="28">
        <v>1</v>
      </c>
      <c r="H652" s="28" t="s">
        <v>906</v>
      </c>
      <c r="I652" s="28" t="s">
        <v>11</v>
      </c>
      <c r="K652" s="23"/>
    </row>
    <row r="653" spans="1:11" s="28" customFormat="1" x14ac:dyDescent="0.3">
      <c r="A653" s="28" t="s">
        <v>765</v>
      </c>
      <c r="B653" s="28" t="s">
        <v>407</v>
      </c>
      <c r="C653" s="28" t="s">
        <v>408</v>
      </c>
      <c r="D653" s="28" t="s">
        <v>64</v>
      </c>
      <c r="E653" s="28" t="s">
        <v>409</v>
      </c>
      <c r="F653" s="23" t="s">
        <v>909</v>
      </c>
      <c r="G653" s="28">
        <v>1</v>
      </c>
      <c r="H653" s="28" t="s">
        <v>906</v>
      </c>
      <c r="I653" s="28" t="s">
        <v>11</v>
      </c>
      <c r="K653" s="23"/>
    </row>
    <row r="654" spans="1:11" s="28" customFormat="1" x14ac:dyDescent="0.3">
      <c r="A654" s="28" t="s">
        <v>765</v>
      </c>
      <c r="B654" s="28" t="s">
        <v>67</v>
      </c>
      <c r="C654" s="28" t="s">
        <v>68</v>
      </c>
      <c r="D654" s="28" t="s">
        <v>64</v>
      </c>
      <c r="E654" s="28" t="s">
        <v>69</v>
      </c>
      <c r="F654" s="23" t="s">
        <v>910</v>
      </c>
      <c r="G654" s="28">
        <v>1</v>
      </c>
      <c r="H654" s="28" t="s">
        <v>906</v>
      </c>
      <c r="I654" s="28" t="s">
        <v>911</v>
      </c>
      <c r="K654" s="23"/>
    </row>
    <row r="655" spans="1:11" s="28" customFormat="1" x14ac:dyDescent="0.3">
      <c r="A655" s="28" t="s">
        <v>765</v>
      </c>
      <c r="B655" s="28" t="s">
        <v>67</v>
      </c>
      <c r="C655" s="28" t="s">
        <v>68</v>
      </c>
      <c r="D655" s="28" t="s">
        <v>64</v>
      </c>
      <c r="E655" s="28" t="s">
        <v>69</v>
      </c>
      <c r="F655" s="23" t="s">
        <v>912</v>
      </c>
      <c r="G655" s="28">
        <v>1</v>
      </c>
      <c r="H655" s="28" t="s">
        <v>906</v>
      </c>
      <c r="I655" s="28" t="s">
        <v>913</v>
      </c>
      <c r="K655" s="23"/>
    </row>
    <row r="656" spans="1:11" s="28" customFormat="1" x14ac:dyDescent="0.3">
      <c r="A656" s="28" t="s">
        <v>765</v>
      </c>
      <c r="B656" s="28" t="s">
        <v>62</v>
      </c>
      <c r="C656" s="28" t="s">
        <v>63</v>
      </c>
      <c r="D656" s="28" t="s">
        <v>64</v>
      </c>
      <c r="E656" s="28" t="s">
        <v>65</v>
      </c>
      <c r="F656" s="23" t="s">
        <v>914</v>
      </c>
      <c r="G656" s="28">
        <v>1</v>
      </c>
      <c r="H656" s="28" t="s">
        <v>11</v>
      </c>
      <c r="I656" s="28" t="s">
        <v>915</v>
      </c>
      <c r="K656" s="23"/>
    </row>
    <row r="657" spans="1:11" s="28" customFormat="1" x14ac:dyDescent="0.3">
      <c r="A657" s="28" t="s">
        <v>765</v>
      </c>
      <c r="B657" s="28" t="s">
        <v>393</v>
      </c>
      <c r="C657" s="28" t="s">
        <v>394</v>
      </c>
      <c r="D657" s="28" t="s">
        <v>380</v>
      </c>
      <c r="E657" s="28" t="s">
        <v>395</v>
      </c>
      <c r="F657" s="23" t="s">
        <v>1005</v>
      </c>
      <c r="G657" s="28">
        <v>1</v>
      </c>
      <c r="H657" s="28" t="s">
        <v>915</v>
      </c>
      <c r="I657" s="28" t="s">
        <v>11</v>
      </c>
    </row>
    <row r="658" spans="1:11" s="28" customFormat="1" x14ac:dyDescent="0.3">
      <c r="A658" s="28" t="s">
        <v>765</v>
      </c>
      <c r="B658" s="28" t="s">
        <v>396</v>
      </c>
      <c r="C658" s="28" t="s">
        <v>397</v>
      </c>
      <c r="D658" s="28" t="s">
        <v>64</v>
      </c>
      <c r="E658" s="28" t="s">
        <v>398</v>
      </c>
      <c r="F658" s="23" t="s">
        <v>916</v>
      </c>
      <c r="G658" s="28">
        <v>1</v>
      </c>
      <c r="H658" s="28" t="s">
        <v>915</v>
      </c>
      <c r="I658" s="28" t="s">
        <v>11</v>
      </c>
      <c r="K658" s="23"/>
    </row>
    <row r="659" spans="1:11" s="28" customFormat="1" x14ac:dyDescent="0.3">
      <c r="A659" s="28" t="s">
        <v>765</v>
      </c>
      <c r="B659" s="28" t="s">
        <v>400</v>
      </c>
      <c r="C659" s="28" t="s">
        <v>401</v>
      </c>
      <c r="D659" s="28" t="s">
        <v>64</v>
      </c>
      <c r="E659" s="28" t="s">
        <v>402</v>
      </c>
      <c r="F659" s="23" t="s">
        <v>389</v>
      </c>
      <c r="G659" s="28">
        <v>1</v>
      </c>
      <c r="H659" s="28" t="s">
        <v>915</v>
      </c>
      <c r="I659" s="28" t="s">
        <v>11</v>
      </c>
    </row>
    <row r="660" spans="1:11" s="28" customFormat="1" x14ac:dyDescent="0.3">
      <c r="A660" s="28" t="s">
        <v>765</v>
      </c>
      <c r="B660" s="28" t="s">
        <v>403</v>
      </c>
      <c r="C660" s="28" t="s">
        <v>404</v>
      </c>
      <c r="D660" s="28" t="s">
        <v>64</v>
      </c>
      <c r="E660" s="28" t="s">
        <v>405</v>
      </c>
      <c r="F660" s="23" t="s">
        <v>917</v>
      </c>
      <c r="G660" s="28">
        <v>1</v>
      </c>
      <c r="H660" s="28" t="s">
        <v>915</v>
      </c>
      <c r="I660" s="28" t="s">
        <v>11</v>
      </c>
      <c r="K660" s="23"/>
    </row>
    <row r="661" spans="1:11" s="28" customFormat="1" x14ac:dyDescent="0.3">
      <c r="A661" s="28" t="s">
        <v>765</v>
      </c>
      <c r="B661" s="28" t="s">
        <v>407</v>
      </c>
      <c r="C661" s="28" t="s">
        <v>408</v>
      </c>
      <c r="D661" s="28" t="s">
        <v>64</v>
      </c>
      <c r="E661" s="28" t="s">
        <v>409</v>
      </c>
      <c r="F661" s="23" t="s">
        <v>918</v>
      </c>
      <c r="G661" s="28">
        <v>1</v>
      </c>
      <c r="H661" s="28" t="s">
        <v>915</v>
      </c>
      <c r="I661" s="28" t="s">
        <v>11</v>
      </c>
      <c r="K661" s="23"/>
    </row>
    <row r="662" spans="1:11" s="28" customFormat="1" x14ac:dyDescent="0.3">
      <c r="A662" s="28" t="s">
        <v>765</v>
      </c>
      <c r="B662" s="28" t="s">
        <v>217</v>
      </c>
      <c r="C662" s="28" t="s">
        <v>68</v>
      </c>
      <c r="D662" s="28" t="s">
        <v>64</v>
      </c>
      <c r="E662" s="28" t="s">
        <v>218</v>
      </c>
      <c r="F662" s="23" t="s">
        <v>919</v>
      </c>
      <c r="G662" s="28">
        <v>1</v>
      </c>
      <c r="H662" s="28" t="s">
        <v>915</v>
      </c>
      <c r="I662" s="28" t="s">
        <v>920</v>
      </c>
      <c r="K662" s="23"/>
    </row>
    <row r="663" spans="1:11" s="28" customFormat="1" x14ac:dyDescent="0.3">
      <c r="A663" s="28" t="s">
        <v>765</v>
      </c>
      <c r="B663" s="28" t="s">
        <v>217</v>
      </c>
      <c r="C663" s="28" t="s">
        <v>68</v>
      </c>
      <c r="D663" s="28" t="s">
        <v>64</v>
      </c>
      <c r="E663" s="28" t="s">
        <v>218</v>
      </c>
      <c r="F663" s="23" t="s">
        <v>921</v>
      </c>
      <c r="G663" s="28">
        <v>1</v>
      </c>
      <c r="H663" s="28" t="s">
        <v>915</v>
      </c>
      <c r="I663" s="28" t="s">
        <v>922</v>
      </c>
      <c r="K663" s="23"/>
    </row>
    <row r="664" spans="1:11" s="28" customFormat="1" x14ac:dyDescent="0.3">
      <c r="A664" s="28" t="s">
        <v>765</v>
      </c>
      <c r="B664" s="28" t="s">
        <v>923</v>
      </c>
      <c r="C664" s="28" t="s">
        <v>923</v>
      </c>
      <c r="D664" s="28" t="s">
        <v>11</v>
      </c>
      <c r="E664" s="28" t="s">
        <v>11</v>
      </c>
      <c r="F664" s="23" t="s">
        <v>11</v>
      </c>
      <c r="G664" s="28">
        <v>1</v>
      </c>
      <c r="H664" s="28" t="s">
        <v>923</v>
      </c>
      <c r="I664" s="28" t="s">
        <v>11</v>
      </c>
    </row>
    <row r="665" spans="1:11" s="28" customFormat="1" x14ac:dyDescent="0.3">
      <c r="A665" s="28" t="s">
        <v>765</v>
      </c>
      <c r="B665" s="28" t="s">
        <v>62</v>
      </c>
      <c r="C665" s="28" t="s">
        <v>63</v>
      </c>
      <c r="D665" s="28" t="s">
        <v>64</v>
      </c>
      <c r="E665" s="28" t="s">
        <v>65</v>
      </c>
      <c r="F665" s="23" t="s">
        <v>924</v>
      </c>
      <c r="G665" s="28">
        <v>1</v>
      </c>
      <c r="H665" s="28" t="s">
        <v>11</v>
      </c>
      <c r="I665" s="28" t="s">
        <v>925</v>
      </c>
      <c r="K665" s="23"/>
    </row>
    <row r="666" spans="1:11" s="28" customFormat="1" x14ac:dyDescent="0.3">
      <c r="A666" s="28" t="s">
        <v>765</v>
      </c>
      <c r="B666" s="28" t="s">
        <v>393</v>
      </c>
      <c r="C666" s="28" t="s">
        <v>394</v>
      </c>
      <c r="D666" s="28" t="s">
        <v>380</v>
      </c>
      <c r="E666" s="28" t="s">
        <v>395</v>
      </c>
      <c r="F666" s="23" t="s">
        <v>1002</v>
      </c>
      <c r="G666" s="28">
        <v>1</v>
      </c>
      <c r="H666" s="28" t="s">
        <v>925</v>
      </c>
      <c r="I666" s="28" t="s">
        <v>11</v>
      </c>
    </row>
    <row r="667" spans="1:11" s="28" customFormat="1" x14ac:dyDescent="0.3">
      <c r="A667" s="28" t="s">
        <v>765</v>
      </c>
      <c r="B667" s="28" t="s">
        <v>623</v>
      </c>
      <c r="C667" s="28" t="s">
        <v>624</v>
      </c>
      <c r="D667" s="28" t="s">
        <v>380</v>
      </c>
      <c r="E667" s="28" t="s">
        <v>625</v>
      </c>
      <c r="F667" s="23" t="s">
        <v>1001</v>
      </c>
      <c r="G667" s="28">
        <v>1</v>
      </c>
      <c r="H667" s="28" t="s">
        <v>925</v>
      </c>
      <c r="I667" s="28" t="s">
        <v>11</v>
      </c>
    </row>
    <row r="668" spans="1:11" s="28" customFormat="1" x14ac:dyDescent="0.3">
      <c r="A668" s="28" t="s">
        <v>765</v>
      </c>
      <c r="B668" s="28" t="s">
        <v>396</v>
      </c>
      <c r="C668" s="28" t="s">
        <v>397</v>
      </c>
      <c r="D668" s="28" t="s">
        <v>64</v>
      </c>
      <c r="E668" s="28" t="s">
        <v>398</v>
      </c>
      <c r="F668" s="23" t="s">
        <v>926</v>
      </c>
      <c r="G668" s="28">
        <v>1</v>
      </c>
      <c r="H668" s="28" t="s">
        <v>925</v>
      </c>
      <c r="I668" s="28" t="s">
        <v>11</v>
      </c>
      <c r="K668" s="23"/>
    </row>
    <row r="669" spans="1:11" s="28" customFormat="1" x14ac:dyDescent="0.3">
      <c r="A669" s="28" t="s">
        <v>765</v>
      </c>
      <c r="B669" s="28" t="s">
        <v>400</v>
      </c>
      <c r="C669" s="28" t="s">
        <v>401</v>
      </c>
      <c r="D669" s="28" t="s">
        <v>64</v>
      </c>
      <c r="E669" s="28" t="s">
        <v>402</v>
      </c>
      <c r="F669" s="23" t="s">
        <v>389</v>
      </c>
      <c r="G669" s="28">
        <v>1</v>
      </c>
      <c r="H669" s="28" t="s">
        <v>925</v>
      </c>
      <c r="I669" s="28" t="s">
        <v>11</v>
      </c>
    </row>
    <row r="670" spans="1:11" s="28" customFormat="1" x14ac:dyDescent="0.3">
      <c r="A670" s="28" t="s">
        <v>765</v>
      </c>
      <c r="B670" s="28" t="s">
        <v>403</v>
      </c>
      <c r="C670" s="28" t="s">
        <v>404</v>
      </c>
      <c r="D670" s="28" t="s">
        <v>64</v>
      </c>
      <c r="E670" s="28" t="s">
        <v>405</v>
      </c>
      <c r="F670" s="23" t="s">
        <v>927</v>
      </c>
      <c r="G670" s="28">
        <v>1</v>
      </c>
      <c r="H670" s="28" t="s">
        <v>11</v>
      </c>
      <c r="I670" s="28" t="s">
        <v>11</v>
      </c>
      <c r="K670" s="23"/>
    </row>
    <row r="671" spans="1:11" s="28" customFormat="1" x14ac:dyDescent="0.3">
      <c r="A671" s="28" t="s">
        <v>765</v>
      </c>
      <c r="B671" s="28" t="s">
        <v>407</v>
      </c>
      <c r="C671" s="28" t="s">
        <v>408</v>
      </c>
      <c r="D671" s="28" t="s">
        <v>64</v>
      </c>
      <c r="E671" s="28" t="s">
        <v>409</v>
      </c>
      <c r="F671" s="23" t="s">
        <v>928</v>
      </c>
      <c r="G671" s="28">
        <v>1</v>
      </c>
      <c r="H671" s="28" t="s">
        <v>11</v>
      </c>
      <c r="I671" s="28" t="s">
        <v>11</v>
      </c>
      <c r="K671" s="23"/>
    </row>
    <row r="672" spans="1:11" s="28" customFormat="1" x14ac:dyDescent="0.3">
      <c r="A672" s="28" t="s">
        <v>765</v>
      </c>
      <c r="B672" s="28" t="s">
        <v>407</v>
      </c>
      <c r="C672" s="28" t="s">
        <v>408</v>
      </c>
      <c r="D672" s="28" t="s">
        <v>64</v>
      </c>
      <c r="E672" s="28" t="s">
        <v>409</v>
      </c>
      <c r="F672" s="23" t="s">
        <v>929</v>
      </c>
      <c r="G672" s="28">
        <v>1</v>
      </c>
      <c r="H672" s="28" t="s">
        <v>11</v>
      </c>
      <c r="I672" s="28" t="s">
        <v>11</v>
      </c>
      <c r="K672" s="23"/>
    </row>
    <row r="673" spans="1:11" s="28" customFormat="1" x14ac:dyDescent="0.3">
      <c r="A673" s="28" t="s">
        <v>765</v>
      </c>
      <c r="B673" s="28" t="s">
        <v>67</v>
      </c>
      <c r="C673" s="28" t="s">
        <v>68</v>
      </c>
      <c r="D673" s="28" t="s">
        <v>64</v>
      </c>
      <c r="E673" s="28" t="s">
        <v>69</v>
      </c>
      <c r="F673" s="23" t="s">
        <v>930</v>
      </c>
      <c r="G673" s="28">
        <v>1</v>
      </c>
      <c r="H673" s="28" t="s">
        <v>11</v>
      </c>
      <c r="I673" s="28" t="s">
        <v>931</v>
      </c>
      <c r="K673" s="23"/>
    </row>
    <row r="674" spans="1:11" s="28" customFormat="1" x14ac:dyDescent="0.3">
      <c r="A674" s="28" t="s">
        <v>765</v>
      </c>
      <c r="B674" s="28" t="s">
        <v>67</v>
      </c>
      <c r="C674" s="28" t="s">
        <v>68</v>
      </c>
      <c r="D674" s="28" t="s">
        <v>64</v>
      </c>
      <c r="E674" s="28" t="s">
        <v>69</v>
      </c>
      <c r="F674" s="23" t="s">
        <v>932</v>
      </c>
      <c r="G674" s="28">
        <v>1</v>
      </c>
      <c r="H674" s="28" t="s">
        <v>11</v>
      </c>
      <c r="I674" s="28" t="s">
        <v>933</v>
      </c>
      <c r="K674" s="23"/>
    </row>
    <row r="675" spans="1:11" s="28" customFormat="1" x14ac:dyDescent="0.3">
      <c r="A675" s="28" t="s">
        <v>765</v>
      </c>
      <c r="B675" s="28" t="s">
        <v>217</v>
      </c>
      <c r="C675" s="28" t="s">
        <v>68</v>
      </c>
      <c r="D675" s="28" t="s">
        <v>64</v>
      </c>
      <c r="E675" s="28" t="s">
        <v>218</v>
      </c>
      <c r="F675" s="23" t="s">
        <v>934</v>
      </c>
      <c r="G675" s="28">
        <v>1</v>
      </c>
      <c r="H675" s="28" t="s">
        <v>11</v>
      </c>
      <c r="I675" s="28" t="s">
        <v>935</v>
      </c>
      <c r="K675" s="23"/>
    </row>
    <row r="676" spans="1:11" s="28" customFormat="1" x14ac:dyDescent="0.3">
      <c r="A676" s="28" t="s">
        <v>765</v>
      </c>
      <c r="B676" s="28" t="s">
        <v>525</v>
      </c>
      <c r="C676" s="28" t="s">
        <v>526</v>
      </c>
      <c r="D676" s="28" t="s">
        <v>380</v>
      </c>
      <c r="E676" s="28" t="s">
        <v>527</v>
      </c>
      <c r="F676" s="23" t="s">
        <v>389</v>
      </c>
      <c r="G676" s="28">
        <v>1</v>
      </c>
      <c r="H676" s="28" t="s">
        <v>11</v>
      </c>
      <c r="I676" s="28" t="s">
        <v>936</v>
      </c>
    </row>
    <row r="677" spans="1:11" s="28" customFormat="1" x14ac:dyDescent="0.3">
      <c r="A677" s="28" t="s">
        <v>765</v>
      </c>
      <c r="B677" s="28" t="s">
        <v>38</v>
      </c>
      <c r="C677" s="28" t="s">
        <v>39</v>
      </c>
      <c r="D677" s="28" t="s">
        <v>14</v>
      </c>
      <c r="E677" s="28" t="s">
        <v>572</v>
      </c>
      <c r="F677" s="23" t="s">
        <v>937</v>
      </c>
      <c r="G677" s="28">
        <v>1</v>
      </c>
      <c r="H677" s="28" t="s">
        <v>11</v>
      </c>
      <c r="I677" s="28" t="s">
        <v>938</v>
      </c>
      <c r="K677" s="23"/>
    </row>
    <row r="678" spans="1:11" s="28" customFormat="1" x14ac:dyDescent="0.3">
      <c r="A678" s="28" t="s">
        <v>765</v>
      </c>
      <c r="B678" s="28" t="s">
        <v>393</v>
      </c>
      <c r="C678" s="28" t="s">
        <v>394</v>
      </c>
      <c r="D678" s="28" t="s">
        <v>380</v>
      </c>
      <c r="E678" s="28" t="s">
        <v>395</v>
      </c>
      <c r="F678" s="23" t="s">
        <v>939</v>
      </c>
      <c r="G678" s="28">
        <v>1</v>
      </c>
      <c r="H678" s="28" t="s">
        <v>11</v>
      </c>
      <c r="I678" s="28" t="s">
        <v>940</v>
      </c>
    </row>
    <row r="679" spans="1:11" s="28" customFormat="1" x14ac:dyDescent="0.3">
      <c r="A679" s="28" t="s">
        <v>765</v>
      </c>
      <c r="B679" s="28" t="s">
        <v>46</v>
      </c>
      <c r="C679" s="28" t="s">
        <v>39</v>
      </c>
      <c r="D679" s="28" t="s">
        <v>380</v>
      </c>
      <c r="E679" s="28" t="s">
        <v>47</v>
      </c>
      <c r="F679" s="29" t="s">
        <v>972</v>
      </c>
      <c r="G679" s="28">
        <v>1</v>
      </c>
      <c r="H679" s="28" t="s">
        <v>11</v>
      </c>
      <c r="I679" s="28" t="s">
        <v>942</v>
      </c>
    </row>
    <row r="680" spans="1:11" s="28" customFormat="1" x14ac:dyDescent="0.3">
      <c r="A680" s="28" t="s">
        <v>765</v>
      </c>
      <c r="B680" s="28" t="s">
        <v>46</v>
      </c>
      <c r="C680" s="28" t="s">
        <v>39</v>
      </c>
      <c r="D680" s="28" t="s">
        <v>380</v>
      </c>
      <c r="E680" s="28" t="s">
        <v>47</v>
      </c>
      <c r="F680" s="29" t="s">
        <v>971</v>
      </c>
      <c r="G680" s="28">
        <v>1</v>
      </c>
      <c r="H680" s="28" t="s">
        <v>11</v>
      </c>
      <c r="I680" s="28" t="s">
        <v>944</v>
      </c>
    </row>
    <row r="681" spans="1:11" s="28" customFormat="1" x14ac:dyDescent="0.3">
      <c r="A681" s="28" t="s">
        <v>765</v>
      </c>
      <c r="B681" s="28" t="s">
        <v>28</v>
      </c>
      <c r="C681" s="28" t="s">
        <v>18</v>
      </c>
      <c r="D681" s="28" t="s">
        <v>533</v>
      </c>
      <c r="E681" s="28" t="s">
        <v>29</v>
      </c>
      <c r="F681" s="23" t="s">
        <v>945</v>
      </c>
      <c r="G681" s="28">
        <v>1</v>
      </c>
      <c r="H681" s="28" t="s">
        <v>11</v>
      </c>
      <c r="I681" s="28" t="s">
        <v>946</v>
      </c>
    </row>
    <row r="682" spans="1:11" s="28" customFormat="1" x14ac:dyDescent="0.3">
      <c r="A682" s="28" t="s">
        <v>765</v>
      </c>
      <c r="B682" s="28" t="s">
        <v>28</v>
      </c>
      <c r="C682" s="28" t="s">
        <v>18</v>
      </c>
      <c r="D682" s="28" t="s">
        <v>533</v>
      </c>
      <c r="E682" s="28" t="s">
        <v>29</v>
      </c>
      <c r="F682" s="23" t="s">
        <v>947</v>
      </c>
      <c r="G682" s="28">
        <v>1</v>
      </c>
      <c r="H682" s="28" t="s">
        <v>11</v>
      </c>
      <c r="I682" s="28" t="s">
        <v>948</v>
      </c>
    </row>
    <row r="683" spans="1:11" s="28" customFormat="1" x14ac:dyDescent="0.3">
      <c r="A683" s="28" t="s">
        <v>765</v>
      </c>
      <c r="B683" s="28" t="s">
        <v>30</v>
      </c>
      <c r="C683" s="28" t="s">
        <v>18</v>
      </c>
      <c r="D683" s="28" t="s">
        <v>533</v>
      </c>
      <c r="E683" s="28" t="s">
        <v>31</v>
      </c>
      <c r="F683" s="23" t="s">
        <v>949</v>
      </c>
      <c r="G683" s="28">
        <v>1</v>
      </c>
      <c r="H683" s="28" t="s">
        <v>11</v>
      </c>
      <c r="I683" s="28" t="s">
        <v>950</v>
      </c>
    </row>
    <row r="684" spans="1:11" s="28" customFormat="1" x14ac:dyDescent="0.3">
      <c r="A684" s="28" t="s">
        <v>765</v>
      </c>
      <c r="B684" s="28" t="s">
        <v>30</v>
      </c>
      <c r="C684" s="28" t="s">
        <v>18</v>
      </c>
      <c r="D684" s="28" t="s">
        <v>533</v>
      </c>
      <c r="E684" s="28" t="s">
        <v>31</v>
      </c>
      <c r="F684" s="23" t="s">
        <v>951</v>
      </c>
      <c r="G684" s="28">
        <v>1</v>
      </c>
      <c r="H684" s="28" t="s">
        <v>11</v>
      </c>
      <c r="I684" s="28" t="s">
        <v>952</v>
      </c>
    </row>
    <row r="685" spans="1:11" s="28" customFormat="1" x14ac:dyDescent="0.3">
      <c r="A685" s="28" t="s">
        <v>765</v>
      </c>
      <c r="B685" s="28" t="s">
        <v>32</v>
      </c>
      <c r="C685" s="28" t="s">
        <v>18</v>
      </c>
      <c r="D685" s="28" t="s">
        <v>533</v>
      </c>
      <c r="E685" s="28" t="s">
        <v>33</v>
      </c>
      <c r="F685" s="23" t="s">
        <v>970</v>
      </c>
      <c r="G685" s="28">
        <v>1</v>
      </c>
      <c r="H685" s="28" t="s">
        <v>11</v>
      </c>
      <c r="I685" s="28" t="s">
        <v>954</v>
      </c>
    </row>
    <row r="686" spans="1:11" s="28" customFormat="1" x14ac:dyDescent="0.3">
      <c r="F686" s="23"/>
    </row>
    <row r="687" spans="1:11" s="28" customFormat="1" x14ac:dyDescent="0.3">
      <c r="F687" s="23"/>
    </row>
    <row r="688" spans="1:11" s="28" customFormat="1" x14ac:dyDescent="0.3">
      <c r="F688" s="23"/>
    </row>
    <row r="689" spans="6:6" s="28" customFormat="1" x14ac:dyDescent="0.3">
      <c r="F689" s="23"/>
    </row>
    <row r="690" spans="6:6" s="28" customFormat="1" x14ac:dyDescent="0.3">
      <c r="F690" s="23"/>
    </row>
    <row r="691" spans="6:6" s="28" customFormat="1" x14ac:dyDescent="0.3">
      <c r="F691" s="23"/>
    </row>
    <row r="692" spans="6:6" s="28" customFormat="1" x14ac:dyDescent="0.3">
      <c r="F692" s="23"/>
    </row>
    <row r="693" spans="6:6" s="28" customFormat="1" x14ac:dyDescent="0.3">
      <c r="F693" s="23"/>
    </row>
    <row r="694" spans="6:6" s="28" customFormat="1" x14ac:dyDescent="0.3">
      <c r="F694" s="23"/>
    </row>
    <row r="695" spans="6:6" s="28" customFormat="1" x14ac:dyDescent="0.3">
      <c r="F695" s="23"/>
    </row>
    <row r="696" spans="6:6" s="28" customFormat="1" x14ac:dyDescent="0.3">
      <c r="F696" s="23"/>
    </row>
    <row r="697" spans="6:6" s="28" customFormat="1" x14ac:dyDescent="0.3">
      <c r="F697" s="23"/>
    </row>
    <row r="698" spans="6:6" s="28" customFormat="1" x14ac:dyDescent="0.3">
      <c r="F698" s="23"/>
    </row>
    <row r="699" spans="6:6" s="28" customFormat="1" x14ac:dyDescent="0.3">
      <c r="F699" s="23"/>
    </row>
    <row r="700" spans="6:6" s="28" customFormat="1" x14ac:dyDescent="0.3">
      <c r="F700" s="23"/>
    </row>
    <row r="701" spans="6:6" s="28" customFormat="1" x14ac:dyDescent="0.3">
      <c r="F701" s="23"/>
    </row>
    <row r="702" spans="6:6" s="28" customFormat="1" x14ac:dyDescent="0.3">
      <c r="F702" s="23"/>
    </row>
    <row r="703" spans="6:6" s="28" customFormat="1" x14ac:dyDescent="0.3">
      <c r="F703" s="23"/>
    </row>
    <row r="704" spans="6:6" s="28" customFormat="1" x14ac:dyDescent="0.3">
      <c r="F704" s="23"/>
    </row>
    <row r="705" spans="6:6" s="28" customFormat="1" x14ac:dyDescent="0.3">
      <c r="F705" s="23"/>
    </row>
    <row r="706" spans="6:6" s="28" customFormat="1" x14ac:dyDescent="0.3">
      <c r="F706" s="23"/>
    </row>
    <row r="707" spans="6:6" s="28" customFormat="1" x14ac:dyDescent="0.3">
      <c r="F707" s="23"/>
    </row>
    <row r="708" spans="6:6" s="28" customFormat="1" x14ac:dyDescent="0.3">
      <c r="F708" s="23"/>
    </row>
    <row r="709" spans="6:6" s="28" customFormat="1" x14ac:dyDescent="0.3">
      <c r="F709" s="23"/>
    </row>
    <row r="710" spans="6:6" s="28" customFormat="1" x14ac:dyDescent="0.3">
      <c r="F710" s="23"/>
    </row>
    <row r="711" spans="6:6" s="28" customFormat="1" x14ac:dyDescent="0.3">
      <c r="F711" s="23"/>
    </row>
    <row r="712" spans="6:6" s="28" customFormat="1" x14ac:dyDescent="0.3">
      <c r="F712" s="23"/>
    </row>
    <row r="713" spans="6:6" s="28" customFormat="1" x14ac:dyDescent="0.3">
      <c r="F713" s="23"/>
    </row>
    <row r="714" spans="6:6" s="28" customFormat="1" x14ac:dyDescent="0.3">
      <c r="F714" s="23"/>
    </row>
    <row r="715" spans="6:6" s="28" customFormat="1" x14ac:dyDescent="0.3">
      <c r="F715" s="23"/>
    </row>
    <row r="716" spans="6:6" s="28" customFormat="1" x14ac:dyDescent="0.3">
      <c r="F716" s="23"/>
    </row>
    <row r="717" spans="6:6" s="28" customFormat="1" x14ac:dyDescent="0.3">
      <c r="F717" s="23"/>
    </row>
    <row r="718" spans="6:6" s="28" customFormat="1" x14ac:dyDescent="0.3">
      <c r="F718" s="23"/>
    </row>
    <row r="719" spans="6:6" s="28" customFormat="1" x14ac:dyDescent="0.3">
      <c r="F719" s="23"/>
    </row>
    <row r="720" spans="6:6" s="28" customFormat="1" x14ac:dyDescent="0.3">
      <c r="F720" s="23"/>
    </row>
    <row r="721" spans="6:6" s="28" customFormat="1" x14ac:dyDescent="0.3">
      <c r="F721" s="23"/>
    </row>
    <row r="722" spans="6:6" s="28" customFormat="1" x14ac:dyDescent="0.3">
      <c r="F722" s="23"/>
    </row>
    <row r="723" spans="6:6" s="28" customFormat="1" x14ac:dyDescent="0.3">
      <c r="F723" s="23"/>
    </row>
    <row r="724" spans="6:6" s="28" customFormat="1" x14ac:dyDescent="0.3">
      <c r="F724" s="23"/>
    </row>
    <row r="725" spans="6:6" s="28" customFormat="1" x14ac:dyDescent="0.3">
      <c r="F725" s="23"/>
    </row>
    <row r="726" spans="6:6" s="28" customFormat="1" x14ac:dyDescent="0.3">
      <c r="F726" s="23"/>
    </row>
    <row r="727" spans="6:6" s="28" customFormat="1" x14ac:dyDescent="0.3">
      <c r="F727" s="23"/>
    </row>
    <row r="728" spans="6:6" s="28" customFormat="1" x14ac:dyDescent="0.3">
      <c r="F728" s="23"/>
    </row>
    <row r="729" spans="6:6" s="28" customFormat="1" x14ac:dyDescent="0.3">
      <c r="F729" s="23"/>
    </row>
    <row r="730" spans="6:6" s="28" customFormat="1" x14ac:dyDescent="0.3">
      <c r="F730" s="23"/>
    </row>
    <row r="731" spans="6:6" s="28" customFormat="1" x14ac:dyDescent="0.3">
      <c r="F731" s="23"/>
    </row>
    <row r="732" spans="6:6" s="28" customFormat="1" x14ac:dyDescent="0.3">
      <c r="F732" s="23"/>
    </row>
    <row r="733" spans="6:6" s="28" customFormat="1" x14ac:dyDescent="0.3">
      <c r="F733" s="23"/>
    </row>
    <row r="734" spans="6:6" s="28" customFormat="1" x14ac:dyDescent="0.3">
      <c r="F734" s="23"/>
    </row>
    <row r="735" spans="6:6" s="28" customFormat="1" x14ac:dyDescent="0.3">
      <c r="F735" s="23"/>
    </row>
    <row r="736" spans="6:6" s="28" customFormat="1" x14ac:dyDescent="0.3">
      <c r="F736" s="23"/>
    </row>
    <row r="737" spans="6:6" s="28" customFormat="1" x14ac:dyDescent="0.3">
      <c r="F737" s="23"/>
    </row>
    <row r="738" spans="6:6" s="28" customFormat="1" x14ac:dyDescent="0.3">
      <c r="F738" s="23"/>
    </row>
    <row r="739" spans="6:6" s="28" customFormat="1" x14ac:dyDescent="0.3">
      <c r="F739" s="23"/>
    </row>
    <row r="740" spans="6:6" s="28" customFormat="1" x14ac:dyDescent="0.3">
      <c r="F740" s="23"/>
    </row>
    <row r="741" spans="6:6" s="28" customFormat="1" x14ac:dyDescent="0.3">
      <c r="F741" s="23"/>
    </row>
    <row r="742" spans="6:6" s="28" customFormat="1" x14ac:dyDescent="0.3">
      <c r="F742" s="23"/>
    </row>
    <row r="743" spans="6:6" s="28" customFormat="1" x14ac:dyDescent="0.3">
      <c r="F743" s="23"/>
    </row>
    <row r="744" spans="6:6" s="28" customFormat="1" x14ac:dyDescent="0.3">
      <c r="F744" s="23"/>
    </row>
    <row r="745" spans="6:6" s="28" customFormat="1" x14ac:dyDescent="0.3">
      <c r="F745" s="23"/>
    </row>
    <row r="746" spans="6:6" s="28" customFormat="1" x14ac:dyDescent="0.3">
      <c r="F746" s="23"/>
    </row>
    <row r="747" spans="6:6" s="28" customFormat="1" x14ac:dyDescent="0.3">
      <c r="F747" s="23"/>
    </row>
    <row r="748" spans="6:6" s="28" customFormat="1" x14ac:dyDescent="0.3">
      <c r="F748" s="23"/>
    </row>
    <row r="749" spans="6:6" s="28" customFormat="1" x14ac:dyDescent="0.3">
      <c r="F749" s="23"/>
    </row>
    <row r="750" spans="6:6" s="28" customFormat="1" x14ac:dyDescent="0.3">
      <c r="F750" s="23"/>
    </row>
    <row r="751" spans="6:6" s="28" customFormat="1" x14ac:dyDescent="0.3">
      <c r="F751" s="23"/>
    </row>
    <row r="752" spans="6:6" s="28" customFormat="1" x14ac:dyDescent="0.3">
      <c r="F752" s="23"/>
    </row>
    <row r="753" spans="6:6" s="28" customFormat="1" x14ac:dyDescent="0.3">
      <c r="F753" s="23"/>
    </row>
    <row r="754" spans="6:6" s="28" customFormat="1" x14ac:dyDescent="0.3">
      <c r="F754" s="23"/>
    </row>
    <row r="755" spans="6:6" s="28" customFormat="1" x14ac:dyDescent="0.3">
      <c r="F755" s="23"/>
    </row>
    <row r="756" spans="6:6" s="28" customFormat="1" x14ac:dyDescent="0.3">
      <c r="F756" s="23"/>
    </row>
    <row r="757" spans="6:6" s="28" customFormat="1" x14ac:dyDescent="0.3">
      <c r="F757" s="23"/>
    </row>
    <row r="758" spans="6:6" s="28" customFormat="1" x14ac:dyDescent="0.3">
      <c r="F758" s="23"/>
    </row>
    <row r="759" spans="6:6" s="28" customFormat="1" x14ac:dyDescent="0.3">
      <c r="F759" s="23"/>
    </row>
    <row r="760" spans="6:6" s="28" customFormat="1" x14ac:dyDescent="0.3">
      <c r="F760" s="23"/>
    </row>
    <row r="761" spans="6:6" s="28" customFormat="1" x14ac:dyDescent="0.3">
      <c r="F761" s="23"/>
    </row>
    <row r="762" spans="6:6" s="28" customFormat="1" x14ac:dyDescent="0.3">
      <c r="F762" s="23"/>
    </row>
    <row r="763" spans="6:6" s="28" customFormat="1" x14ac:dyDescent="0.3">
      <c r="F763" s="23"/>
    </row>
    <row r="764" spans="6:6" s="28" customFormat="1" x14ac:dyDescent="0.3">
      <c r="F764" s="23"/>
    </row>
    <row r="765" spans="6:6" s="28" customFormat="1" x14ac:dyDescent="0.3">
      <c r="F765" s="23"/>
    </row>
    <row r="766" spans="6:6" s="28" customFormat="1" x14ac:dyDescent="0.3">
      <c r="F766" s="23"/>
    </row>
    <row r="767" spans="6:6" s="28" customFormat="1" x14ac:dyDescent="0.3">
      <c r="F767" s="23"/>
    </row>
    <row r="768" spans="6:6" s="28" customFormat="1" x14ac:dyDescent="0.3">
      <c r="F768" s="23"/>
    </row>
    <row r="769" spans="6:6" s="28" customFormat="1" x14ac:dyDescent="0.3">
      <c r="F769" s="23"/>
    </row>
    <row r="770" spans="6:6" s="28" customFormat="1" x14ac:dyDescent="0.3">
      <c r="F770" s="23"/>
    </row>
    <row r="771" spans="6:6" s="28" customFormat="1" x14ac:dyDescent="0.3">
      <c r="F771" s="23"/>
    </row>
    <row r="772" spans="6:6" s="28" customFormat="1" x14ac:dyDescent="0.3">
      <c r="F772" s="23"/>
    </row>
    <row r="773" spans="6:6" s="28" customFormat="1" x14ac:dyDescent="0.3">
      <c r="F773" s="23"/>
    </row>
    <row r="774" spans="6:6" s="28" customFormat="1" x14ac:dyDescent="0.3">
      <c r="F774" s="23"/>
    </row>
    <row r="775" spans="6:6" s="28" customFormat="1" x14ac:dyDescent="0.3">
      <c r="F775" s="23"/>
    </row>
    <row r="776" spans="6:6" s="28" customFormat="1" x14ac:dyDescent="0.3">
      <c r="F776" s="23"/>
    </row>
    <row r="777" spans="6:6" s="28" customFormat="1" x14ac:dyDescent="0.3">
      <c r="F777" s="23"/>
    </row>
    <row r="778" spans="6:6" s="28" customFormat="1" x14ac:dyDescent="0.3">
      <c r="F778" s="23"/>
    </row>
    <row r="779" spans="6:6" s="28" customFormat="1" x14ac:dyDescent="0.3">
      <c r="F779" s="23"/>
    </row>
    <row r="780" spans="6:6" s="28" customFormat="1" x14ac:dyDescent="0.3">
      <c r="F780" s="23"/>
    </row>
    <row r="781" spans="6:6" s="28" customFormat="1" x14ac:dyDescent="0.3">
      <c r="F781" s="23"/>
    </row>
    <row r="782" spans="6:6" s="28" customFormat="1" x14ac:dyDescent="0.3">
      <c r="F782" s="23"/>
    </row>
    <row r="783" spans="6:6" s="28" customFormat="1" x14ac:dyDescent="0.3">
      <c r="F783" s="23"/>
    </row>
    <row r="784" spans="6:6" s="28" customFormat="1" x14ac:dyDescent="0.3">
      <c r="F784" s="23"/>
    </row>
    <row r="785" spans="6:6" s="28" customFormat="1" x14ac:dyDescent="0.3">
      <c r="F785" s="23"/>
    </row>
    <row r="786" spans="6:6" s="28" customFormat="1" x14ac:dyDescent="0.3">
      <c r="F786" s="23"/>
    </row>
    <row r="787" spans="6:6" s="28" customFormat="1" x14ac:dyDescent="0.3">
      <c r="F787" s="23"/>
    </row>
    <row r="788" spans="6:6" s="28" customFormat="1" x14ac:dyDescent="0.3">
      <c r="F788" s="23"/>
    </row>
    <row r="789" spans="6:6" s="28" customFormat="1" x14ac:dyDescent="0.3">
      <c r="F789" s="23"/>
    </row>
    <row r="790" spans="6:6" s="28" customFormat="1" x14ac:dyDescent="0.3">
      <c r="F790" s="23"/>
    </row>
    <row r="791" spans="6:6" s="28" customFormat="1" x14ac:dyDescent="0.3">
      <c r="F791" s="23"/>
    </row>
    <row r="792" spans="6:6" s="28" customFormat="1" x14ac:dyDescent="0.3">
      <c r="F792" s="23"/>
    </row>
    <row r="793" spans="6:6" s="28" customFormat="1" x14ac:dyDescent="0.3">
      <c r="F793" s="23"/>
    </row>
    <row r="794" spans="6:6" s="28" customFormat="1" x14ac:dyDescent="0.3">
      <c r="F794" s="23"/>
    </row>
    <row r="795" spans="6:6" s="28" customFormat="1" x14ac:dyDescent="0.3">
      <c r="F795" s="23"/>
    </row>
    <row r="796" spans="6:6" s="28" customFormat="1" x14ac:dyDescent="0.3">
      <c r="F796" s="23"/>
    </row>
    <row r="797" spans="6:6" s="28" customFormat="1" x14ac:dyDescent="0.3">
      <c r="F797" s="23"/>
    </row>
    <row r="798" spans="6:6" s="28" customFormat="1" x14ac:dyDescent="0.3">
      <c r="F798" s="23"/>
    </row>
    <row r="799" spans="6:6" s="28" customFormat="1" x14ac:dyDescent="0.3">
      <c r="F799" s="23"/>
    </row>
    <row r="800" spans="6:6" s="28" customFormat="1" x14ac:dyDescent="0.3">
      <c r="F800" s="23"/>
    </row>
    <row r="801" spans="6:6" s="28" customFormat="1" x14ac:dyDescent="0.3">
      <c r="F801" s="23"/>
    </row>
    <row r="802" spans="6:6" s="28" customFormat="1" x14ac:dyDescent="0.3">
      <c r="F802" s="23"/>
    </row>
    <row r="803" spans="6:6" s="28" customFormat="1" x14ac:dyDescent="0.3">
      <c r="F803" s="23"/>
    </row>
    <row r="804" spans="6:6" s="28" customFormat="1" x14ac:dyDescent="0.3">
      <c r="F804" s="23"/>
    </row>
    <row r="805" spans="6:6" s="28" customFormat="1" x14ac:dyDescent="0.3">
      <c r="F805" s="23"/>
    </row>
    <row r="806" spans="6:6" s="28" customFormat="1" x14ac:dyDescent="0.3">
      <c r="F806" s="23"/>
    </row>
    <row r="807" spans="6:6" s="28" customFormat="1" x14ac:dyDescent="0.3">
      <c r="F807" s="23"/>
    </row>
    <row r="808" spans="6:6" s="28" customFormat="1" x14ac:dyDescent="0.3">
      <c r="F808" s="23"/>
    </row>
    <row r="809" spans="6:6" s="28" customFormat="1" x14ac:dyDescent="0.3">
      <c r="F809" s="23"/>
    </row>
    <row r="810" spans="6:6" s="28" customFormat="1" x14ac:dyDescent="0.3">
      <c r="F810" s="23"/>
    </row>
    <row r="811" spans="6:6" s="28" customFormat="1" x14ac:dyDescent="0.3">
      <c r="F811" s="23"/>
    </row>
    <row r="812" spans="6:6" s="28" customFormat="1" x14ac:dyDescent="0.3">
      <c r="F812" s="23"/>
    </row>
    <row r="813" spans="6:6" s="28" customFormat="1" x14ac:dyDescent="0.3">
      <c r="F813" s="23"/>
    </row>
    <row r="814" spans="6:6" s="28" customFormat="1" x14ac:dyDescent="0.3">
      <c r="F814" s="23"/>
    </row>
    <row r="815" spans="6:6" s="28" customFormat="1" x14ac:dyDescent="0.3">
      <c r="F815" s="23"/>
    </row>
    <row r="816" spans="6:6" s="28" customFormat="1" x14ac:dyDescent="0.3">
      <c r="F816" s="23"/>
    </row>
    <row r="817" spans="6:6" s="28" customFormat="1" x14ac:dyDescent="0.3">
      <c r="F817" s="23"/>
    </row>
    <row r="818" spans="6:6" s="28" customFormat="1" x14ac:dyDescent="0.3">
      <c r="F818" s="23"/>
    </row>
    <row r="819" spans="6:6" s="28" customFormat="1" x14ac:dyDescent="0.3">
      <c r="F819" s="23"/>
    </row>
    <row r="820" spans="6:6" s="28" customFormat="1" x14ac:dyDescent="0.3">
      <c r="F820" s="23"/>
    </row>
    <row r="821" spans="6:6" s="28" customFormat="1" x14ac:dyDescent="0.3">
      <c r="F821" s="23"/>
    </row>
    <row r="822" spans="6:6" s="28" customFormat="1" x14ac:dyDescent="0.3">
      <c r="F822" s="23"/>
    </row>
    <row r="823" spans="6:6" s="28" customFormat="1" x14ac:dyDescent="0.3">
      <c r="F823" s="23"/>
    </row>
    <row r="824" spans="6:6" s="28" customFormat="1" x14ac:dyDescent="0.3">
      <c r="F824" s="23"/>
    </row>
    <row r="825" spans="6:6" s="28" customFormat="1" x14ac:dyDescent="0.3">
      <c r="F825" s="23"/>
    </row>
    <row r="826" spans="6:6" s="28" customFormat="1" x14ac:dyDescent="0.3">
      <c r="F826" s="23"/>
    </row>
    <row r="827" spans="6:6" s="28" customFormat="1" x14ac:dyDescent="0.3">
      <c r="F827" s="23"/>
    </row>
    <row r="828" spans="6:6" s="28" customFormat="1" x14ac:dyDescent="0.3">
      <c r="F828" s="23"/>
    </row>
    <row r="829" spans="6:6" s="28" customFormat="1" x14ac:dyDescent="0.3">
      <c r="F829" s="23"/>
    </row>
    <row r="830" spans="6:6" s="28" customFormat="1" x14ac:dyDescent="0.3">
      <c r="F830" s="23"/>
    </row>
    <row r="831" spans="6:6" s="28" customFormat="1" x14ac:dyDescent="0.3">
      <c r="F831" s="23"/>
    </row>
    <row r="832" spans="6:6" s="28" customFormat="1" x14ac:dyDescent="0.3">
      <c r="F832" s="23"/>
    </row>
    <row r="833" spans="6:6" s="28" customFormat="1" x14ac:dyDescent="0.3">
      <c r="F833" s="23"/>
    </row>
    <row r="834" spans="6:6" s="28" customFormat="1" x14ac:dyDescent="0.3">
      <c r="F834" s="23"/>
    </row>
    <row r="835" spans="6:6" s="28" customFormat="1" x14ac:dyDescent="0.3">
      <c r="F835" s="23"/>
    </row>
    <row r="836" spans="6:6" s="28" customFormat="1" x14ac:dyDescent="0.3">
      <c r="F836" s="23"/>
    </row>
    <row r="837" spans="6:6" s="28" customFormat="1" x14ac:dyDescent="0.3">
      <c r="F837" s="23"/>
    </row>
    <row r="838" spans="6:6" s="28" customFormat="1" x14ac:dyDescent="0.3">
      <c r="F838" s="23"/>
    </row>
    <row r="839" spans="6:6" s="28" customFormat="1" x14ac:dyDescent="0.3">
      <c r="F839" s="23"/>
    </row>
    <row r="840" spans="6:6" s="28" customFormat="1" x14ac:dyDescent="0.3">
      <c r="F840" s="23"/>
    </row>
    <row r="841" spans="6:6" s="28" customFormat="1" x14ac:dyDescent="0.3">
      <c r="F841" s="23"/>
    </row>
    <row r="842" spans="6:6" s="28" customFormat="1" x14ac:dyDescent="0.3">
      <c r="F842" s="23"/>
    </row>
    <row r="843" spans="6:6" s="28" customFormat="1" x14ac:dyDescent="0.3">
      <c r="F843" s="23"/>
    </row>
    <row r="844" spans="6:6" s="28" customFormat="1" x14ac:dyDescent="0.3">
      <c r="F844" s="23"/>
    </row>
    <row r="845" spans="6:6" s="28" customFormat="1" x14ac:dyDescent="0.3">
      <c r="F845" s="23"/>
    </row>
    <row r="846" spans="6:6" s="28" customFormat="1" x14ac:dyDescent="0.3">
      <c r="F846" s="23"/>
    </row>
    <row r="847" spans="6:6" s="28" customFormat="1" x14ac:dyDescent="0.3">
      <c r="F847" s="23"/>
    </row>
    <row r="848" spans="6:6" s="28" customFormat="1" x14ac:dyDescent="0.3">
      <c r="F848" s="23"/>
    </row>
    <row r="849" spans="6:6" s="28" customFormat="1" x14ac:dyDescent="0.3">
      <c r="F849" s="23"/>
    </row>
    <row r="850" spans="6:6" s="28" customFormat="1" x14ac:dyDescent="0.3">
      <c r="F850" s="23"/>
    </row>
    <row r="851" spans="6:6" s="28" customFormat="1" x14ac:dyDescent="0.3">
      <c r="F851" s="23"/>
    </row>
    <row r="852" spans="6:6" s="28" customFormat="1" x14ac:dyDescent="0.3">
      <c r="F852" s="23"/>
    </row>
    <row r="853" spans="6:6" s="28" customFormat="1" x14ac:dyDescent="0.3">
      <c r="F853" s="23"/>
    </row>
    <row r="854" spans="6:6" s="28" customFormat="1" x14ac:dyDescent="0.3">
      <c r="F854" s="23"/>
    </row>
    <row r="855" spans="6:6" s="28" customFormat="1" x14ac:dyDescent="0.3">
      <c r="F855" s="23"/>
    </row>
    <row r="856" spans="6:6" s="28" customFormat="1" x14ac:dyDescent="0.3">
      <c r="F856" s="23"/>
    </row>
    <row r="857" spans="6:6" s="28" customFormat="1" x14ac:dyDescent="0.3">
      <c r="F857" s="23"/>
    </row>
    <row r="858" spans="6:6" s="28" customFormat="1" x14ac:dyDescent="0.3">
      <c r="F858" s="23"/>
    </row>
    <row r="859" spans="6:6" s="28" customFormat="1" x14ac:dyDescent="0.3">
      <c r="F859" s="23"/>
    </row>
    <row r="860" spans="6:6" s="28" customFormat="1" x14ac:dyDescent="0.3">
      <c r="F860" s="23"/>
    </row>
    <row r="861" spans="6:6" s="28" customFormat="1" x14ac:dyDescent="0.3">
      <c r="F861" s="23"/>
    </row>
    <row r="862" spans="6:6" s="28" customFormat="1" x14ac:dyDescent="0.3">
      <c r="F862" s="23"/>
    </row>
    <row r="863" spans="6:6" s="28" customFormat="1" x14ac:dyDescent="0.3">
      <c r="F863" s="23"/>
    </row>
    <row r="864" spans="6:6" s="28" customFormat="1" x14ac:dyDescent="0.3">
      <c r="F864" s="23"/>
    </row>
    <row r="865" spans="6:6" s="28" customFormat="1" x14ac:dyDescent="0.3">
      <c r="F865" s="23"/>
    </row>
    <row r="866" spans="6:6" s="28" customFormat="1" x14ac:dyDescent="0.3">
      <c r="F866" s="23"/>
    </row>
    <row r="867" spans="6:6" s="28" customFormat="1" x14ac:dyDescent="0.3">
      <c r="F867" s="23"/>
    </row>
    <row r="868" spans="6:6" s="28" customFormat="1" x14ac:dyDescent="0.3">
      <c r="F868" s="23"/>
    </row>
    <row r="869" spans="6:6" s="28" customFormat="1" x14ac:dyDescent="0.3">
      <c r="F869" s="23"/>
    </row>
    <row r="870" spans="6:6" s="28" customFormat="1" x14ac:dyDescent="0.3">
      <c r="F870" s="23"/>
    </row>
    <row r="871" spans="6:6" s="28" customFormat="1" x14ac:dyDescent="0.3">
      <c r="F871" s="23"/>
    </row>
    <row r="872" spans="6:6" s="28" customFormat="1" x14ac:dyDescent="0.3">
      <c r="F872" s="23"/>
    </row>
    <row r="873" spans="6:6" s="28" customFormat="1" x14ac:dyDescent="0.3">
      <c r="F873" s="23"/>
    </row>
    <row r="874" spans="6:6" s="28" customFormat="1" x14ac:dyDescent="0.3">
      <c r="F874" s="23"/>
    </row>
    <row r="875" spans="6:6" s="28" customFormat="1" x14ac:dyDescent="0.3">
      <c r="F875" s="23"/>
    </row>
    <row r="876" spans="6:6" s="28" customFormat="1" x14ac:dyDescent="0.3">
      <c r="F876" s="23"/>
    </row>
    <row r="877" spans="6:6" s="28" customFormat="1" x14ac:dyDescent="0.3">
      <c r="F877" s="23"/>
    </row>
    <row r="878" spans="6:6" s="28" customFormat="1" x14ac:dyDescent="0.3">
      <c r="F878" s="23"/>
    </row>
    <row r="879" spans="6:6" s="28" customFormat="1" x14ac:dyDescent="0.3">
      <c r="F879" s="23"/>
    </row>
    <row r="880" spans="6:6" s="28" customFormat="1" x14ac:dyDescent="0.3">
      <c r="F880" s="23"/>
    </row>
    <row r="881" spans="6:6" s="28" customFormat="1" x14ac:dyDescent="0.3">
      <c r="F881" s="23"/>
    </row>
    <row r="882" spans="6:6" s="28" customFormat="1" x14ac:dyDescent="0.3">
      <c r="F882" s="23"/>
    </row>
    <row r="883" spans="6:6" s="28" customFormat="1" x14ac:dyDescent="0.3">
      <c r="F883" s="23"/>
    </row>
    <row r="884" spans="6:6" s="28" customFormat="1" x14ac:dyDescent="0.3">
      <c r="F884" s="23"/>
    </row>
    <row r="885" spans="6:6" s="28" customFormat="1" x14ac:dyDescent="0.3">
      <c r="F885" s="23"/>
    </row>
    <row r="886" spans="6:6" s="28" customFormat="1" x14ac:dyDescent="0.3">
      <c r="F886" s="23"/>
    </row>
    <row r="887" spans="6:6" s="28" customFormat="1" x14ac:dyDescent="0.3">
      <c r="F887" s="23"/>
    </row>
    <row r="888" spans="6:6" s="28" customFormat="1" x14ac:dyDescent="0.3">
      <c r="F888" s="23"/>
    </row>
    <row r="889" spans="6:6" s="28" customFormat="1" x14ac:dyDescent="0.3">
      <c r="F889" s="23"/>
    </row>
    <row r="890" spans="6:6" s="28" customFormat="1" x14ac:dyDescent="0.3">
      <c r="F890" s="23"/>
    </row>
    <row r="891" spans="6:6" s="28" customFormat="1" x14ac:dyDescent="0.3">
      <c r="F891" s="23"/>
    </row>
    <row r="892" spans="6:6" s="28" customFormat="1" x14ac:dyDescent="0.3">
      <c r="F892" s="23"/>
    </row>
    <row r="893" spans="6:6" s="28" customFormat="1" x14ac:dyDescent="0.3">
      <c r="F893" s="23"/>
    </row>
    <row r="894" spans="6:6" s="28" customFormat="1" x14ac:dyDescent="0.3">
      <c r="F894" s="23"/>
    </row>
    <row r="895" spans="6:6" s="28" customFormat="1" x14ac:dyDescent="0.3">
      <c r="F895" s="23"/>
    </row>
    <row r="896" spans="6:6" s="28" customFormat="1" x14ac:dyDescent="0.3">
      <c r="F896" s="23"/>
    </row>
    <row r="897" spans="6:6" s="28" customFormat="1" x14ac:dyDescent="0.3">
      <c r="F897" s="23"/>
    </row>
    <row r="898" spans="6:6" s="28" customFormat="1" x14ac:dyDescent="0.3">
      <c r="F898" s="23"/>
    </row>
    <row r="899" spans="6:6" s="28" customFormat="1" x14ac:dyDescent="0.3">
      <c r="F899" s="23"/>
    </row>
    <row r="900" spans="6:6" s="28" customFormat="1" x14ac:dyDescent="0.3">
      <c r="F900" s="23"/>
    </row>
    <row r="901" spans="6:6" s="28" customFormat="1" x14ac:dyDescent="0.3">
      <c r="F901" s="23"/>
    </row>
    <row r="902" spans="6:6" s="28" customFormat="1" x14ac:dyDescent="0.3">
      <c r="F902" s="23"/>
    </row>
    <row r="903" spans="6:6" s="28" customFormat="1" x14ac:dyDescent="0.3">
      <c r="F903" s="23"/>
    </row>
    <row r="904" spans="6:6" s="28" customFormat="1" x14ac:dyDescent="0.3">
      <c r="F904" s="23"/>
    </row>
    <row r="905" spans="6:6" s="28" customFormat="1" x14ac:dyDescent="0.3">
      <c r="F905" s="23"/>
    </row>
    <row r="906" spans="6:6" s="28" customFormat="1" x14ac:dyDescent="0.3">
      <c r="F906" s="23"/>
    </row>
    <row r="907" spans="6:6" s="28" customFormat="1" x14ac:dyDescent="0.3">
      <c r="F907" s="23"/>
    </row>
    <row r="908" spans="6:6" s="28" customFormat="1" x14ac:dyDescent="0.3">
      <c r="F908" s="23"/>
    </row>
    <row r="909" spans="6:6" s="28" customFormat="1" x14ac:dyDescent="0.3">
      <c r="F909" s="23"/>
    </row>
    <row r="910" spans="6:6" s="28" customFormat="1" x14ac:dyDescent="0.3">
      <c r="F910" s="23"/>
    </row>
    <row r="911" spans="6:6" s="28" customFormat="1" x14ac:dyDescent="0.3">
      <c r="F911" s="23"/>
    </row>
    <row r="912" spans="6:6" s="28" customFormat="1" x14ac:dyDescent="0.3">
      <c r="F912" s="23"/>
    </row>
    <row r="913" spans="6:6" s="28" customFormat="1" x14ac:dyDescent="0.3">
      <c r="F913" s="23"/>
    </row>
    <row r="914" spans="6:6" s="28" customFormat="1" x14ac:dyDescent="0.3">
      <c r="F914" s="23"/>
    </row>
    <row r="915" spans="6:6" s="28" customFormat="1" x14ac:dyDescent="0.3">
      <c r="F915" s="23"/>
    </row>
    <row r="916" spans="6:6" s="28" customFormat="1" x14ac:dyDescent="0.3">
      <c r="F916" s="23"/>
    </row>
    <row r="917" spans="6:6" s="28" customFormat="1" x14ac:dyDescent="0.3">
      <c r="F917" s="23"/>
    </row>
    <row r="918" spans="6:6" s="28" customFormat="1" x14ac:dyDescent="0.3">
      <c r="F918" s="23"/>
    </row>
    <row r="919" spans="6:6" s="28" customFormat="1" x14ac:dyDescent="0.3">
      <c r="F919" s="23"/>
    </row>
    <row r="920" spans="6:6" s="28" customFormat="1" x14ac:dyDescent="0.3">
      <c r="F920" s="23"/>
    </row>
    <row r="921" spans="6:6" s="28" customFormat="1" x14ac:dyDescent="0.3">
      <c r="F921" s="23"/>
    </row>
    <row r="922" spans="6:6" s="28" customFormat="1" x14ac:dyDescent="0.3">
      <c r="F922" s="23"/>
    </row>
    <row r="923" spans="6:6" s="28" customFormat="1" x14ac:dyDescent="0.3">
      <c r="F923" s="23"/>
    </row>
    <row r="924" spans="6:6" s="28" customFormat="1" x14ac:dyDescent="0.3">
      <c r="F924" s="23"/>
    </row>
    <row r="925" spans="6:6" s="28" customFormat="1" x14ac:dyDescent="0.3">
      <c r="F925" s="23"/>
    </row>
    <row r="926" spans="6:6" s="28" customFormat="1" x14ac:dyDescent="0.3">
      <c r="F926" s="23"/>
    </row>
    <row r="927" spans="6:6" s="28" customFormat="1" x14ac:dyDescent="0.3">
      <c r="F927" s="23"/>
    </row>
    <row r="928" spans="6:6" s="28" customFormat="1" x14ac:dyDescent="0.3">
      <c r="F928" s="23"/>
    </row>
    <row r="929" spans="6:11" x14ac:dyDescent="0.3">
      <c r="J929" s="2" t="str">
        <f t="shared" ref="J929:J962" si="0">IF(OR(F929="",F929="_",LEFT(F929,5)="SPARE",F929="N/A"),"NO","YES")</f>
        <v>NO</v>
      </c>
      <c r="K929" s="2" t="e">
        <f>VLOOKUP(F929,Munka1!A:A,1,0)</f>
        <v>#N/A</v>
      </c>
    </row>
    <row r="930" spans="6:11" x14ac:dyDescent="0.3">
      <c r="J930" s="2" t="str">
        <f t="shared" si="0"/>
        <v>NO</v>
      </c>
      <c r="K930" s="2" t="e">
        <f>VLOOKUP(F930,Munka1!A:A,1,0)</f>
        <v>#N/A</v>
      </c>
    </row>
    <row r="931" spans="6:11" x14ac:dyDescent="0.3">
      <c r="J931" s="2" t="str">
        <f t="shared" si="0"/>
        <v>NO</v>
      </c>
      <c r="K931" s="2" t="e">
        <f>VLOOKUP(F931,Munka1!A:A,1,0)</f>
        <v>#N/A</v>
      </c>
    </row>
    <row r="932" spans="6:11" x14ac:dyDescent="0.3">
      <c r="J932" s="2" t="str">
        <f t="shared" si="0"/>
        <v>NO</v>
      </c>
      <c r="K932" s="2" t="e">
        <f>VLOOKUP(F932,Munka1!A:A,1,0)</f>
        <v>#N/A</v>
      </c>
    </row>
    <row r="933" spans="6:11" x14ac:dyDescent="0.3">
      <c r="J933" s="2" t="str">
        <f t="shared" si="0"/>
        <v>NO</v>
      </c>
      <c r="K933" s="2" t="e">
        <f>VLOOKUP(F933,Munka1!A:A,1,0)</f>
        <v>#N/A</v>
      </c>
    </row>
    <row r="934" spans="6:11" x14ac:dyDescent="0.3">
      <c r="J934" s="2" t="str">
        <f t="shared" si="0"/>
        <v>NO</v>
      </c>
      <c r="K934" s="2" t="e">
        <f>VLOOKUP(F934,Munka1!A:A,1,0)</f>
        <v>#N/A</v>
      </c>
    </row>
    <row r="935" spans="6:11" x14ac:dyDescent="0.3">
      <c r="J935" s="2" t="str">
        <f t="shared" si="0"/>
        <v>NO</v>
      </c>
      <c r="K935" s="2" t="e">
        <f>VLOOKUP(F935,Munka1!A:A,1,0)</f>
        <v>#N/A</v>
      </c>
    </row>
    <row r="936" spans="6:11" x14ac:dyDescent="0.3">
      <c r="J936" s="2" t="str">
        <f t="shared" si="0"/>
        <v>NO</v>
      </c>
      <c r="K936" s="2" t="e">
        <f>VLOOKUP(F936,Munka1!A:A,1,0)</f>
        <v>#N/A</v>
      </c>
    </row>
    <row r="937" spans="6:11" x14ac:dyDescent="0.3">
      <c r="J937" s="2" t="str">
        <f t="shared" si="0"/>
        <v>NO</v>
      </c>
      <c r="K937" s="2" t="e">
        <f>VLOOKUP(F937,Munka1!A:A,1,0)</f>
        <v>#N/A</v>
      </c>
    </row>
    <row r="938" spans="6:11" x14ac:dyDescent="0.3">
      <c r="J938" s="2" t="str">
        <f t="shared" si="0"/>
        <v>NO</v>
      </c>
      <c r="K938" s="2" t="e">
        <f>VLOOKUP(F938,Munka1!A:A,1,0)</f>
        <v>#N/A</v>
      </c>
    </row>
    <row r="939" spans="6:11" x14ac:dyDescent="0.3">
      <c r="J939" s="2" t="str">
        <f t="shared" si="0"/>
        <v>NO</v>
      </c>
      <c r="K939" s="2" t="e">
        <f>VLOOKUP(F939,Munka1!A:A,1,0)</f>
        <v>#N/A</v>
      </c>
    </row>
    <row r="940" spans="6:11" x14ac:dyDescent="0.3">
      <c r="J940" s="2" t="str">
        <f t="shared" si="0"/>
        <v>NO</v>
      </c>
      <c r="K940" s="2" t="e">
        <f>VLOOKUP(F940,Munka1!A:A,1,0)</f>
        <v>#N/A</v>
      </c>
    </row>
    <row r="941" spans="6:11" x14ac:dyDescent="0.3">
      <c r="F941" s="3"/>
      <c r="J941" s="2" t="str">
        <f t="shared" si="0"/>
        <v>NO</v>
      </c>
      <c r="K941" s="2" t="e">
        <f>VLOOKUP(F941,Munka1!A:A,1,0)</f>
        <v>#N/A</v>
      </c>
    </row>
    <row r="942" spans="6:11" x14ac:dyDescent="0.3">
      <c r="J942" s="2" t="str">
        <f t="shared" si="0"/>
        <v>NO</v>
      </c>
      <c r="K942" s="2" t="e">
        <f>VLOOKUP(F942,Munka1!A:A,1,0)</f>
        <v>#N/A</v>
      </c>
    </row>
    <row r="943" spans="6:11" x14ac:dyDescent="0.3">
      <c r="J943" s="2" t="str">
        <f t="shared" si="0"/>
        <v>NO</v>
      </c>
      <c r="K943" s="2" t="e">
        <f>VLOOKUP(F943,Munka1!A:A,1,0)</f>
        <v>#N/A</v>
      </c>
    </row>
    <row r="944" spans="6:11" x14ac:dyDescent="0.3">
      <c r="J944" s="2" t="str">
        <f t="shared" si="0"/>
        <v>NO</v>
      </c>
      <c r="K944" s="2" t="e">
        <f>VLOOKUP(F944,Munka1!A:A,1,0)</f>
        <v>#N/A</v>
      </c>
    </row>
    <row r="945" spans="10:11" x14ac:dyDescent="0.3">
      <c r="J945" s="2" t="str">
        <f t="shared" si="0"/>
        <v>NO</v>
      </c>
      <c r="K945" s="2" t="e">
        <f>VLOOKUP(F945,Munka1!A:A,1,0)</f>
        <v>#N/A</v>
      </c>
    </row>
    <row r="946" spans="10:11" x14ac:dyDescent="0.3">
      <c r="J946" s="2" t="str">
        <f t="shared" si="0"/>
        <v>NO</v>
      </c>
      <c r="K946" s="2" t="e">
        <f>VLOOKUP(F946,Munka1!A:A,1,0)</f>
        <v>#N/A</v>
      </c>
    </row>
    <row r="947" spans="10:11" x14ac:dyDescent="0.3">
      <c r="J947" s="2" t="str">
        <f t="shared" si="0"/>
        <v>NO</v>
      </c>
      <c r="K947" s="2" t="e">
        <f>VLOOKUP(F947,Munka1!A:A,1,0)</f>
        <v>#N/A</v>
      </c>
    </row>
    <row r="948" spans="10:11" x14ac:dyDescent="0.3">
      <c r="J948" s="2" t="str">
        <f t="shared" si="0"/>
        <v>NO</v>
      </c>
      <c r="K948" s="2" t="e">
        <f>VLOOKUP(F948,Munka1!A:A,1,0)</f>
        <v>#N/A</v>
      </c>
    </row>
    <row r="949" spans="10:11" x14ac:dyDescent="0.3">
      <c r="J949" s="2" t="str">
        <f t="shared" si="0"/>
        <v>NO</v>
      </c>
      <c r="K949" s="2" t="e">
        <f>VLOOKUP(F949,Munka1!A:A,1,0)</f>
        <v>#N/A</v>
      </c>
    </row>
    <row r="950" spans="10:11" x14ac:dyDescent="0.3">
      <c r="J950" s="2" t="str">
        <f t="shared" si="0"/>
        <v>NO</v>
      </c>
      <c r="K950" s="2" t="e">
        <f>VLOOKUP(F950,Munka1!A:A,1,0)</f>
        <v>#N/A</v>
      </c>
    </row>
    <row r="951" spans="10:11" x14ac:dyDescent="0.3">
      <c r="J951" s="2" t="str">
        <f t="shared" si="0"/>
        <v>NO</v>
      </c>
      <c r="K951" s="2" t="e">
        <f>VLOOKUP(F951,Munka1!A:A,1,0)</f>
        <v>#N/A</v>
      </c>
    </row>
    <row r="952" spans="10:11" x14ac:dyDescent="0.3">
      <c r="J952" s="2" t="str">
        <f t="shared" si="0"/>
        <v>NO</v>
      </c>
      <c r="K952" s="2" t="e">
        <f>VLOOKUP(F952,Munka1!A:A,1,0)</f>
        <v>#N/A</v>
      </c>
    </row>
    <row r="953" spans="10:11" x14ac:dyDescent="0.3">
      <c r="J953" s="2" t="str">
        <f t="shared" si="0"/>
        <v>NO</v>
      </c>
      <c r="K953" s="2" t="e">
        <f>VLOOKUP(F953,Munka1!A:A,1,0)</f>
        <v>#N/A</v>
      </c>
    </row>
    <row r="954" spans="10:11" x14ac:dyDescent="0.3">
      <c r="J954" s="2" t="str">
        <f t="shared" si="0"/>
        <v>NO</v>
      </c>
      <c r="K954" s="2" t="e">
        <f>VLOOKUP(F954,Munka1!A:A,1,0)</f>
        <v>#N/A</v>
      </c>
    </row>
    <row r="955" spans="10:11" x14ac:dyDescent="0.3">
      <c r="J955" s="2" t="str">
        <f t="shared" si="0"/>
        <v>NO</v>
      </c>
      <c r="K955" s="2" t="e">
        <f>VLOOKUP(F955,Munka1!A:A,1,0)</f>
        <v>#N/A</v>
      </c>
    </row>
    <row r="956" spans="10:11" x14ac:dyDescent="0.3">
      <c r="J956" s="2" t="str">
        <f t="shared" si="0"/>
        <v>NO</v>
      </c>
      <c r="K956" s="2" t="e">
        <f>VLOOKUP(F956,Munka1!A:A,1,0)</f>
        <v>#N/A</v>
      </c>
    </row>
    <row r="957" spans="10:11" x14ac:dyDescent="0.3">
      <c r="J957" s="2" t="str">
        <f t="shared" si="0"/>
        <v>NO</v>
      </c>
      <c r="K957" s="2" t="e">
        <f>VLOOKUP(F957,Munka1!A:A,1,0)</f>
        <v>#N/A</v>
      </c>
    </row>
    <row r="958" spans="10:11" x14ac:dyDescent="0.3">
      <c r="J958" s="2" t="str">
        <f t="shared" si="0"/>
        <v>NO</v>
      </c>
      <c r="K958" s="2" t="e">
        <f>VLOOKUP(F958,Munka1!A:A,1,0)</f>
        <v>#N/A</v>
      </c>
    </row>
    <row r="959" spans="10:11" x14ac:dyDescent="0.3">
      <c r="J959" s="2" t="str">
        <f t="shared" si="0"/>
        <v>NO</v>
      </c>
      <c r="K959" s="2" t="e">
        <f>VLOOKUP(F959,Munka1!A:A,1,0)</f>
        <v>#N/A</v>
      </c>
    </row>
    <row r="960" spans="10:11" x14ac:dyDescent="0.3">
      <c r="J960" s="2" t="str">
        <f t="shared" si="0"/>
        <v>NO</v>
      </c>
      <c r="K960" s="2" t="e">
        <f>VLOOKUP(F960,Munka1!A:A,1,0)</f>
        <v>#N/A</v>
      </c>
    </row>
    <row r="961" spans="10:11" x14ac:dyDescent="0.3">
      <c r="J961" s="2" t="str">
        <f t="shared" si="0"/>
        <v>NO</v>
      </c>
      <c r="K961" s="2" t="e">
        <f>VLOOKUP(F961,Munka1!A:A,1,0)</f>
        <v>#N/A</v>
      </c>
    </row>
    <row r="962" spans="10:11" x14ac:dyDescent="0.3">
      <c r="J962" s="2" t="str">
        <f t="shared" si="0"/>
        <v>NO</v>
      </c>
      <c r="K962" s="2" t="e">
        <f>VLOOKUP(F962,Munka1!A:A,1,0)</f>
        <v>#N/A</v>
      </c>
    </row>
    <row r="963" spans="10:11" x14ac:dyDescent="0.3">
      <c r="J963" s="2" t="str">
        <f t="shared" ref="J963:J1026" si="1">IF(OR(F963="",F963="_",LEFT(F963,5)="SPARE",F963="N/A"),"NO","YES")</f>
        <v>NO</v>
      </c>
      <c r="K963" s="2" t="e">
        <f>VLOOKUP(F963,Munka1!A:A,1,0)</f>
        <v>#N/A</v>
      </c>
    </row>
    <row r="964" spans="10:11" x14ac:dyDescent="0.3">
      <c r="J964" s="2" t="str">
        <f t="shared" si="1"/>
        <v>NO</v>
      </c>
      <c r="K964" s="2" t="e">
        <f>VLOOKUP(F964,Munka1!A:A,1,0)</f>
        <v>#N/A</v>
      </c>
    </row>
    <row r="965" spans="10:11" x14ac:dyDescent="0.3">
      <c r="J965" s="2" t="str">
        <f t="shared" si="1"/>
        <v>NO</v>
      </c>
      <c r="K965" s="2" t="e">
        <f>VLOOKUP(F965,Munka1!A:A,1,0)</f>
        <v>#N/A</v>
      </c>
    </row>
    <row r="966" spans="10:11" x14ac:dyDescent="0.3">
      <c r="J966" s="2" t="str">
        <f t="shared" si="1"/>
        <v>NO</v>
      </c>
      <c r="K966" s="2" t="e">
        <f>VLOOKUP(F966,Munka1!A:A,1,0)</f>
        <v>#N/A</v>
      </c>
    </row>
    <row r="967" spans="10:11" x14ac:dyDescent="0.3">
      <c r="J967" s="2" t="str">
        <f t="shared" si="1"/>
        <v>NO</v>
      </c>
      <c r="K967" s="2" t="e">
        <f>VLOOKUP(F967,Munka1!A:A,1,0)</f>
        <v>#N/A</v>
      </c>
    </row>
    <row r="968" spans="10:11" x14ac:dyDescent="0.3">
      <c r="J968" s="2" t="str">
        <f t="shared" si="1"/>
        <v>NO</v>
      </c>
      <c r="K968" s="2" t="e">
        <f>VLOOKUP(F968,Munka1!A:A,1,0)</f>
        <v>#N/A</v>
      </c>
    </row>
    <row r="969" spans="10:11" x14ac:dyDescent="0.3">
      <c r="J969" s="2" t="str">
        <f t="shared" si="1"/>
        <v>NO</v>
      </c>
      <c r="K969" s="2" t="e">
        <f>VLOOKUP(F969,Munka1!A:A,1,0)</f>
        <v>#N/A</v>
      </c>
    </row>
    <row r="970" spans="10:11" x14ac:dyDescent="0.3">
      <c r="J970" s="2" t="str">
        <f t="shared" si="1"/>
        <v>NO</v>
      </c>
      <c r="K970" s="2" t="e">
        <f>VLOOKUP(F970,Munka1!A:A,1,0)</f>
        <v>#N/A</v>
      </c>
    </row>
    <row r="971" spans="10:11" x14ac:dyDescent="0.3">
      <c r="J971" s="2" t="str">
        <f t="shared" si="1"/>
        <v>NO</v>
      </c>
      <c r="K971" s="2" t="e">
        <f>VLOOKUP(F971,Munka1!A:A,1,0)</f>
        <v>#N/A</v>
      </c>
    </row>
    <row r="972" spans="10:11" x14ac:dyDescent="0.3">
      <c r="J972" s="2" t="str">
        <f t="shared" si="1"/>
        <v>NO</v>
      </c>
      <c r="K972" s="2" t="e">
        <f>VLOOKUP(F972,Munka1!A:A,1,0)</f>
        <v>#N/A</v>
      </c>
    </row>
    <row r="973" spans="10:11" x14ac:dyDescent="0.3">
      <c r="J973" s="2" t="str">
        <f t="shared" si="1"/>
        <v>NO</v>
      </c>
      <c r="K973" s="2" t="e">
        <f>VLOOKUP(F973,Munka1!A:A,1,0)</f>
        <v>#N/A</v>
      </c>
    </row>
    <row r="974" spans="10:11" x14ac:dyDescent="0.3">
      <c r="J974" s="2" t="str">
        <f t="shared" si="1"/>
        <v>NO</v>
      </c>
      <c r="K974" s="2" t="e">
        <f>VLOOKUP(F974,Munka1!A:A,1,0)</f>
        <v>#N/A</v>
      </c>
    </row>
    <row r="975" spans="10:11" x14ac:dyDescent="0.3">
      <c r="J975" s="2" t="str">
        <f t="shared" si="1"/>
        <v>NO</v>
      </c>
      <c r="K975" s="2" t="e">
        <f>VLOOKUP(F975,Munka1!A:A,1,0)</f>
        <v>#N/A</v>
      </c>
    </row>
    <row r="976" spans="10:11" x14ac:dyDescent="0.3">
      <c r="J976" s="2" t="str">
        <f t="shared" si="1"/>
        <v>NO</v>
      </c>
      <c r="K976" s="2" t="e">
        <f>VLOOKUP(F976,Munka1!A:A,1,0)</f>
        <v>#N/A</v>
      </c>
    </row>
    <row r="977" spans="10:11" x14ac:dyDescent="0.3">
      <c r="J977" s="2" t="str">
        <f t="shared" si="1"/>
        <v>NO</v>
      </c>
      <c r="K977" s="2" t="e">
        <f>VLOOKUP(F977,Munka1!A:A,1,0)</f>
        <v>#N/A</v>
      </c>
    </row>
    <row r="978" spans="10:11" x14ac:dyDescent="0.3">
      <c r="J978" s="2" t="str">
        <f t="shared" si="1"/>
        <v>NO</v>
      </c>
      <c r="K978" s="2" t="e">
        <f>VLOOKUP(F978,Munka1!A:A,1,0)</f>
        <v>#N/A</v>
      </c>
    </row>
    <row r="979" spans="10:11" x14ac:dyDescent="0.3">
      <c r="J979" s="2" t="str">
        <f t="shared" si="1"/>
        <v>NO</v>
      </c>
      <c r="K979" s="2" t="e">
        <f>VLOOKUP(F979,Munka1!A:A,1,0)</f>
        <v>#N/A</v>
      </c>
    </row>
    <row r="980" spans="10:11" x14ac:dyDescent="0.3">
      <c r="J980" s="2" t="str">
        <f t="shared" si="1"/>
        <v>NO</v>
      </c>
      <c r="K980" s="2" t="e">
        <f>VLOOKUP(F980,Munka1!A:A,1,0)</f>
        <v>#N/A</v>
      </c>
    </row>
    <row r="981" spans="10:11" x14ac:dyDescent="0.3">
      <c r="J981" s="2" t="str">
        <f t="shared" si="1"/>
        <v>NO</v>
      </c>
      <c r="K981" s="2" t="e">
        <f>VLOOKUP(F981,Munka1!A:A,1,0)</f>
        <v>#N/A</v>
      </c>
    </row>
    <row r="982" spans="10:11" x14ac:dyDescent="0.3">
      <c r="J982" s="2" t="str">
        <f t="shared" si="1"/>
        <v>NO</v>
      </c>
      <c r="K982" s="2" t="e">
        <f>VLOOKUP(F982,Munka1!A:A,1,0)</f>
        <v>#N/A</v>
      </c>
    </row>
    <row r="983" spans="10:11" x14ac:dyDescent="0.3">
      <c r="J983" s="2" t="str">
        <f t="shared" si="1"/>
        <v>NO</v>
      </c>
      <c r="K983" s="2" t="e">
        <f>VLOOKUP(F983,Munka1!A:A,1,0)</f>
        <v>#N/A</v>
      </c>
    </row>
    <row r="984" spans="10:11" x14ac:dyDescent="0.3">
      <c r="J984" s="2" t="str">
        <f t="shared" si="1"/>
        <v>NO</v>
      </c>
      <c r="K984" s="2" t="e">
        <f>VLOOKUP(F984,Munka1!A:A,1,0)</f>
        <v>#N/A</v>
      </c>
    </row>
    <row r="985" spans="10:11" x14ac:dyDescent="0.3">
      <c r="J985" s="2" t="str">
        <f t="shared" si="1"/>
        <v>NO</v>
      </c>
      <c r="K985" s="2" t="e">
        <f>VLOOKUP(F985,Munka1!A:A,1,0)</f>
        <v>#N/A</v>
      </c>
    </row>
    <row r="986" spans="10:11" x14ac:dyDescent="0.3">
      <c r="J986" s="2" t="str">
        <f t="shared" si="1"/>
        <v>NO</v>
      </c>
      <c r="K986" s="2" t="e">
        <f>VLOOKUP(F986,Munka1!A:A,1,0)</f>
        <v>#N/A</v>
      </c>
    </row>
    <row r="987" spans="10:11" x14ac:dyDescent="0.3">
      <c r="J987" s="2" t="str">
        <f t="shared" si="1"/>
        <v>NO</v>
      </c>
      <c r="K987" s="2" t="e">
        <f>VLOOKUP(F987,Munka1!A:A,1,0)</f>
        <v>#N/A</v>
      </c>
    </row>
    <row r="988" spans="10:11" x14ac:dyDescent="0.3">
      <c r="J988" s="2" t="str">
        <f t="shared" si="1"/>
        <v>NO</v>
      </c>
      <c r="K988" s="2" t="e">
        <f>VLOOKUP(F988,Munka1!A:A,1,0)</f>
        <v>#N/A</v>
      </c>
    </row>
    <row r="989" spans="10:11" x14ac:dyDescent="0.3">
      <c r="J989" s="2" t="str">
        <f t="shared" si="1"/>
        <v>NO</v>
      </c>
      <c r="K989" s="2" t="e">
        <f>VLOOKUP(F989,Munka1!A:A,1,0)</f>
        <v>#N/A</v>
      </c>
    </row>
    <row r="990" spans="10:11" x14ac:dyDescent="0.3">
      <c r="J990" s="2" t="str">
        <f t="shared" si="1"/>
        <v>NO</v>
      </c>
      <c r="K990" s="2" t="e">
        <f>VLOOKUP(F990,Munka1!A:A,1,0)</f>
        <v>#N/A</v>
      </c>
    </row>
    <row r="991" spans="10:11" x14ac:dyDescent="0.3">
      <c r="J991" s="2" t="str">
        <f t="shared" si="1"/>
        <v>NO</v>
      </c>
      <c r="K991" s="2" t="e">
        <f>VLOOKUP(F991,Munka1!A:A,1,0)</f>
        <v>#N/A</v>
      </c>
    </row>
    <row r="992" spans="10:11" x14ac:dyDescent="0.3">
      <c r="J992" s="2" t="str">
        <f t="shared" si="1"/>
        <v>NO</v>
      </c>
      <c r="K992" s="2" t="e">
        <f>VLOOKUP(F992,Munka1!A:A,1,0)</f>
        <v>#N/A</v>
      </c>
    </row>
    <row r="993" spans="10:11" x14ac:dyDescent="0.3">
      <c r="J993" s="2" t="str">
        <f t="shared" si="1"/>
        <v>NO</v>
      </c>
      <c r="K993" s="2" t="e">
        <f>VLOOKUP(F993,Munka1!A:A,1,0)</f>
        <v>#N/A</v>
      </c>
    </row>
    <row r="994" spans="10:11" x14ac:dyDescent="0.3">
      <c r="J994" s="2" t="str">
        <f t="shared" si="1"/>
        <v>NO</v>
      </c>
      <c r="K994" s="2" t="e">
        <f>VLOOKUP(F994,Munka1!A:A,1,0)</f>
        <v>#N/A</v>
      </c>
    </row>
    <row r="995" spans="10:11" x14ac:dyDescent="0.3">
      <c r="J995" s="2" t="str">
        <f t="shared" si="1"/>
        <v>NO</v>
      </c>
      <c r="K995" s="2" t="e">
        <f>VLOOKUP(F995,Munka1!A:A,1,0)</f>
        <v>#N/A</v>
      </c>
    </row>
    <row r="996" spans="10:11" x14ac:dyDescent="0.3">
      <c r="J996" s="2" t="str">
        <f t="shared" si="1"/>
        <v>NO</v>
      </c>
      <c r="K996" s="2" t="e">
        <f>VLOOKUP(F996,Munka1!A:A,1,0)</f>
        <v>#N/A</v>
      </c>
    </row>
    <row r="997" spans="10:11" x14ac:dyDescent="0.3">
      <c r="J997" s="2" t="str">
        <f t="shared" si="1"/>
        <v>NO</v>
      </c>
      <c r="K997" s="2" t="e">
        <f>VLOOKUP(F997,Munka1!A:A,1,0)</f>
        <v>#N/A</v>
      </c>
    </row>
    <row r="998" spans="10:11" x14ac:dyDescent="0.3">
      <c r="J998" s="2" t="str">
        <f t="shared" si="1"/>
        <v>NO</v>
      </c>
      <c r="K998" s="2" t="e">
        <f>VLOOKUP(F998,Munka1!A:A,1,0)</f>
        <v>#N/A</v>
      </c>
    </row>
    <row r="999" spans="10:11" x14ac:dyDescent="0.3">
      <c r="J999" s="2" t="str">
        <f t="shared" si="1"/>
        <v>NO</v>
      </c>
      <c r="K999" s="2" t="e">
        <f>VLOOKUP(F999,Munka1!A:A,1,0)</f>
        <v>#N/A</v>
      </c>
    </row>
    <row r="1000" spans="10:11" x14ac:dyDescent="0.3">
      <c r="J1000" s="2" t="str">
        <f t="shared" si="1"/>
        <v>NO</v>
      </c>
      <c r="K1000" s="2" t="e">
        <f>VLOOKUP(F1000,Munka1!A:A,1,0)</f>
        <v>#N/A</v>
      </c>
    </row>
    <row r="1001" spans="10:11" x14ac:dyDescent="0.3">
      <c r="J1001" s="2" t="str">
        <f t="shared" si="1"/>
        <v>NO</v>
      </c>
      <c r="K1001" s="2" t="e">
        <f>VLOOKUP(F1001,Munka1!A:A,1,0)</f>
        <v>#N/A</v>
      </c>
    </row>
    <row r="1002" spans="10:11" x14ac:dyDescent="0.3">
      <c r="J1002" s="2" t="str">
        <f t="shared" si="1"/>
        <v>NO</v>
      </c>
      <c r="K1002" s="2" t="e">
        <f>VLOOKUP(F1002,Munka1!A:A,1,0)</f>
        <v>#N/A</v>
      </c>
    </row>
    <row r="1003" spans="10:11" x14ac:dyDescent="0.3">
      <c r="J1003" s="2" t="str">
        <f t="shared" si="1"/>
        <v>NO</v>
      </c>
      <c r="K1003" s="2" t="e">
        <f>VLOOKUP(F1003,Munka1!A:A,1,0)</f>
        <v>#N/A</v>
      </c>
    </row>
    <row r="1004" spans="10:11" x14ac:dyDescent="0.3">
      <c r="J1004" s="2" t="str">
        <f t="shared" si="1"/>
        <v>NO</v>
      </c>
      <c r="K1004" s="2" t="e">
        <f>VLOOKUP(F1004,Munka1!A:A,1,0)</f>
        <v>#N/A</v>
      </c>
    </row>
    <row r="1005" spans="10:11" x14ac:dyDescent="0.3">
      <c r="J1005" s="2" t="str">
        <f t="shared" si="1"/>
        <v>NO</v>
      </c>
      <c r="K1005" s="2" t="e">
        <f>VLOOKUP(F1005,Munka1!A:A,1,0)</f>
        <v>#N/A</v>
      </c>
    </row>
    <row r="1006" spans="10:11" x14ac:dyDescent="0.3">
      <c r="J1006" s="2" t="str">
        <f t="shared" si="1"/>
        <v>NO</v>
      </c>
      <c r="K1006" s="2" t="e">
        <f>VLOOKUP(F1006,Munka1!A:A,1,0)</f>
        <v>#N/A</v>
      </c>
    </row>
    <row r="1007" spans="10:11" x14ac:dyDescent="0.3">
      <c r="J1007" s="2" t="str">
        <f t="shared" si="1"/>
        <v>NO</v>
      </c>
      <c r="K1007" s="2" t="e">
        <f>VLOOKUP(F1007,Munka1!A:A,1,0)</f>
        <v>#N/A</v>
      </c>
    </row>
    <row r="1008" spans="10:11" x14ac:dyDescent="0.3">
      <c r="J1008" s="2" t="str">
        <f t="shared" si="1"/>
        <v>NO</v>
      </c>
      <c r="K1008" s="2" t="e">
        <f>VLOOKUP(F1008,Munka1!A:A,1,0)</f>
        <v>#N/A</v>
      </c>
    </row>
    <row r="1009" spans="10:11" x14ac:dyDescent="0.3">
      <c r="J1009" s="2" t="str">
        <f t="shared" si="1"/>
        <v>NO</v>
      </c>
      <c r="K1009" s="2" t="e">
        <f>VLOOKUP(F1009,Munka1!A:A,1,0)</f>
        <v>#N/A</v>
      </c>
    </row>
    <row r="1010" spans="10:11" x14ac:dyDescent="0.3">
      <c r="J1010" s="2" t="str">
        <f t="shared" si="1"/>
        <v>NO</v>
      </c>
      <c r="K1010" s="2" t="e">
        <f>VLOOKUP(F1010,Munka1!A:A,1,0)</f>
        <v>#N/A</v>
      </c>
    </row>
    <row r="1011" spans="10:11" x14ac:dyDescent="0.3">
      <c r="J1011" s="2" t="str">
        <f t="shared" si="1"/>
        <v>NO</v>
      </c>
      <c r="K1011" s="2" t="e">
        <f>VLOOKUP(F1011,Munka1!A:A,1,0)</f>
        <v>#N/A</v>
      </c>
    </row>
    <row r="1012" spans="10:11" x14ac:dyDescent="0.3">
      <c r="J1012" s="2" t="str">
        <f t="shared" si="1"/>
        <v>NO</v>
      </c>
      <c r="K1012" s="2" t="e">
        <f>VLOOKUP(F1012,Munka1!A:A,1,0)</f>
        <v>#N/A</v>
      </c>
    </row>
    <row r="1013" spans="10:11" x14ac:dyDescent="0.3">
      <c r="J1013" s="2" t="str">
        <f t="shared" si="1"/>
        <v>NO</v>
      </c>
      <c r="K1013" s="2" t="e">
        <f>VLOOKUP(F1013,Munka1!A:A,1,0)</f>
        <v>#N/A</v>
      </c>
    </row>
    <row r="1014" spans="10:11" x14ac:dyDescent="0.3">
      <c r="J1014" s="2" t="str">
        <f t="shared" si="1"/>
        <v>NO</v>
      </c>
      <c r="K1014" s="2" t="e">
        <f>VLOOKUP(F1014,Munka1!A:A,1,0)</f>
        <v>#N/A</v>
      </c>
    </row>
    <row r="1015" spans="10:11" x14ac:dyDescent="0.3">
      <c r="J1015" s="2" t="str">
        <f t="shared" si="1"/>
        <v>NO</v>
      </c>
      <c r="K1015" s="2" t="e">
        <f>VLOOKUP(F1015,Munka1!A:A,1,0)</f>
        <v>#N/A</v>
      </c>
    </row>
    <row r="1016" spans="10:11" x14ac:dyDescent="0.3">
      <c r="J1016" s="2" t="str">
        <f t="shared" si="1"/>
        <v>NO</v>
      </c>
      <c r="K1016" s="2" t="e">
        <f>VLOOKUP(F1016,Munka1!A:A,1,0)</f>
        <v>#N/A</v>
      </c>
    </row>
    <row r="1017" spans="10:11" x14ac:dyDescent="0.3">
      <c r="J1017" s="2" t="str">
        <f t="shared" si="1"/>
        <v>NO</v>
      </c>
      <c r="K1017" s="2" t="e">
        <f>VLOOKUP(F1017,Munka1!A:A,1,0)</f>
        <v>#N/A</v>
      </c>
    </row>
    <row r="1018" spans="10:11" x14ac:dyDescent="0.3">
      <c r="J1018" s="2" t="str">
        <f t="shared" si="1"/>
        <v>NO</v>
      </c>
      <c r="K1018" s="2" t="e">
        <f>VLOOKUP(F1018,Munka1!A:A,1,0)</f>
        <v>#N/A</v>
      </c>
    </row>
    <row r="1019" spans="10:11" x14ac:dyDescent="0.3">
      <c r="J1019" s="2" t="str">
        <f t="shared" si="1"/>
        <v>NO</v>
      </c>
      <c r="K1019" s="2" t="e">
        <f>VLOOKUP(F1019,Munka1!A:A,1,0)</f>
        <v>#N/A</v>
      </c>
    </row>
    <row r="1020" spans="10:11" x14ac:dyDescent="0.3">
      <c r="J1020" s="2" t="str">
        <f t="shared" si="1"/>
        <v>NO</v>
      </c>
      <c r="K1020" s="2" t="e">
        <f>VLOOKUP(F1020,Munka1!A:A,1,0)</f>
        <v>#N/A</v>
      </c>
    </row>
    <row r="1021" spans="10:11" x14ac:dyDescent="0.3">
      <c r="J1021" s="2" t="str">
        <f t="shared" si="1"/>
        <v>NO</v>
      </c>
      <c r="K1021" s="2" t="e">
        <f>VLOOKUP(F1021,Munka1!A:A,1,0)</f>
        <v>#N/A</v>
      </c>
    </row>
    <row r="1022" spans="10:11" x14ac:dyDescent="0.3">
      <c r="J1022" s="2" t="str">
        <f t="shared" si="1"/>
        <v>NO</v>
      </c>
      <c r="K1022" s="2" t="e">
        <f>VLOOKUP(F1022,Munka1!A:A,1,0)</f>
        <v>#N/A</v>
      </c>
    </row>
    <row r="1023" spans="10:11" x14ac:dyDescent="0.3">
      <c r="J1023" s="2" t="str">
        <f t="shared" si="1"/>
        <v>NO</v>
      </c>
      <c r="K1023" s="2" t="e">
        <f>VLOOKUP(F1023,Munka1!A:A,1,0)</f>
        <v>#N/A</v>
      </c>
    </row>
    <row r="1024" spans="10:11" x14ac:dyDescent="0.3">
      <c r="J1024" s="2" t="str">
        <f t="shared" si="1"/>
        <v>NO</v>
      </c>
      <c r="K1024" s="2" t="e">
        <f>VLOOKUP(F1024,Munka1!A:A,1,0)</f>
        <v>#N/A</v>
      </c>
    </row>
    <row r="1025" spans="10:11" x14ac:dyDescent="0.3">
      <c r="J1025" s="2" t="str">
        <f t="shared" si="1"/>
        <v>NO</v>
      </c>
      <c r="K1025" s="2" t="e">
        <f>VLOOKUP(F1025,Munka1!A:A,1,0)</f>
        <v>#N/A</v>
      </c>
    </row>
    <row r="1026" spans="10:11" x14ac:dyDescent="0.3">
      <c r="J1026" s="2" t="str">
        <f t="shared" si="1"/>
        <v>NO</v>
      </c>
      <c r="K1026" s="2" t="e">
        <f>VLOOKUP(F1026,Munka1!A:A,1,0)</f>
        <v>#N/A</v>
      </c>
    </row>
    <row r="1027" spans="10:11" x14ac:dyDescent="0.3">
      <c r="J1027" s="2" t="str">
        <f t="shared" ref="J1027:J1090" si="2">IF(OR(F1027="",F1027="_",LEFT(F1027,5)="SPARE",F1027="N/A"),"NO","YES")</f>
        <v>NO</v>
      </c>
      <c r="K1027" s="2" t="e">
        <f>VLOOKUP(F1027,Munka1!A:A,1,0)</f>
        <v>#N/A</v>
      </c>
    </row>
    <row r="1028" spans="10:11" x14ac:dyDescent="0.3">
      <c r="J1028" s="2" t="str">
        <f t="shared" si="2"/>
        <v>NO</v>
      </c>
      <c r="K1028" s="2" t="e">
        <f>VLOOKUP(F1028,Munka1!A:A,1,0)</f>
        <v>#N/A</v>
      </c>
    </row>
    <row r="1029" spans="10:11" x14ac:dyDescent="0.3">
      <c r="J1029" s="2" t="str">
        <f t="shared" si="2"/>
        <v>NO</v>
      </c>
      <c r="K1029" s="2" t="e">
        <f>VLOOKUP(F1029,Munka1!A:A,1,0)</f>
        <v>#N/A</v>
      </c>
    </row>
    <row r="1030" spans="10:11" x14ac:dyDescent="0.3">
      <c r="J1030" s="2" t="str">
        <f t="shared" si="2"/>
        <v>NO</v>
      </c>
      <c r="K1030" s="2" t="e">
        <f>VLOOKUP(F1030,Munka1!A:A,1,0)</f>
        <v>#N/A</v>
      </c>
    </row>
    <row r="1031" spans="10:11" x14ac:dyDescent="0.3">
      <c r="J1031" s="2" t="str">
        <f t="shared" si="2"/>
        <v>NO</v>
      </c>
      <c r="K1031" s="2" t="e">
        <f>VLOOKUP(F1031,Munka1!A:A,1,0)</f>
        <v>#N/A</v>
      </c>
    </row>
    <row r="1032" spans="10:11" x14ac:dyDescent="0.3">
      <c r="J1032" s="2" t="str">
        <f t="shared" si="2"/>
        <v>NO</v>
      </c>
      <c r="K1032" s="2" t="e">
        <f>VLOOKUP(F1032,Munka1!A:A,1,0)</f>
        <v>#N/A</v>
      </c>
    </row>
    <row r="1033" spans="10:11" x14ac:dyDescent="0.3">
      <c r="J1033" s="2" t="str">
        <f t="shared" si="2"/>
        <v>NO</v>
      </c>
      <c r="K1033" s="2" t="e">
        <f>VLOOKUP(F1033,Munka1!A:A,1,0)</f>
        <v>#N/A</v>
      </c>
    </row>
    <row r="1034" spans="10:11" x14ac:dyDescent="0.3">
      <c r="J1034" s="2" t="str">
        <f t="shared" si="2"/>
        <v>NO</v>
      </c>
      <c r="K1034" s="2" t="e">
        <f>VLOOKUP(F1034,Munka1!A:A,1,0)</f>
        <v>#N/A</v>
      </c>
    </row>
    <row r="1035" spans="10:11" x14ac:dyDescent="0.3">
      <c r="J1035" s="2" t="str">
        <f t="shared" si="2"/>
        <v>NO</v>
      </c>
      <c r="K1035" s="2" t="e">
        <f>VLOOKUP(F1035,Munka1!A:A,1,0)</f>
        <v>#N/A</v>
      </c>
    </row>
    <row r="1036" spans="10:11" x14ac:dyDescent="0.3">
      <c r="J1036" s="2" t="str">
        <f t="shared" si="2"/>
        <v>NO</v>
      </c>
      <c r="K1036" s="2" t="e">
        <f>VLOOKUP(F1036,Munka1!A:A,1,0)</f>
        <v>#N/A</v>
      </c>
    </row>
    <row r="1037" spans="10:11" x14ac:dyDescent="0.3">
      <c r="J1037" s="2" t="str">
        <f t="shared" si="2"/>
        <v>NO</v>
      </c>
      <c r="K1037" s="2" t="e">
        <f>VLOOKUP(F1037,Munka1!A:A,1,0)</f>
        <v>#N/A</v>
      </c>
    </row>
    <row r="1038" spans="10:11" x14ac:dyDescent="0.3">
      <c r="J1038" s="2" t="str">
        <f t="shared" si="2"/>
        <v>NO</v>
      </c>
      <c r="K1038" s="2" t="e">
        <f>VLOOKUP(F1038,Munka1!A:A,1,0)</f>
        <v>#N/A</v>
      </c>
    </row>
    <row r="1039" spans="10:11" x14ac:dyDescent="0.3">
      <c r="J1039" s="2" t="str">
        <f t="shared" si="2"/>
        <v>NO</v>
      </c>
      <c r="K1039" s="2" t="e">
        <f>VLOOKUP(F1039,Munka1!A:A,1,0)</f>
        <v>#N/A</v>
      </c>
    </row>
    <row r="1040" spans="10:11" x14ac:dyDescent="0.3">
      <c r="J1040" s="2" t="str">
        <f t="shared" si="2"/>
        <v>NO</v>
      </c>
      <c r="K1040" s="2" t="e">
        <f>VLOOKUP(F1040,Munka1!A:A,1,0)</f>
        <v>#N/A</v>
      </c>
    </row>
    <row r="1041" spans="10:11" x14ac:dyDescent="0.3">
      <c r="J1041" s="2" t="str">
        <f t="shared" si="2"/>
        <v>NO</v>
      </c>
      <c r="K1041" s="2" t="e">
        <f>VLOOKUP(F1041,Munka1!A:A,1,0)</f>
        <v>#N/A</v>
      </c>
    </row>
    <row r="1042" spans="10:11" x14ac:dyDescent="0.3">
      <c r="J1042" s="2" t="str">
        <f t="shared" si="2"/>
        <v>NO</v>
      </c>
      <c r="K1042" s="2" t="e">
        <f>VLOOKUP(F1042,Munka1!A:A,1,0)</f>
        <v>#N/A</v>
      </c>
    </row>
    <row r="1043" spans="10:11" x14ac:dyDescent="0.3">
      <c r="J1043" s="2" t="str">
        <f t="shared" si="2"/>
        <v>NO</v>
      </c>
      <c r="K1043" s="2" t="e">
        <f>VLOOKUP(F1043,Munka1!A:A,1,0)</f>
        <v>#N/A</v>
      </c>
    </row>
    <row r="1044" spans="10:11" x14ac:dyDescent="0.3">
      <c r="J1044" s="2" t="str">
        <f t="shared" si="2"/>
        <v>NO</v>
      </c>
      <c r="K1044" s="2" t="e">
        <f>VLOOKUP(F1044,Munka1!A:A,1,0)</f>
        <v>#N/A</v>
      </c>
    </row>
    <row r="1045" spans="10:11" x14ac:dyDescent="0.3">
      <c r="J1045" s="2" t="str">
        <f t="shared" si="2"/>
        <v>NO</v>
      </c>
      <c r="K1045" s="2" t="e">
        <f>VLOOKUP(F1045,Munka1!A:A,1,0)</f>
        <v>#N/A</v>
      </c>
    </row>
    <row r="1046" spans="10:11" x14ac:dyDescent="0.3">
      <c r="J1046" s="2" t="str">
        <f t="shared" si="2"/>
        <v>NO</v>
      </c>
      <c r="K1046" s="2" t="e">
        <f>VLOOKUP(F1046,Munka1!A:A,1,0)</f>
        <v>#N/A</v>
      </c>
    </row>
    <row r="1047" spans="10:11" x14ac:dyDescent="0.3">
      <c r="J1047" s="2" t="str">
        <f t="shared" si="2"/>
        <v>NO</v>
      </c>
      <c r="K1047" s="2" t="e">
        <f>VLOOKUP(F1047,Munka1!A:A,1,0)</f>
        <v>#N/A</v>
      </c>
    </row>
    <row r="1048" spans="10:11" x14ac:dyDescent="0.3">
      <c r="J1048" s="2" t="str">
        <f t="shared" si="2"/>
        <v>NO</v>
      </c>
      <c r="K1048" s="2" t="e">
        <f>VLOOKUP(F1048,Munka1!A:A,1,0)</f>
        <v>#N/A</v>
      </c>
    </row>
    <row r="1049" spans="10:11" x14ac:dyDescent="0.3">
      <c r="J1049" s="2" t="str">
        <f t="shared" si="2"/>
        <v>NO</v>
      </c>
      <c r="K1049" s="2" t="e">
        <f>VLOOKUP(F1049,Munka1!A:A,1,0)</f>
        <v>#N/A</v>
      </c>
    </row>
    <row r="1050" spans="10:11" x14ac:dyDescent="0.3">
      <c r="J1050" s="2" t="str">
        <f t="shared" si="2"/>
        <v>NO</v>
      </c>
      <c r="K1050" s="2" t="e">
        <f>VLOOKUP(F1050,Munka1!A:A,1,0)</f>
        <v>#N/A</v>
      </c>
    </row>
    <row r="1051" spans="10:11" x14ac:dyDescent="0.3">
      <c r="J1051" s="2" t="str">
        <f t="shared" si="2"/>
        <v>NO</v>
      </c>
      <c r="K1051" s="2" t="e">
        <f>VLOOKUP(F1051,Munka1!A:A,1,0)</f>
        <v>#N/A</v>
      </c>
    </row>
    <row r="1052" spans="10:11" x14ac:dyDescent="0.3">
      <c r="J1052" s="2" t="str">
        <f t="shared" si="2"/>
        <v>NO</v>
      </c>
      <c r="K1052" s="2" t="e">
        <f>VLOOKUP(F1052,Munka1!A:A,1,0)</f>
        <v>#N/A</v>
      </c>
    </row>
    <row r="1053" spans="10:11" x14ac:dyDescent="0.3">
      <c r="J1053" s="2" t="str">
        <f t="shared" si="2"/>
        <v>NO</v>
      </c>
      <c r="K1053" s="2" t="e">
        <f>VLOOKUP(F1053,Munka1!A:A,1,0)</f>
        <v>#N/A</v>
      </c>
    </row>
    <row r="1054" spans="10:11" x14ac:dyDescent="0.3">
      <c r="J1054" s="2" t="str">
        <f t="shared" si="2"/>
        <v>NO</v>
      </c>
      <c r="K1054" s="2" t="e">
        <f>VLOOKUP(F1054,Munka1!A:A,1,0)</f>
        <v>#N/A</v>
      </c>
    </row>
    <row r="1055" spans="10:11" x14ac:dyDescent="0.3">
      <c r="J1055" s="2" t="str">
        <f t="shared" si="2"/>
        <v>NO</v>
      </c>
      <c r="K1055" s="2" t="e">
        <f>VLOOKUP(F1055,Munka1!A:A,1,0)</f>
        <v>#N/A</v>
      </c>
    </row>
    <row r="1056" spans="10:11" x14ac:dyDescent="0.3">
      <c r="J1056" s="2" t="str">
        <f t="shared" si="2"/>
        <v>NO</v>
      </c>
      <c r="K1056" s="2" t="e">
        <f>VLOOKUP(F1056,Munka1!A:A,1,0)</f>
        <v>#N/A</v>
      </c>
    </row>
    <row r="1057" spans="10:11" x14ac:dyDescent="0.3">
      <c r="J1057" s="2" t="str">
        <f t="shared" si="2"/>
        <v>NO</v>
      </c>
      <c r="K1057" s="2" t="e">
        <f>VLOOKUP(F1057,Munka1!A:A,1,0)</f>
        <v>#N/A</v>
      </c>
    </row>
    <row r="1058" spans="10:11" x14ac:dyDescent="0.3">
      <c r="J1058" s="2" t="str">
        <f t="shared" si="2"/>
        <v>NO</v>
      </c>
      <c r="K1058" s="2" t="e">
        <f>VLOOKUP(F1058,Munka1!A:A,1,0)</f>
        <v>#N/A</v>
      </c>
    </row>
    <row r="1059" spans="10:11" x14ac:dyDescent="0.3">
      <c r="J1059" s="2" t="str">
        <f t="shared" si="2"/>
        <v>NO</v>
      </c>
      <c r="K1059" s="2" t="e">
        <f>VLOOKUP(F1059,Munka1!A:A,1,0)</f>
        <v>#N/A</v>
      </c>
    </row>
    <row r="1060" spans="10:11" x14ac:dyDescent="0.3">
      <c r="J1060" s="2" t="str">
        <f t="shared" si="2"/>
        <v>NO</v>
      </c>
      <c r="K1060" s="2" t="e">
        <f>VLOOKUP(F1060,Munka1!A:A,1,0)</f>
        <v>#N/A</v>
      </c>
    </row>
    <row r="1061" spans="10:11" x14ac:dyDescent="0.3">
      <c r="J1061" s="2" t="str">
        <f t="shared" si="2"/>
        <v>NO</v>
      </c>
      <c r="K1061" s="2" t="e">
        <f>VLOOKUP(F1061,Munka1!A:A,1,0)</f>
        <v>#N/A</v>
      </c>
    </row>
    <row r="1062" spans="10:11" x14ac:dyDescent="0.3">
      <c r="J1062" s="2" t="str">
        <f t="shared" si="2"/>
        <v>NO</v>
      </c>
      <c r="K1062" s="2" t="e">
        <f>VLOOKUP(F1062,Munka1!A:A,1,0)</f>
        <v>#N/A</v>
      </c>
    </row>
    <row r="1063" spans="10:11" x14ac:dyDescent="0.3">
      <c r="J1063" s="2" t="str">
        <f t="shared" si="2"/>
        <v>NO</v>
      </c>
      <c r="K1063" s="2" t="e">
        <f>VLOOKUP(F1063,Munka1!A:A,1,0)</f>
        <v>#N/A</v>
      </c>
    </row>
    <row r="1064" spans="10:11" x14ac:dyDescent="0.3">
      <c r="J1064" s="2" t="str">
        <f t="shared" si="2"/>
        <v>NO</v>
      </c>
      <c r="K1064" s="2" t="e">
        <f>VLOOKUP(F1064,Munka1!A:A,1,0)</f>
        <v>#N/A</v>
      </c>
    </row>
    <row r="1065" spans="10:11" x14ac:dyDescent="0.3">
      <c r="J1065" s="2" t="str">
        <f t="shared" si="2"/>
        <v>NO</v>
      </c>
      <c r="K1065" s="2" t="e">
        <f>VLOOKUP(F1065,Munka1!A:A,1,0)</f>
        <v>#N/A</v>
      </c>
    </row>
    <row r="1066" spans="10:11" x14ac:dyDescent="0.3">
      <c r="J1066" s="2" t="str">
        <f t="shared" si="2"/>
        <v>NO</v>
      </c>
      <c r="K1066" s="2" t="e">
        <f>VLOOKUP(F1066,Munka1!A:A,1,0)</f>
        <v>#N/A</v>
      </c>
    </row>
    <row r="1067" spans="10:11" x14ac:dyDescent="0.3">
      <c r="J1067" s="2" t="str">
        <f t="shared" si="2"/>
        <v>NO</v>
      </c>
      <c r="K1067" s="2" t="e">
        <f>VLOOKUP(F1067,Munka1!A:A,1,0)</f>
        <v>#N/A</v>
      </c>
    </row>
    <row r="1068" spans="10:11" x14ac:dyDescent="0.3">
      <c r="J1068" s="2" t="str">
        <f t="shared" si="2"/>
        <v>NO</v>
      </c>
      <c r="K1068" s="2" t="e">
        <f>VLOOKUP(F1068,Munka1!A:A,1,0)</f>
        <v>#N/A</v>
      </c>
    </row>
    <row r="1069" spans="10:11" x14ac:dyDescent="0.3">
      <c r="J1069" s="2" t="str">
        <f t="shared" si="2"/>
        <v>NO</v>
      </c>
      <c r="K1069" s="2" t="e">
        <f>VLOOKUP(F1069,Munka1!A:A,1,0)</f>
        <v>#N/A</v>
      </c>
    </row>
    <row r="1070" spans="10:11" x14ac:dyDescent="0.3">
      <c r="J1070" s="2" t="str">
        <f t="shared" si="2"/>
        <v>NO</v>
      </c>
      <c r="K1070" s="2" t="e">
        <f>VLOOKUP(F1070,Munka1!A:A,1,0)</f>
        <v>#N/A</v>
      </c>
    </row>
    <row r="1071" spans="10:11" x14ac:dyDescent="0.3">
      <c r="J1071" s="2" t="str">
        <f t="shared" si="2"/>
        <v>NO</v>
      </c>
      <c r="K1071" s="2" t="e">
        <f>VLOOKUP(F1071,Munka1!A:A,1,0)</f>
        <v>#N/A</v>
      </c>
    </row>
    <row r="1072" spans="10:11" x14ac:dyDescent="0.3">
      <c r="J1072" s="2" t="str">
        <f t="shared" si="2"/>
        <v>NO</v>
      </c>
      <c r="K1072" s="2" t="e">
        <f>VLOOKUP(F1072,Munka1!A:A,1,0)</f>
        <v>#N/A</v>
      </c>
    </row>
    <row r="1073" spans="10:11" x14ac:dyDescent="0.3">
      <c r="J1073" s="2" t="str">
        <f t="shared" si="2"/>
        <v>NO</v>
      </c>
      <c r="K1073" s="2" t="e">
        <f>VLOOKUP(F1073,Munka1!A:A,1,0)</f>
        <v>#N/A</v>
      </c>
    </row>
    <row r="1074" spans="10:11" x14ac:dyDescent="0.3">
      <c r="J1074" s="2" t="str">
        <f t="shared" si="2"/>
        <v>NO</v>
      </c>
      <c r="K1074" s="2" t="e">
        <f>VLOOKUP(F1074,Munka1!A:A,1,0)</f>
        <v>#N/A</v>
      </c>
    </row>
    <row r="1075" spans="10:11" x14ac:dyDescent="0.3">
      <c r="J1075" s="2" t="str">
        <f t="shared" si="2"/>
        <v>NO</v>
      </c>
      <c r="K1075" s="2" t="e">
        <f>VLOOKUP(F1075,Munka1!A:A,1,0)</f>
        <v>#N/A</v>
      </c>
    </row>
    <row r="1076" spans="10:11" x14ac:dyDescent="0.3">
      <c r="J1076" s="2" t="str">
        <f t="shared" si="2"/>
        <v>NO</v>
      </c>
      <c r="K1076" s="2" t="e">
        <f>VLOOKUP(F1076,Munka1!A:A,1,0)</f>
        <v>#N/A</v>
      </c>
    </row>
    <row r="1077" spans="10:11" x14ac:dyDescent="0.3">
      <c r="J1077" s="2" t="str">
        <f t="shared" si="2"/>
        <v>NO</v>
      </c>
      <c r="K1077" s="2" t="e">
        <f>VLOOKUP(F1077,Munka1!A:A,1,0)</f>
        <v>#N/A</v>
      </c>
    </row>
    <row r="1078" spans="10:11" x14ac:dyDescent="0.3">
      <c r="J1078" s="2" t="str">
        <f t="shared" si="2"/>
        <v>NO</v>
      </c>
      <c r="K1078" s="2" t="e">
        <f>VLOOKUP(F1078,Munka1!A:A,1,0)</f>
        <v>#N/A</v>
      </c>
    </row>
    <row r="1079" spans="10:11" x14ac:dyDescent="0.3">
      <c r="J1079" s="2" t="str">
        <f t="shared" si="2"/>
        <v>NO</v>
      </c>
      <c r="K1079" s="2" t="e">
        <f>VLOOKUP(F1079,Munka1!A:A,1,0)</f>
        <v>#N/A</v>
      </c>
    </row>
    <row r="1080" spans="10:11" x14ac:dyDescent="0.3">
      <c r="J1080" s="2" t="str">
        <f t="shared" si="2"/>
        <v>NO</v>
      </c>
      <c r="K1080" s="2" t="e">
        <f>VLOOKUP(F1080,Munka1!A:A,1,0)</f>
        <v>#N/A</v>
      </c>
    </row>
    <row r="1081" spans="10:11" x14ac:dyDescent="0.3">
      <c r="J1081" s="2" t="str">
        <f t="shared" si="2"/>
        <v>NO</v>
      </c>
      <c r="K1081" s="2" t="e">
        <f>VLOOKUP(F1081,Munka1!A:A,1,0)</f>
        <v>#N/A</v>
      </c>
    </row>
    <row r="1082" spans="10:11" x14ac:dyDescent="0.3">
      <c r="J1082" s="2" t="str">
        <f t="shared" si="2"/>
        <v>NO</v>
      </c>
      <c r="K1082" s="2" t="e">
        <f>VLOOKUP(F1082,Munka1!A:A,1,0)</f>
        <v>#N/A</v>
      </c>
    </row>
    <row r="1083" spans="10:11" x14ac:dyDescent="0.3">
      <c r="J1083" s="2" t="str">
        <f t="shared" si="2"/>
        <v>NO</v>
      </c>
      <c r="K1083" s="2" t="e">
        <f>VLOOKUP(F1083,Munka1!A:A,1,0)</f>
        <v>#N/A</v>
      </c>
    </row>
    <row r="1084" spans="10:11" x14ac:dyDescent="0.3">
      <c r="J1084" s="2" t="str">
        <f t="shared" si="2"/>
        <v>NO</v>
      </c>
      <c r="K1084" s="2" t="e">
        <f>VLOOKUP(F1084,Munka1!A:A,1,0)</f>
        <v>#N/A</v>
      </c>
    </row>
    <row r="1085" spans="10:11" x14ac:dyDescent="0.3">
      <c r="J1085" s="2" t="str">
        <f t="shared" si="2"/>
        <v>NO</v>
      </c>
      <c r="K1085" s="2" t="e">
        <f>VLOOKUP(F1085,Munka1!A:A,1,0)</f>
        <v>#N/A</v>
      </c>
    </row>
    <row r="1086" spans="10:11" x14ac:dyDescent="0.3">
      <c r="J1086" s="2" t="str">
        <f t="shared" si="2"/>
        <v>NO</v>
      </c>
      <c r="K1086" s="2" t="e">
        <f>VLOOKUP(F1086,Munka1!A:A,1,0)</f>
        <v>#N/A</v>
      </c>
    </row>
    <row r="1087" spans="10:11" x14ac:dyDescent="0.3">
      <c r="J1087" s="2" t="str">
        <f t="shared" si="2"/>
        <v>NO</v>
      </c>
      <c r="K1087" s="2" t="e">
        <f>VLOOKUP(F1087,Munka1!A:A,1,0)</f>
        <v>#N/A</v>
      </c>
    </row>
    <row r="1088" spans="10:11" x14ac:dyDescent="0.3">
      <c r="J1088" s="2" t="str">
        <f t="shared" si="2"/>
        <v>NO</v>
      </c>
      <c r="K1088" s="2" t="e">
        <f>VLOOKUP(F1088,Munka1!A:A,1,0)</f>
        <v>#N/A</v>
      </c>
    </row>
    <row r="1089" spans="10:11" x14ac:dyDescent="0.3">
      <c r="J1089" s="2" t="str">
        <f t="shared" si="2"/>
        <v>NO</v>
      </c>
      <c r="K1089" s="2" t="e">
        <f>VLOOKUP(F1089,Munka1!A:A,1,0)</f>
        <v>#N/A</v>
      </c>
    </row>
    <row r="1090" spans="10:11" x14ac:dyDescent="0.3">
      <c r="J1090" s="2" t="str">
        <f t="shared" si="2"/>
        <v>NO</v>
      </c>
      <c r="K1090" s="2" t="e">
        <f>VLOOKUP(F1090,Munka1!A:A,1,0)</f>
        <v>#N/A</v>
      </c>
    </row>
    <row r="1091" spans="10:11" x14ac:dyDescent="0.3">
      <c r="J1091" s="2" t="str">
        <f t="shared" ref="J1091:J1154" si="3">IF(OR(F1091="",F1091="_",LEFT(F1091,5)="SPARE",F1091="N/A"),"NO","YES")</f>
        <v>NO</v>
      </c>
      <c r="K1091" s="2" t="e">
        <f>VLOOKUP(F1091,Munka1!A:A,1,0)</f>
        <v>#N/A</v>
      </c>
    </row>
    <row r="1092" spans="10:11" x14ac:dyDescent="0.3">
      <c r="J1092" s="2" t="str">
        <f t="shared" si="3"/>
        <v>NO</v>
      </c>
      <c r="K1092" s="2" t="e">
        <f>VLOOKUP(F1092,Munka1!A:A,1,0)</f>
        <v>#N/A</v>
      </c>
    </row>
    <row r="1093" spans="10:11" x14ac:dyDescent="0.3">
      <c r="J1093" s="2" t="str">
        <f t="shared" si="3"/>
        <v>NO</v>
      </c>
      <c r="K1093" s="2" t="e">
        <f>VLOOKUP(F1093,Munka1!A:A,1,0)</f>
        <v>#N/A</v>
      </c>
    </row>
    <row r="1094" spans="10:11" x14ac:dyDescent="0.3">
      <c r="J1094" s="2" t="str">
        <f t="shared" si="3"/>
        <v>NO</v>
      </c>
      <c r="K1094" s="2" t="e">
        <f>VLOOKUP(F1094,Munka1!A:A,1,0)</f>
        <v>#N/A</v>
      </c>
    </row>
    <row r="1095" spans="10:11" x14ac:dyDescent="0.3">
      <c r="J1095" s="2" t="str">
        <f t="shared" si="3"/>
        <v>NO</v>
      </c>
      <c r="K1095" s="2" t="e">
        <f>VLOOKUP(F1095,Munka1!A:A,1,0)</f>
        <v>#N/A</v>
      </c>
    </row>
    <row r="1096" spans="10:11" x14ac:dyDescent="0.3">
      <c r="J1096" s="2" t="str">
        <f t="shared" si="3"/>
        <v>NO</v>
      </c>
      <c r="K1096" s="2" t="e">
        <f>VLOOKUP(F1096,Munka1!A:A,1,0)</f>
        <v>#N/A</v>
      </c>
    </row>
    <row r="1097" spans="10:11" x14ac:dyDescent="0.3">
      <c r="J1097" s="2" t="str">
        <f t="shared" si="3"/>
        <v>NO</v>
      </c>
      <c r="K1097" s="2" t="e">
        <f>VLOOKUP(F1097,Munka1!A:A,1,0)</f>
        <v>#N/A</v>
      </c>
    </row>
    <row r="1098" spans="10:11" x14ac:dyDescent="0.3">
      <c r="J1098" s="2" t="str">
        <f t="shared" si="3"/>
        <v>NO</v>
      </c>
      <c r="K1098" s="2" t="e">
        <f>VLOOKUP(F1098,Munka1!A:A,1,0)</f>
        <v>#N/A</v>
      </c>
    </row>
    <row r="1099" spans="10:11" x14ac:dyDescent="0.3">
      <c r="J1099" s="2" t="str">
        <f t="shared" si="3"/>
        <v>NO</v>
      </c>
      <c r="K1099" s="2" t="e">
        <f>VLOOKUP(F1099,Munka1!A:A,1,0)</f>
        <v>#N/A</v>
      </c>
    </row>
    <row r="1100" spans="10:11" x14ac:dyDescent="0.3">
      <c r="J1100" s="2" t="str">
        <f t="shared" si="3"/>
        <v>NO</v>
      </c>
      <c r="K1100" s="2" t="e">
        <f>VLOOKUP(F1100,Munka1!A:A,1,0)</f>
        <v>#N/A</v>
      </c>
    </row>
    <row r="1101" spans="10:11" x14ac:dyDescent="0.3">
      <c r="J1101" s="2" t="str">
        <f t="shared" si="3"/>
        <v>NO</v>
      </c>
      <c r="K1101" s="2" t="e">
        <f>VLOOKUP(F1101,Munka1!A:A,1,0)</f>
        <v>#N/A</v>
      </c>
    </row>
    <row r="1102" spans="10:11" x14ac:dyDescent="0.3">
      <c r="J1102" s="2" t="str">
        <f t="shared" si="3"/>
        <v>NO</v>
      </c>
      <c r="K1102" s="2" t="e">
        <f>VLOOKUP(F1102,Munka1!A:A,1,0)</f>
        <v>#N/A</v>
      </c>
    </row>
    <row r="1103" spans="10:11" x14ac:dyDescent="0.3">
      <c r="J1103" s="2" t="str">
        <f t="shared" si="3"/>
        <v>NO</v>
      </c>
      <c r="K1103" s="2" t="e">
        <f>VLOOKUP(F1103,Munka1!A:A,1,0)</f>
        <v>#N/A</v>
      </c>
    </row>
    <row r="1104" spans="10:11" x14ac:dyDescent="0.3">
      <c r="J1104" s="2" t="str">
        <f t="shared" si="3"/>
        <v>NO</v>
      </c>
      <c r="K1104" s="2" t="e">
        <f>VLOOKUP(F1104,Munka1!A:A,1,0)</f>
        <v>#N/A</v>
      </c>
    </row>
    <row r="1105" spans="10:11" x14ac:dyDescent="0.3">
      <c r="J1105" s="2" t="str">
        <f t="shared" si="3"/>
        <v>NO</v>
      </c>
      <c r="K1105" s="2" t="e">
        <f>VLOOKUP(F1105,Munka1!A:A,1,0)</f>
        <v>#N/A</v>
      </c>
    </row>
    <row r="1106" spans="10:11" x14ac:dyDescent="0.3">
      <c r="J1106" s="2" t="str">
        <f t="shared" si="3"/>
        <v>NO</v>
      </c>
      <c r="K1106" s="2" t="e">
        <f>VLOOKUP(F1106,Munka1!A:A,1,0)</f>
        <v>#N/A</v>
      </c>
    </row>
    <row r="1107" spans="10:11" x14ac:dyDescent="0.3">
      <c r="J1107" s="2" t="str">
        <f t="shared" si="3"/>
        <v>NO</v>
      </c>
      <c r="K1107" s="2" t="e">
        <f>VLOOKUP(F1107,Munka1!A:A,1,0)</f>
        <v>#N/A</v>
      </c>
    </row>
    <row r="1108" spans="10:11" x14ac:dyDescent="0.3">
      <c r="J1108" s="2" t="str">
        <f t="shared" si="3"/>
        <v>NO</v>
      </c>
      <c r="K1108" s="2" t="e">
        <f>VLOOKUP(F1108,Munka1!A:A,1,0)</f>
        <v>#N/A</v>
      </c>
    </row>
    <row r="1109" spans="10:11" x14ac:dyDescent="0.3">
      <c r="J1109" s="2" t="str">
        <f t="shared" si="3"/>
        <v>NO</v>
      </c>
      <c r="K1109" s="2" t="e">
        <f>VLOOKUP(F1109,Munka1!A:A,1,0)</f>
        <v>#N/A</v>
      </c>
    </row>
    <row r="1110" spans="10:11" x14ac:dyDescent="0.3">
      <c r="J1110" s="2" t="str">
        <f t="shared" si="3"/>
        <v>NO</v>
      </c>
      <c r="K1110" s="2" t="e">
        <f>VLOOKUP(F1110,Munka1!A:A,1,0)</f>
        <v>#N/A</v>
      </c>
    </row>
    <row r="1111" spans="10:11" x14ac:dyDescent="0.3">
      <c r="J1111" s="2" t="str">
        <f t="shared" si="3"/>
        <v>NO</v>
      </c>
      <c r="K1111" s="2" t="e">
        <f>VLOOKUP(F1111,Munka1!A:A,1,0)</f>
        <v>#N/A</v>
      </c>
    </row>
    <row r="1112" spans="10:11" x14ac:dyDescent="0.3">
      <c r="J1112" s="2" t="str">
        <f t="shared" si="3"/>
        <v>NO</v>
      </c>
      <c r="K1112" s="2" t="e">
        <f>VLOOKUP(F1112,Munka1!A:A,1,0)</f>
        <v>#N/A</v>
      </c>
    </row>
    <row r="1113" spans="10:11" x14ac:dyDescent="0.3">
      <c r="J1113" s="2" t="str">
        <f t="shared" si="3"/>
        <v>NO</v>
      </c>
      <c r="K1113" s="2" t="e">
        <f>VLOOKUP(F1113,Munka1!A:A,1,0)</f>
        <v>#N/A</v>
      </c>
    </row>
    <row r="1114" spans="10:11" x14ac:dyDescent="0.3">
      <c r="J1114" s="2" t="str">
        <f t="shared" si="3"/>
        <v>NO</v>
      </c>
      <c r="K1114" s="2" t="e">
        <f>VLOOKUP(F1114,Munka1!A:A,1,0)</f>
        <v>#N/A</v>
      </c>
    </row>
    <row r="1115" spans="10:11" x14ac:dyDescent="0.3">
      <c r="J1115" s="2" t="str">
        <f t="shared" si="3"/>
        <v>NO</v>
      </c>
      <c r="K1115" s="2" t="e">
        <f>VLOOKUP(F1115,Munka1!A:A,1,0)</f>
        <v>#N/A</v>
      </c>
    </row>
    <row r="1116" spans="10:11" x14ac:dyDescent="0.3">
      <c r="J1116" s="2" t="str">
        <f t="shared" si="3"/>
        <v>NO</v>
      </c>
      <c r="K1116" s="2" t="e">
        <f>VLOOKUP(F1116,Munka1!A:A,1,0)</f>
        <v>#N/A</v>
      </c>
    </row>
    <row r="1117" spans="10:11" x14ac:dyDescent="0.3">
      <c r="J1117" s="2" t="str">
        <f t="shared" si="3"/>
        <v>NO</v>
      </c>
      <c r="K1117" s="2" t="e">
        <f>VLOOKUP(F1117,Munka1!A:A,1,0)</f>
        <v>#N/A</v>
      </c>
    </row>
    <row r="1118" spans="10:11" x14ac:dyDescent="0.3">
      <c r="J1118" s="2" t="str">
        <f t="shared" si="3"/>
        <v>NO</v>
      </c>
      <c r="K1118" s="2" t="e">
        <f>VLOOKUP(F1118,Munka1!A:A,1,0)</f>
        <v>#N/A</v>
      </c>
    </row>
    <row r="1119" spans="10:11" x14ac:dyDescent="0.3">
      <c r="J1119" s="2" t="str">
        <f t="shared" si="3"/>
        <v>NO</v>
      </c>
      <c r="K1119" s="2" t="e">
        <f>VLOOKUP(F1119,Munka1!A:A,1,0)</f>
        <v>#N/A</v>
      </c>
    </row>
    <row r="1120" spans="10:11" x14ac:dyDescent="0.3">
      <c r="J1120" s="2" t="str">
        <f t="shared" si="3"/>
        <v>NO</v>
      </c>
      <c r="K1120" s="2" t="e">
        <f>VLOOKUP(F1120,Munka1!A:A,1,0)</f>
        <v>#N/A</v>
      </c>
    </row>
    <row r="1121" spans="10:11" x14ac:dyDescent="0.3">
      <c r="J1121" s="2" t="str">
        <f t="shared" si="3"/>
        <v>NO</v>
      </c>
      <c r="K1121" s="2" t="e">
        <f>VLOOKUP(F1121,Munka1!A:A,1,0)</f>
        <v>#N/A</v>
      </c>
    </row>
    <row r="1122" spans="10:11" x14ac:dyDescent="0.3">
      <c r="J1122" s="2" t="str">
        <f t="shared" si="3"/>
        <v>NO</v>
      </c>
      <c r="K1122" s="2" t="e">
        <f>VLOOKUP(F1122,Munka1!A:A,1,0)</f>
        <v>#N/A</v>
      </c>
    </row>
    <row r="1123" spans="10:11" x14ac:dyDescent="0.3">
      <c r="J1123" s="2" t="str">
        <f t="shared" si="3"/>
        <v>NO</v>
      </c>
      <c r="K1123" s="2" t="e">
        <f>VLOOKUP(F1123,Munka1!A:A,1,0)</f>
        <v>#N/A</v>
      </c>
    </row>
    <row r="1124" spans="10:11" x14ac:dyDescent="0.3">
      <c r="J1124" s="2" t="str">
        <f t="shared" si="3"/>
        <v>NO</v>
      </c>
      <c r="K1124" s="2" t="e">
        <f>VLOOKUP(F1124,Munka1!A:A,1,0)</f>
        <v>#N/A</v>
      </c>
    </row>
    <row r="1125" spans="10:11" x14ac:dyDescent="0.3">
      <c r="J1125" s="2" t="str">
        <f t="shared" si="3"/>
        <v>NO</v>
      </c>
      <c r="K1125" s="2" t="e">
        <f>VLOOKUP(F1125,Munka1!A:A,1,0)</f>
        <v>#N/A</v>
      </c>
    </row>
    <row r="1126" spans="10:11" x14ac:dyDescent="0.3">
      <c r="J1126" s="2" t="str">
        <f t="shared" si="3"/>
        <v>NO</v>
      </c>
      <c r="K1126" s="2" t="e">
        <f>VLOOKUP(F1126,Munka1!A:A,1,0)</f>
        <v>#N/A</v>
      </c>
    </row>
    <row r="1127" spans="10:11" x14ac:dyDescent="0.3">
      <c r="J1127" s="2" t="str">
        <f t="shared" si="3"/>
        <v>NO</v>
      </c>
      <c r="K1127" s="2" t="e">
        <f>VLOOKUP(F1127,Munka1!A:A,1,0)</f>
        <v>#N/A</v>
      </c>
    </row>
    <row r="1128" spans="10:11" x14ac:dyDescent="0.3">
      <c r="J1128" s="2" t="str">
        <f t="shared" si="3"/>
        <v>NO</v>
      </c>
      <c r="K1128" s="2" t="e">
        <f>VLOOKUP(F1128,Munka1!A:A,1,0)</f>
        <v>#N/A</v>
      </c>
    </row>
    <row r="1129" spans="10:11" x14ac:dyDescent="0.3">
      <c r="J1129" s="2" t="str">
        <f t="shared" si="3"/>
        <v>NO</v>
      </c>
      <c r="K1129" s="2" t="e">
        <f>VLOOKUP(F1129,Munka1!A:A,1,0)</f>
        <v>#N/A</v>
      </c>
    </row>
    <row r="1130" spans="10:11" x14ac:dyDescent="0.3">
      <c r="J1130" s="2" t="str">
        <f t="shared" si="3"/>
        <v>NO</v>
      </c>
      <c r="K1130" s="2" t="e">
        <f>VLOOKUP(F1130,Munka1!A:A,1,0)</f>
        <v>#N/A</v>
      </c>
    </row>
    <row r="1131" spans="10:11" x14ac:dyDescent="0.3">
      <c r="J1131" s="2" t="str">
        <f t="shared" si="3"/>
        <v>NO</v>
      </c>
      <c r="K1131" s="2" t="e">
        <f>VLOOKUP(F1131,Munka1!A:A,1,0)</f>
        <v>#N/A</v>
      </c>
    </row>
    <row r="1132" spans="10:11" x14ac:dyDescent="0.3">
      <c r="J1132" s="2" t="str">
        <f t="shared" si="3"/>
        <v>NO</v>
      </c>
      <c r="K1132" s="2" t="e">
        <f>VLOOKUP(F1132,Munka1!A:A,1,0)</f>
        <v>#N/A</v>
      </c>
    </row>
    <row r="1133" spans="10:11" x14ac:dyDescent="0.3">
      <c r="J1133" s="2" t="str">
        <f t="shared" si="3"/>
        <v>NO</v>
      </c>
      <c r="K1133" s="2" t="e">
        <f>VLOOKUP(F1133,Munka1!A:A,1,0)</f>
        <v>#N/A</v>
      </c>
    </row>
    <row r="1134" spans="10:11" x14ac:dyDescent="0.3">
      <c r="J1134" s="2" t="str">
        <f t="shared" si="3"/>
        <v>NO</v>
      </c>
      <c r="K1134" s="2" t="e">
        <f>VLOOKUP(F1134,Munka1!A:A,1,0)</f>
        <v>#N/A</v>
      </c>
    </row>
    <row r="1135" spans="10:11" x14ac:dyDescent="0.3">
      <c r="J1135" s="2" t="str">
        <f t="shared" si="3"/>
        <v>NO</v>
      </c>
      <c r="K1135" s="2" t="e">
        <f>VLOOKUP(F1135,Munka1!A:A,1,0)</f>
        <v>#N/A</v>
      </c>
    </row>
    <row r="1136" spans="10:11" x14ac:dyDescent="0.3">
      <c r="J1136" s="2" t="str">
        <f t="shared" si="3"/>
        <v>NO</v>
      </c>
      <c r="K1136" s="2" t="e">
        <f>VLOOKUP(F1136,Munka1!A:A,1,0)</f>
        <v>#N/A</v>
      </c>
    </row>
    <row r="1137" spans="10:11" x14ac:dyDescent="0.3">
      <c r="J1137" s="2" t="str">
        <f t="shared" si="3"/>
        <v>NO</v>
      </c>
      <c r="K1137" s="2" t="e">
        <f>VLOOKUP(F1137,Munka1!A:A,1,0)</f>
        <v>#N/A</v>
      </c>
    </row>
    <row r="1138" spans="10:11" x14ac:dyDescent="0.3">
      <c r="J1138" s="2" t="str">
        <f t="shared" si="3"/>
        <v>NO</v>
      </c>
      <c r="K1138" s="2" t="e">
        <f>VLOOKUP(F1138,Munka1!A:A,1,0)</f>
        <v>#N/A</v>
      </c>
    </row>
    <row r="1139" spans="10:11" x14ac:dyDescent="0.3">
      <c r="J1139" s="2" t="str">
        <f t="shared" si="3"/>
        <v>NO</v>
      </c>
      <c r="K1139" s="2" t="e">
        <f>VLOOKUP(F1139,Munka1!A:A,1,0)</f>
        <v>#N/A</v>
      </c>
    </row>
    <row r="1140" spans="10:11" x14ac:dyDescent="0.3">
      <c r="J1140" s="2" t="str">
        <f t="shared" si="3"/>
        <v>NO</v>
      </c>
      <c r="K1140" s="2" t="e">
        <f>VLOOKUP(F1140,Munka1!A:A,1,0)</f>
        <v>#N/A</v>
      </c>
    </row>
    <row r="1141" spans="10:11" x14ac:dyDescent="0.3">
      <c r="J1141" s="2" t="str">
        <f t="shared" si="3"/>
        <v>NO</v>
      </c>
      <c r="K1141" s="2" t="e">
        <f>VLOOKUP(F1141,Munka1!A:A,1,0)</f>
        <v>#N/A</v>
      </c>
    </row>
    <row r="1142" spans="10:11" x14ac:dyDescent="0.3">
      <c r="J1142" s="2" t="str">
        <f t="shared" si="3"/>
        <v>NO</v>
      </c>
      <c r="K1142" s="2" t="e">
        <f>VLOOKUP(F1142,Munka1!A:A,1,0)</f>
        <v>#N/A</v>
      </c>
    </row>
    <row r="1143" spans="10:11" x14ac:dyDescent="0.3">
      <c r="J1143" s="2" t="str">
        <f t="shared" si="3"/>
        <v>NO</v>
      </c>
      <c r="K1143" s="2" t="e">
        <f>VLOOKUP(F1143,Munka1!A:A,1,0)</f>
        <v>#N/A</v>
      </c>
    </row>
    <row r="1144" spans="10:11" x14ac:dyDescent="0.3">
      <c r="J1144" s="2" t="str">
        <f t="shared" si="3"/>
        <v>NO</v>
      </c>
      <c r="K1144" s="2" t="e">
        <f>VLOOKUP(F1144,Munka1!A:A,1,0)</f>
        <v>#N/A</v>
      </c>
    </row>
    <row r="1145" spans="10:11" x14ac:dyDescent="0.3">
      <c r="J1145" s="2" t="str">
        <f t="shared" si="3"/>
        <v>NO</v>
      </c>
      <c r="K1145" s="2" t="e">
        <f>VLOOKUP(F1145,Munka1!A:A,1,0)</f>
        <v>#N/A</v>
      </c>
    </row>
    <row r="1146" spans="10:11" x14ac:dyDescent="0.3">
      <c r="J1146" s="2" t="str">
        <f t="shared" si="3"/>
        <v>NO</v>
      </c>
      <c r="K1146" s="2" t="e">
        <f>VLOOKUP(F1146,Munka1!A:A,1,0)</f>
        <v>#N/A</v>
      </c>
    </row>
    <row r="1147" spans="10:11" x14ac:dyDescent="0.3">
      <c r="J1147" s="2" t="str">
        <f t="shared" si="3"/>
        <v>NO</v>
      </c>
      <c r="K1147" s="2" t="e">
        <f>VLOOKUP(F1147,Munka1!A:A,1,0)</f>
        <v>#N/A</v>
      </c>
    </row>
    <row r="1148" spans="10:11" x14ac:dyDescent="0.3">
      <c r="J1148" s="2" t="str">
        <f t="shared" si="3"/>
        <v>NO</v>
      </c>
      <c r="K1148" s="2" t="e">
        <f>VLOOKUP(F1148,Munka1!A:A,1,0)</f>
        <v>#N/A</v>
      </c>
    </row>
    <row r="1149" spans="10:11" x14ac:dyDescent="0.3">
      <c r="J1149" s="2" t="str">
        <f t="shared" si="3"/>
        <v>NO</v>
      </c>
      <c r="K1149" s="2" t="e">
        <f>VLOOKUP(F1149,Munka1!A:A,1,0)</f>
        <v>#N/A</v>
      </c>
    </row>
    <row r="1150" spans="10:11" x14ac:dyDescent="0.3">
      <c r="J1150" s="2" t="str">
        <f t="shared" si="3"/>
        <v>NO</v>
      </c>
      <c r="K1150" s="2" t="e">
        <f>VLOOKUP(F1150,Munka1!A:A,1,0)</f>
        <v>#N/A</v>
      </c>
    </row>
    <row r="1151" spans="10:11" x14ac:dyDescent="0.3">
      <c r="J1151" s="2" t="str">
        <f t="shared" si="3"/>
        <v>NO</v>
      </c>
      <c r="K1151" s="2" t="e">
        <f>VLOOKUP(F1151,Munka1!A:A,1,0)</f>
        <v>#N/A</v>
      </c>
    </row>
    <row r="1152" spans="10:11" x14ac:dyDescent="0.3">
      <c r="J1152" s="2" t="str">
        <f t="shared" si="3"/>
        <v>NO</v>
      </c>
      <c r="K1152" s="2" t="e">
        <f>VLOOKUP(F1152,Munka1!A:A,1,0)</f>
        <v>#N/A</v>
      </c>
    </row>
    <row r="1153" spans="10:11" x14ac:dyDescent="0.3">
      <c r="J1153" s="2" t="str">
        <f t="shared" si="3"/>
        <v>NO</v>
      </c>
      <c r="K1153" s="2" t="e">
        <f>VLOOKUP(F1153,Munka1!A:A,1,0)</f>
        <v>#N/A</v>
      </c>
    </row>
    <row r="1154" spans="10:11" x14ac:dyDescent="0.3">
      <c r="J1154" s="2" t="str">
        <f t="shared" si="3"/>
        <v>NO</v>
      </c>
      <c r="K1154" s="2" t="e">
        <f>VLOOKUP(F1154,Munka1!A:A,1,0)</f>
        <v>#N/A</v>
      </c>
    </row>
    <row r="1155" spans="10:11" x14ac:dyDescent="0.3">
      <c r="J1155" s="2" t="str">
        <f t="shared" ref="J1155:J1218" si="4">IF(OR(F1155="",F1155="_",LEFT(F1155,5)="SPARE",F1155="N/A"),"NO","YES")</f>
        <v>NO</v>
      </c>
      <c r="K1155" s="2" t="e">
        <f>VLOOKUP(F1155,Munka1!A:A,1,0)</f>
        <v>#N/A</v>
      </c>
    </row>
    <row r="1156" spans="10:11" x14ac:dyDescent="0.3">
      <c r="J1156" s="2" t="str">
        <f t="shared" si="4"/>
        <v>NO</v>
      </c>
      <c r="K1156" s="2" t="e">
        <f>VLOOKUP(F1156,Munka1!A:A,1,0)</f>
        <v>#N/A</v>
      </c>
    </row>
    <row r="1157" spans="10:11" x14ac:dyDescent="0.3">
      <c r="J1157" s="2" t="str">
        <f t="shared" si="4"/>
        <v>NO</v>
      </c>
      <c r="K1157" s="2" t="e">
        <f>VLOOKUP(F1157,Munka1!A:A,1,0)</f>
        <v>#N/A</v>
      </c>
    </row>
    <row r="1158" spans="10:11" x14ac:dyDescent="0.3">
      <c r="J1158" s="2" t="str">
        <f t="shared" si="4"/>
        <v>NO</v>
      </c>
      <c r="K1158" s="2" t="e">
        <f>VLOOKUP(F1158,Munka1!A:A,1,0)</f>
        <v>#N/A</v>
      </c>
    </row>
    <row r="1159" spans="10:11" x14ac:dyDescent="0.3">
      <c r="J1159" s="2" t="str">
        <f t="shared" si="4"/>
        <v>NO</v>
      </c>
      <c r="K1159" s="2" t="e">
        <f>VLOOKUP(F1159,Munka1!A:A,1,0)</f>
        <v>#N/A</v>
      </c>
    </row>
    <row r="1160" spans="10:11" x14ac:dyDescent="0.3">
      <c r="J1160" s="2" t="str">
        <f t="shared" si="4"/>
        <v>NO</v>
      </c>
      <c r="K1160" s="2" t="e">
        <f>VLOOKUP(F1160,Munka1!A:A,1,0)</f>
        <v>#N/A</v>
      </c>
    </row>
    <row r="1161" spans="10:11" x14ac:dyDescent="0.3">
      <c r="J1161" s="2" t="str">
        <f t="shared" si="4"/>
        <v>NO</v>
      </c>
      <c r="K1161" s="2" t="e">
        <f>VLOOKUP(F1161,Munka1!A:A,1,0)</f>
        <v>#N/A</v>
      </c>
    </row>
    <row r="1162" spans="10:11" x14ac:dyDescent="0.3">
      <c r="J1162" s="2" t="str">
        <f t="shared" si="4"/>
        <v>NO</v>
      </c>
      <c r="K1162" s="2" t="e">
        <f>VLOOKUP(F1162,Munka1!A:A,1,0)</f>
        <v>#N/A</v>
      </c>
    </row>
    <row r="1163" spans="10:11" x14ac:dyDescent="0.3">
      <c r="J1163" s="2" t="str">
        <f t="shared" si="4"/>
        <v>NO</v>
      </c>
      <c r="K1163" s="2" t="e">
        <f>VLOOKUP(F1163,Munka1!A:A,1,0)</f>
        <v>#N/A</v>
      </c>
    </row>
    <row r="1164" spans="10:11" x14ac:dyDescent="0.3">
      <c r="J1164" s="2" t="str">
        <f t="shared" si="4"/>
        <v>NO</v>
      </c>
      <c r="K1164" s="2" t="e">
        <f>VLOOKUP(F1164,Munka1!A:A,1,0)</f>
        <v>#N/A</v>
      </c>
    </row>
    <row r="1165" spans="10:11" x14ac:dyDescent="0.3">
      <c r="J1165" s="2" t="str">
        <f t="shared" si="4"/>
        <v>NO</v>
      </c>
      <c r="K1165" s="2" t="e">
        <f>VLOOKUP(F1165,Munka1!A:A,1,0)</f>
        <v>#N/A</v>
      </c>
    </row>
    <row r="1166" spans="10:11" x14ac:dyDescent="0.3">
      <c r="J1166" s="2" t="str">
        <f t="shared" si="4"/>
        <v>NO</v>
      </c>
      <c r="K1166" s="2" t="e">
        <f>VLOOKUP(F1166,Munka1!A:A,1,0)</f>
        <v>#N/A</v>
      </c>
    </row>
    <row r="1167" spans="10:11" x14ac:dyDescent="0.3">
      <c r="J1167" s="2" t="str">
        <f t="shared" si="4"/>
        <v>NO</v>
      </c>
      <c r="K1167" s="2" t="e">
        <f>VLOOKUP(F1167,Munka1!A:A,1,0)</f>
        <v>#N/A</v>
      </c>
    </row>
    <row r="1168" spans="10:11" x14ac:dyDescent="0.3">
      <c r="J1168" s="2" t="str">
        <f t="shared" si="4"/>
        <v>NO</v>
      </c>
      <c r="K1168" s="2" t="e">
        <f>VLOOKUP(F1168,Munka1!A:A,1,0)</f>
        <v>#N/A</v>
      </c>
    </row>
    <row r="1169" spans="10:11" x14ac:dyDescent="0.3">
      <c r="J1169" s="2" t="str">
        <f t="shared" si="4"/>
        <v>NO</v>
      </c>
      <c r="K1169" s="2" t="e">
        <f>VLOOKUP(F1169,Munka1!A:A,1,0)</f>
        <v>#N/A</v>
      </c>
    </row>
    <row r="1170" spans="10:11" x14ac:dyDescent="0.3">
      <c r="J1170" s="2" t="str">
        <f t="shared" si="4"/>
        <v>NO</v>
      </c>
      <c r="K1170" s="2" t="e">
        <f>VLOOKUP(F1170,Munka1!A:A,1,0)</f>
        <v>#N/A</v>
      </c>
    </row>
    <row r="1171" spans="10:11" x14ac:dyDescent="0.3">
      <c r="J1171" s="2" t="str">
        <f t="shared" si="4"/>
        <v>NO</v>
      </c>
      <c r="K1171" s="2" t="e">
        <f>VLOOKUP(F1171,Munka1!A:A,1,0)</f>
        <v>#N/A</v>
      </c>
    </row>
    <row r="1172" spans="10:11" x14ac:dyDescent="0.3">
      <c r="J1172" s="2" t="str">
        <f t="shared" si="4"/>
        <v>NO</v>
      </c>
      <c r="K1172" s="2" t="e">
        <f>VLOOKUP(F1172,Munka1!A:A,1,0)</f>
        <v>#N/A</v>
      </c>
    </row>
    <row r="1173" spans="10:11" x14ac:dyDescent="0.3">
      <c r="J1173" s="2" t="str">
        <f t="shared" si="4"/>
        <v>NO</v>
      </c>
      <c r="K1173" s="2" t="e">
        <f>VLOOKUP(F1173,Munka1!A:A,1,0)</f>
        <v>#N/A</v>
      </c>
    </row>
    <row r="1174" spans="10:11" x14ac:dyDescent="0.3">
      <c r="J1174" s="2" t="str">
        <f t="shared" si="4"/>
        <v>NO</v>
      </c>
      <c r="K1174" s="2" t="e">
        <f>VLOOKUP(F1174,Munka1!A:A,1,0)</f>
        <v>#N/A</v>
      </c>
    </row>
    <row r="1175" spans="10:11" x14ac:dyDescent="0.3">
      <c r="J1175" s="2" t="str">
        <f t="shared" si="4"/>
        <v>NO</v>
      </c>
      <c r="K1175" s="2" t="e">
        <f>VLOOKUP(F1175,Munka1!A:A,1,0)</f>
        <v>#N/A</v>
      </c>
    </row>
    <row r="1176" spans="10:11" x14ac:dyDescent="0.3">
      <c r="J1176" s="2" t="str">
        <f t="shared" si="4"/>
        <v>NO</v>
      </c>
      <c r="K1176" s="2" t="e">
        <f>VLOOKUP(F1176,Munka1!A:A,1,0)</f>
        <v>#N/A</v>
      </c>
    </row>
    <row r="1177" spans="10:11" x14ac:dyDescent="0.3">
      <c r="J1177" s="2" t="str">
        <f t="shared" si="4"/>
        <v>NO</v>
      </c>
      <c r="K1177" s="2" t="e">
        <f>VLOOKUP(F1177,Munka1!A:A,1,0)</f>
        <v>#N/A</v>
      </c>
    </row>
    <row r="1178" spans="10:11" x14ac:dyDescent="0.3">
      <c r="J1178" s="2" t="str">
        <f t="shared" si="4"/>
        <v>NO</v>
      </c>
      <c r="K1178" s="2" t="e">
        <f>VLOOKUP(F1178,Munka1!A:A,1,0)</f>
        <v>#N/A</v>
      </c>
    </row>
    <row r="1179" spans="10:11" x14ac:dyDescent="0.3">
      <c r="J1179" s="2" t="str">
        <f t="shared" si="4"/>
        <v>NO</v>
      </c>
      <c r="K1179" s="2" t="e">
        <f>VLOOKUP(F1179,Munka1!A:A,1,0)</f>
        <v>#N/A</v>
      </c>
    </row>
    <row r="1180" spans="10:11" x14ac:dyDescent="0.3">
      <c r="J1180" s="2" t="str">
        <f t="shared" si="4"/>
        <v>NO</v>
      </c>
      <c r="K1180" s="2" t="e">
        <f>VLOOKUP(F1180,Munka1!A:A,1,0)</f>
        <v>#N/A</v>
      </c>
    </row>
    <row r="1181" spans="10:11" x14ac:dyDescent="0.3">
      <c r="J1181" s="2" t="str">
        <f t="shared" si="4"/>
        <v>NO</v>
      </c>
      <c r="K1181" s="2" t="e">
        <f>VLOOKUP(F1181,Munka1!A:A,1,0)</f>
        <v>#N/A</v>
      </c>
    </row>
    <row r="1182" spans="10:11" x14ac:dyDescent="0.3">
      <c r="J1182" s="2" t="str">
        <f t="shared" si="4"/>
        <v>NO</v>
      </c>
      <c r="K1182" s="2" t="e">
        <f>VLOOKUP(F1182,Munka1!A:A,1,0)</f>
        <v>#N/A</v>
      </c>
    </row>
    <row r="1183" spans="10:11" x14ac:dyDescent="0.3">
      <c r="J1183" s="2" t="str">
        <f t="shared" si="4"/>
        <v>NO</v>
      </c>
      <c r="K1183" s="2" t="e">
        <f>VLOOKUP(F1183,Munka1!A:A,1,0)</f>
        <v>#N/A</v>
      </c>
    </row>
    <row r="1184" spans="10:11" x14ac:dyDescent="0.3">
      <c r="J1184" s="2" t="str">
        <f t="shared" si="4"/>
        <v>NO</v>
      </c>
      <c r="K1184" s="2" t="e">
        <f>VLOOKUP(F1184,Munka1!A:A,1,0)</f>
        <v>#N/A</v>
      </c>
    </row>
    <row r="1185" spans="10:11" x14ac:dyDescent="0.3">
      <c r="J1185" s="2" t="str">
        <f t="shared" si="4"/>
        <v>NO</v>
      </c>
      <c r="K1185" s="2" t="e">
        <f>VLOOKUP(F1185,Munka1!A:A,1,0)</f>
        <v>#N/A</v>
      </c>
    </row>
    <row r="1186" spans="10:11" x14ac:dyDescent="0.3">
      <c r="J1186" s="2" t="str">
        <f t="shared" si="4"/>
        <v>NO</v>
      </c>
      <c r="K1186" s="2" t="e">
        <f>VLOOKUP(F1186,Munka1!A:A,1,0)</f>
        <v>#N/A</v>
      </c>
    </row>
    <row r="1187" spans="10:11" x14ac:dyDescent="0.3">
      <c r="J1187" s="2" t="str">
        <f t="shared" si="4"/>
        <v>NO</v>
      </c>
      <c r="K1187" s="2" t="e">
        <f>VLOOKUP(F1187,Munka1!A:A,1,0)</f>
        <v>#N/A</v>
      </c>
    </row>
    <row r="1188" spans="10:11" x14ac:dyDescent="0.3">
      <c r="J1188" s="2" t="str">
        <f t="shared" si="4"/>
        <v>NO</v>
      </c>
      <c r="K1188" s="2" t="e">
        <f>VLOOKUP(F1188,Munka1!A:A,1,0)</f>
        <v>#N/A</v>
      </c>
    </row>
    <row r="1189" spans="10:11" x14ac:dyDescent="0.3">
      <c r="J1189" s="2" t="str">
        <f t="shared" si="4"/>
        <v>NO</v>
      </c>
      <c r="K1189" s="2" t="e">
        <f>VLOOKUP(F1189,Munka1!A:A,1,0)</f>
        <v>#N/A</v>
      </c>
    </row>
    <row r="1190" spans="10:11" x14ac:dyDescent="0.3">
      <c r="J1190" s="2" t="str">
        <f t="shared" si="4"/>
        <v>NO</v>
      </c>
      <c r="K1190" s="2" t="e">
        <f>VLOOKUP(F1190,Munka1!A:A,1,0)</f>
        <v>#N/A</v>
      </c>
    </row>
    <row r="1191" spans="10:11" x14ac:dyDescent="0.3">
      <c r="J1191" s="2" t="str">
        <f t="shared" si="4"/>
        <v>NO</v>
      </c>
      <c r="K1191" s="2" t="e">
        <f>VLOOKUP(F1191,Munka1!A:A,1,0)</f>
        <v>#N/A</v>
      </c>
    </row>
    <row r="1192" spans="10:11" x14ac:dyDescent="0.3">
      <c r="J1192" s="2" t="str">
        <f t="shared" si="4"/>
        <v>NO</v>
      </c>
      <c r="K1192" s="2" t="e">
        <f>VLOOKUP(F1192,Munka1!A:A,1,0)</f>
        <v>#N/A</v>
      </c>
    </row>
    <row r="1193" spans="10:11" x14ac:dyDescent="0.3">
      <c r="J1193" s="2" t="str">
        <f t="shared" si="4"/>
        <v>NO</v>
      </c>
      <c r="K1193" s="2" t="e">
        <f>VLOOKUP(F1193,Munka1!A:A,1,0)</f>
        <v>#N/A</v>
      </c>
    </row>
    <row r="1194" spans="10:11" x14ac:dyDescent="0.3">
      <c r="J1194" s="2" t="str">
        <f t="shared" si="4"/>
        <v>NO</v>
      </c>
      <c r="K1194" s="2" t="e">
        <f>VLOOKUP(F1194,Munka1!A:A,1,0)</f>
        <v>#N/A</v>
      </c>
    </row>
    <row r="1195" spans="10:11" x14ac:dyDescent="0.3">
      <c r="J1195" s="2" t="str">
        <f t="shared" si="4"/>
        <v>NO</v>
      </c>
      <c r="K1195" s="2" t="e">
        <f>VLOOKUP(F1195,Munka1!A:A,1,0)</f>
        <v>#N/A</v>
      </c>
    </row>
    <row r="1196" spans="10:11" x14ac:dyDescent="0.3">
      <c r="J1196" s="2" t="str">
        <f t="shared" si="4"/>
        <v>NO</v>
      </c>
      <c r="K1196" s="2" t="e">
        <f>VLOOKUP(F1196,Munka1!A:A,1,0)</f>
        <v>#N/A</v>
      </c>
    </row>
    <row r="1197" spans="10:11" x14ac:dyDescent="0.3">
      <c r="J1197" s="2" t="str">
        <f t="shared" si="4"/>
        <v>NO</v>
      </c>
      <c r="K1197" s="2" t="e">
        <f>VLOOKUP(F1197,Munka1!A:A,1,0)</f>
        <v>#N/A</v>
      </c>
    </row>
    <row r="1198" spans="10:11" x14ac:dyDescent="0.3">
      <c r="J1198" s="2" t="str">
        <f t="shared" si="4"/>
        <v>NO</v>
      </c>
      <c r="K1198" s="2" t="e">
        <f>VLOOKUP(F1198,Munka1!A:A,1,0)</f>
        <v>#N/A</v>
      </c>
    </row>
    <row r="1199" spans="10:11" x14ac:dyDescent="0.3">
      <c r="J1199" s="2" t="str">
        <f t="shared" si="4"/>
        <v>NO</v>
      </c>
      <c r="K1199" s="2" t="e">
        <f>VLOOKUP(F1199,Munka1!A:A,1,0)</f>
        <v>#N/A</v>
      </c>
    </row>
    <row r="1200" spans="10:11" x14ac:dyDescent="0.3">
      <c r="J1200" s="2" t="str">
        <f t="shared" si="4"/>
        <v>NO</v>
      </c>
      <c r="K1200" s="2" t="e">
        <f>VLOOKUP(F1200,Munka1!A:A,1,0)</f>
        <v>#N/A</v>
      </c>
    </row>
    <row r="1201" spans="10:11" x14ac:dyDescent="0.3">
      <c r="J1201" s="2" t="str">
        <f t="shared" si="4"/>
        <v>NO</v>
      </c>
      <c r="K1201" s="2" t="e">
        <f>VLOOKUP(F1201,Munka1!A:A,1,0)</f>
        <v>#N/A</v>
      </c>
    </row>
    <row r="1202" spans="10:11" x14ac:dyDescent="0.3">
      <c r="J1202" s="2" t="str">
        <f t="shared" si="4"/>
        <v>NO</v>
      </c>
      <c r="K1202" s="2" t="e">
        <f>VLOOKUP(F1202,Munka1!A:A,1,0)</f>
        <v>#N/A</v>
      </c>
    </row>
    <row r="1203" spans="10:11" x14ac:dyDescent="0.3">
      <c r="J1203" s="2" t="str">
        <f t="shared" si="4"/>
        <v>NO</v>
      </c>
      <c r="K1203" s="2" t="e">
        <f>VLOOKUP(F1203,Munka1!A:A,1,0)</f>
        <v>#N/A</v>
      </c>
    </row>
    <row r="1204" spans="10:11" x14ac:dyDescent="0.3">
      <c r="J1204" s="2" t="str">
        <f t="shared" si="4"/>
        <v>NO</v>
      </c>
      <c r="K1204" s="2" t="e">
        <f>VLOOKUP(F1204,Munka1!A:A,1,0)</f>
        <v>#N/A</v>
      </c>
    </row>
    <row r="1205" spans="10:11" x14ac:dyDescent="0.3">
      <c r="J1205" s="2" t="str">
        <f t="shared" si="4"/>
        <v>NO</v>
      </c>
      <c r="K1205" s="2" t="e">
        <f>VLOOKUP(F1205,Munka1!A:A,1,0)</f>
        <v>#N/A</v>
      </c>
    </row>
    <row r="1206" spans="10:11" x14ac:dyDescent="0.3">
      <c r="J1206" s="2" t="str">
        <f t="shared" si="4"/>
        <v>NO</v>
      </c>
      <c r="K1206" s="2" t="e">
        <f>VLOOKUP(F1206,Munka1!A:A,1,0)</f>
        <v>#N/A</v>
      </c>
    </row>
    <row r="1207" spans="10:11" x14ac:dyDescent="0.3">
      <c r="J1207" s="2" t="str">
        <f t="shared" si="4"/>
        <v>NO</v>
      </c>
      <c r="K1207" s="2" t="e">
        <f>VLOOKUP(F1207,Munka1!A:A,1,0)</f>
        <v>#N/A</v>
      </c>
    </row>
    <row r="1208" spans="10:11" x14ac:dyDescent="0.3">
      <c r="J1208" s="2" t="str">
        <f t="shared" si="4"/>
        <v>NO</v>
      </c>
      <c r="K1208" s="2" t="e">
        <f>VLOOKUP(F1208,Munka1!A:A,1,0)</f>
        <v>#N/A</v>
      </c>
    </row>
    <row r="1209" spans="10:11" x14ac:dyDescent="0.3">
      <c r="J1209" s="2" t="str">
        <f t="shared" si="4"/>
        <v>NO</v>
      </c>
      <c r="K1209" s="2" t="e">
        <f>VLOOKUP(F1209,Munka1!A:A,1,0)</f>
        <v>#N/A</v>
      </c>
    </row>
    <row r="1210" spans="10:11" x14ac:dyDescent="0.3">
      <c r="J1210" s="2" t="str">
        <f t="shared" si="4"/>
        <v>NO</v>
      </c>
      <c r="K1210" s="2" t="e">
        <f>VLOOKUP(F1210,Munka1!A:A,1,0)</f>
        <v>#N/A</v>
      </c>
    </row>
    <row r="1211" spans="10:11" x14ac:dyDescent="0.3">
      <c r="J1211" s="2" t="str">
        <f t="shared" si="4"/>
        <v>NO</v>
      </c>
      <c r="K1211" s="2" t="e">
        <f>VLOOKUP(F1211,Munka1!A:A,1,0)</f>
        <v>#N/A</v>
      </c>
    </row>
    <row r="1212" spans="10:11" x14ac:dyDescent="0.3">
      <c r="J1212" s="2" t="str">
        <f t="shared" si="4"/>
        <v>NO</v>
      </c>
      <c r="K1212" s="2" t="e">
        <f>VLOOKUP(F1212,Munka1!A:A,1,0)</f>
        <v>#N/A</v>
      </c>
    </row>
    <row r="1213" spans="10:11" x14ac:dyDescent="0.3">
      <c r="J1213" s="2" t="str">
        <f t="shared" si="4"/>
        <v>NO</v>
      </c>
      <c r="K1213" s="2" t="e">
        <f>VLOOKUP(F1213,Munka1!A:A,1,0)</f>
        <v>#N/A</v>
      </c>
    </row>
    <row r="1214" spans="10:11" x14ac:dyDescent="0.3">
      <c r="J1214" s="2" t="str">
        <f t="shared" si="4"/>
        <v>NO</v>
      </c>
      <c r="K1214" s="2" t="e">
        <f>VLOOKUP(F1214,Munka1!A:A,1,0)</f>
        <v>#N/A</v>
      </c>
    </row>
    <row r="1215" spans="10:11" x14ac:dyDescent="0.3">
      <c r="J1215" s="2" t="str">
        <f t="shared" si="4"/>
        <v>NO</v>
      </c>
      <c r="K1215" s="2" t="e">
        <f>VLOOKUP(F1215,Munka1!A:A,1,0)</f>
        <v>#N/A</v>
      </c>
    </row>
    <row r="1216" spans="10:11" x14ac:dyDescent="0.3">
      <c r="J1216" s="2" t="str">
        <f t="shared" si="4"/>
        <v>NO</v>
      </c>
      <c r="K1216" s="2" t="e">
        <f>VLOOKUP(F1216,Munka1!A:A,1,0)</f>
        <v>#N/A</v>
      </c>
    </row>
    <row r="1217" spans="10:11" x14ac:dyDescent="0.3">
      <c r="J1217" s="2" t="str">
        <f t="shared" si="4"/>
        <v>NO</v>
      </c>
      <c r="K1217" s="2" t="e">
        <f>VLOOKUP(F1217,Munka1!A:A,1,0)</f>
        <v>#N/A</v>
      </c>
    </row>
    <row r="1218" spans="10:11" x14ac:dyDescent="0.3">
      <c r="J1218" s="2" t="str">
        <f t="shared" si="4"/>
        <v>NO</v>
      </c>
      <c r="K1218" s="2" t="e">
        <f>VLOOKUP(F1218,Munka1!A:A,1,0)</f>
        <v>#N/A</v>
      </c>
    </row>
    <row r="1219" spans="10:11" x14ac:dyDescent="0.3">
      <c r="J1219" s="2" t="str">
        <f t="shared" ref="J1219:J1282" si="5">IF(OR(F1219="",F1219="_",LEFT(F1219,5)="SPARE",F1219="N/A"),"NO","YES")</f>
        <v>NO</v>
      </c>
      <c r="K1219" s="2" t="e">
        <f>VLOOKUP(F1219,Munka1!A:A,1,0)</f>
        <v>#N/A</v>
      </c>
    </row>
    <row r="1220" spans="10:11" x14ac:dyDescent="0.3">
      <c r="J1220" s="2" t="str">
        <f t="shared" si="5"/>
        <v>NO</v>
      </c>
      <c r="K1220" s="2" t="e">
        <f>VLOOKUP(F1220,Munka1!A:A,1,0)</f>
        <v>#N/A</v>
      </c>
    </row>
    <row r="1221" spans="10:11" x14ac:dyDescent="0.3">
      <c r="J1221" s="2" t="str">
        <f t="shared" si="5"/>
        <v>NO</v>
      </c>
      <c r="K1221" s="2" t="e">
        <f>VLOOKUP(F1221,Munka1!A:A,1,0)</f>
        <v>#N/A</v>
      </c>
    </row>
    <row r="1222" spans="10:11" x14ac:dyDescent="0.3">
      <c r="J1222" s="2" t="str">
        <f t="shared" si="5"/>
        <v>NO</v>
      </c>
      <c r="K1222" s="2" t="e">
        <f>VLOOKUP(F1222,Munka1!A:A,1,0)</f>
        <v>#N/A</v>
      </c>
    </row>
    <row r="1223" spans="10:11" x14ac:dyDescent="0.3">
      <c r="J1223" s="2" t="str">
        <f t="shared" si="5"/>
        <v>NO</v>
      </c>
      <c r="K1223" s="2" t="e">
        <f>VLOOKUP(F1223,Munka1!A:A,1,0)</f>
        <v>#N/A</v>
      </c>
    </row>
    <row r="1224" spans="10:11" x14ac:dyDescent="0.3">
      <c r="J1224" s="2" t="str">
        <f t="shared" si="5"/>
        <v>NO</v>
      </c>
      <c r="K1224" s="2" t="e">
        <f>VLOOKUP(F1224,Munka1!A:A,1,0)</f>
        <v>#N/A</v>
      </c>
    </row>
    <row r="1225" spans="10:11" x14ac:dyDescent="0.3">
      <c r="J1225" s="2" t="str">
        <f t="shared" si="5"/>
        <v>NO</v>
      </c>
      <c r="K1225" s="2" t="e">
        <f>VLOOKUP(F1225,Munka1!A:A,1,0)</f>
        <v>#N/A</v>
      </c>
    </row>
    <row r="1226" spans="10:11" x14ac:dyDescent="0.3">
      <c r="J1226" s="2" t="str">
        <f t="shared" si="5"/>
        <v>NO</v>
      </c>
      <c r="K1226" s="2" t="e">
        <f>VLOOKUP(F1226,Munka1!A:A,1,0)</f>
        <v>#N/A</v>
      </c>
    </row>
    <row r="1227" spans="10:11" x14ac:dyDescent="0.3">
      <c r="J1227" s="2" t="str">
        <f t="shared" si="5"/>
        <v>NO</v>
      </c>
      <c r="K1227" s="2" t="e">
        <f>VLOOKUP(F1227,Munka1!A:A,1,0)</f>
        <v>#N/A</v>
      </c>
    </row>
    <row r="1228" spans="10:11" x14ac:dyDescent="0.3">
      <c r="J1228" s="2" t="str">
        <f t="shared" si="5"/>
        <v>NO</v>
      </c>
      <c r="K1228" s="2" t="e">
        <f>VLOOKUP(F1228,Munka1!A:A,1,0)</f>
        <v>#N/A</v>
      </c>
    </row>
    <row r="1229" spans="10:11" x14ac:dyDescent="0.3">
      <c r="J1229" s="2" t="str">
        <f t="shared" si="5"/>
        <v>NO</v>
      </c>
      <c r="K1229" s="2" t="e">
        <f>VLOOKUP(F1229,Munka1!A:A,1,0)</f>
        <v>#N/A</v>
      </c>
    </row>
    <row r="1230" spans="10:11" x14ac:dyDescent="0.3">
      <c r="J1230" s="2" t="str">
        <f t="shared" si="5"/>
        <v>NO</v>
      </c>
      <c r="K1230" s="2" t="e">
        <f>VLOOKUP(F1230,Munka1!A:A,1,0)</f>
        <v>#N/A</v>
      </c>
    </row>
    <row r="1231" spans="10:11" x14ac:dyDescent="0.3">
      <c r="J1231" s="2" t="str">
        <f t="shared" si="5"/>
        <v>NO</v>
      </c>
      <c r="K1231" s="2" t="e">
        <f>VLOOKUP(F1231,Munka1!A:A,1,0)</f>
        <v>#N/A</v>
      </c>
    </row>
    <row r="1232" spans="10:11" x14ac:dyDescent="0.3">
      <c r="J1232" s="2" t="str">
        <f t="shared" si="5"/>
        <v>NO</v>
      </c>
      <c r="K1232" s="2" t="e">
        <f>VLOOKUP(F1232,Munka1!A:A,1,0)</f>
        <v>#N/A</v>
      </c>
    </row>
    <row r="1233" spans="10:11" x14ac:dyDescent="0.3">
      <c r="J1233" s="2" t="str">
        <f t="shared" si="5"/>
        <v>NO</v>
      </c>
      <c r="K1233" s="2" t="e">
        <f>VLOOKUP(F1233,Munka1!A:A,1,0)</f>
        <v>#N/A</v>
      </c>
    </row>
    <row r="1234" spans="10:11" x14ac:dyDescent="0.3">
      <c r="J1234" s="2" t="str">
        <f t="shared" si="5"/>
        <v>NO</v>
      </c>
      <c r="K1234" s="2" t="e">
        <f>VLOOKUP(F1234,Munka1!A:A,1,0)</f>
        <v>#N/A</v>
      </c>
    </row>
    <row r="1235" spans="10:11" x14ac:dyDescent="0.3">
      <c r="J1235" s="2" t="str">
        <f t="shared" si="5"/>
        <v>NO</v>
      </c>
      <c r="K1235" s="2" t="e">
        <f>VLOOKUP(F1235,Munka1!A:A,1,0)</f>
        <v>#N/A</v>
      </c>
    </row>
    <row r="1236" spans="10:11" x14ac:dyDescent="0.3">
      <c r="J1236" s="2" t="str">
        <f t="shared" si="5"/>
        <v>NO</v>
      </c>
      <c r="K1236" s="2" t="e">
        <f>VLOOKUP(F1236,Munka1!A:A,1,0)</f>
        <v>#N/A</v>
      </c>
    </row>
    <row r="1237" spans="10:11" x14ac:dyDescent="0.3">
      <c r="J1237" s="2" t="str">
        <f t="shared" si="5"/>
        <v>NO</v>
      </c>
      <c r="K1237" s="2" t="e">
        <f>VLOOKUP(F1237,Munka1!A:A,1,0)</f>
        <v>#N/A</v>
      </c>
    </row>
    <row r="1238" spans="10:11" x14ac:dyDescent="0.3">
      <c r="J1238" s="2" t="str">
        <f t="shared" si="5"/>
        <v>NO</v>
      </c>
      <c r="K1238" s="2" t="e">
        <f>VLOOKUP(F1238,Munka1!A:A,1,0)</f>
        <v>#N/A</v>
      </c>
    </row>
    <row r="1239" spans="10:11" x14ac:dyDescent="0.3">
      <c r="J1239" s="2" t="str">
        <f t="shared" si="5"/>
        <v>NO</v>
      </c>
      <c r="K1239" s="2" t="e">
        <f>VLOOKUP(F1239,Munka1!A:A,1,0)</f>
        <v>#N/A</v>
      </c>
    </row>
    <row r="1240" spans="10:11" x14ac:dyDescent="0.3">
      <c r="J1240" s="2" t="str">
        <f t="shared" si="5"/>
        <v>NO</v>
      </c>
      <c r="K1240" s="2" t="e">
        <f>VLOOKUP(F1240,Munka1!A:A,1,0)</f>
        <v>#N/A</v>
      </c>
    </row>
    <row r="1241" spans="10:11" x14ac:dyDescent="0.3">
      <c r="J1241" s="2" t="str">
        <f t="shared" si="5"/>
        <v>NO</v>
      </c>
      <c r="K1241" s="2" t="e">
        <f>VLOOKUP(F1241,Munka1!A:A,1,0)</f>
        <v>#N/A</v>
      </c>
    </row>
    <row r="1242" spans="10:11" x14ac:dyDescent="0.3">
      <c r="J1242" s="2" t="str">
        <f t="shared" si="5"/>
        <v>NO</v>
      </c>
      <c r="K1242" s="2" t="e">
        <f>VLOOKUP(F1242,Munka1!A:A,1,0)</f>
        <v>#N/A</v>
      </c>
    </row>
    <row r="1243" spans="10:11" x14ac:dyDescent="0.3">
      <c r="J1243" s="2" t="str">
        <f t="shared" si="5"/>
        <v>NO</v>
      </c>
      <c r="K1243" s="2" t="e">
        <f>VLOOKUP(F1243,Munka1!A:A,1,0)</f>
        <v>#N/A</v>
      </c>
    </row>
    <row r="1244" spans="10:11" x14ac:dyDescent="0.3">
      <c r="J1244" s="2" t="str">
        <f t="shared" si="5"/>
        <v>NO</v>
      </c>
      <c r="K1244" s="2" t="e">
        <f>VLOOKUP(F1244,Munka1!A:A,1,0)</f>
        <v>#N/A</v>
      </c>
    </row>
    <row r="1245" spans="10:11" x14ac:dyDescent="0.3">
      <c r="J1245" s="2" t="str">
        <f t="shared" si="5"/>
        <v>NO</v>
      </c>
      <c r="K1245" s="2" t="e">
        <f>VLOOKUP(F1245,Munka1!A:A,1,0)</f>
        <v>#N/A</v>
      </c>
    </row>
    <row r="1246" spans="10:11" x14ac:dyDescent="0.3">
      <c r="J1246" s="2" t="str">
        <f t="shared" si="5"/>
        <v>NO</v>
      </c>
      <c r="K1246" s="2" t="e">
        <f>VLOOKUP(F1246,Munka1!A:A,1,0)</f>
        <v>#N/A</v>
      </c>
    </row>
    <row r="1247" spans="10:11" x14ac:dyDescent="0.3">
      <c r="J1247" s="2" t="str">
        <f t="shared" si="5"/>
        <v>NO</v>
      </c>
      <c r="K1247" s="2" t="e">
        <f>VLOOKUP(F1247,Munka1!A:A,1,0)</f>
        <v>#N/A</v>
      </c>
    </row>
    <row r="1248" spans="10:11" x14ac:dyDescent="0.3">
      <c r="J1248" s="2" t="str">
        <f t="shared" si="5"/>
        <v>NO</v>
      </c>
      <c r="K1248" s="2" t="e">
        <f>VLOOKUP(F1248,Munka1!A:A,1,0)</f>
        <v>#N/A</v>
      </c>
    </row>
    <row r="1249" spans="10:11" x14ac:dyDescent="0.3">
      <c r="J1249" s="2" t="str">
        <f t="shared" si="5"/>
        <v>NO</v>
      </c>
      <c r="K1249" s="2" t="e">
        <f>VLOOKUP(F1249,Munka1!A:A,1,0)</f>
        <v>#N/A</v>
      </c>
    </row>
    <row r="1250" spans="10:11" x14ac:dyDescent="0.3">
      <c r="J1250" s="2" t="str">
        <f t="shared" si="5"/>
        <v>NO</v>
      </c>
      <c r="K1250" s="2" t="e">
        <f>VLOOKUP(F1250,Munka1!A:A,1,0)</f>
        <v>#N/A</v>
      </c>
    </row>
    <row r="1251" spans="10:11" x14ac:dyDescent="0.3">
      <c r="J1251" s="2" t="str">
        <f t="shared" si="5"/>
        <v>NO</v>
      </c>
      <c r="K1251" s="2" t="e">
        <f>VLOOKUP(F1251,Munka1!A:A,1,0)</f>
        <v>#N/A</v>
      </c>
    </row>
    <row r="1252" spans="10:11" x14ac:dyDescent="0.3">
      <c r="J1252" s="2" t="str">
        <f t="shared" si="5"/>
        <v>NO</v>
      </c>
      <c r="K1252" s="2" t="e">
        <f>VLOOKUP(F1252,Munka1!A:A,1,0)</f>
        <v>#N/A</v>
      </c>
    </row>
    <row r="1253" spans="10:11" x14ac:dyDescent="0.3">
      <c r="J1253" s="2" t="str">
        <f t="shared" si="5"/>
        <v>NO</v>
      </c>
      <c r="K1253" s="2" t="e">
        <f>VLOOKUP(F1253,Munka1!A:A,1,0)</f>
        <v>#N/A</v>
      </c>
    </row>
    <row r="1254" spans="10:11" x14ac:dyDescent="0.3">
      <c r="J1254" s="2" t="str">
        <f t="shared" si="5"/>
        <v>NO</v>
      </c>
      <c r="K1254" s="2" t="e">
        <f>VLOOKUP(F1254,Munka1!A:A,1,0)</f>
        <v>#N/A</v>
      </c>
    </row>
    <row r="1255" spans="10:11" x14ac:dyDescent="0.3">
      <c r="J1255" s="2" t="str">
        <f t="shared" si="5"/>
        <v>NO</v>
      </c>
      <c r="K1255" s="2" t="e">
        <f>VLOOKUP(F1255,Munka1!A:A,1,0)</f>
        <v>#N/A</v>
      </c>
    </row>
    <row r="1256" spans="10:11" x14ac:dyDescent="0.3">
      <c r="J1256" s="2" t="str">
        <f t="shared" si="5"/>
        <v>NO</v>
      </c>
      <c r="K1256" s="2" t="e">
        <f>VLOOKUP(F1256,Munka1!A:A,1,0)</f>
        <v>#N/A</v>
      </c>
    </row>
    <row r="1257" spans="10:11" x14ac:dyDescent="0.3">
      <c r="J1257" s="2" t="str">
        <f t="shared" si="5"/>
        <v>NO</v>
      </c>
      <c r="K1257" s="2" t="e">
        <f>VLOOKUP(F1257,Munka1!A:A,1,0)</f>
        <v>#N/A</v>
      </c>
    </row>
    <row r="1258" spans="10:11" x14ac:dyDescent="0.3">
      <c r="J1258" s="2" t="str">
        <f t="shared" si="5"/>
        <v>NO</v>
      </c>
      <c r="K1258" s="2" t="e">
        <f>VLOOKUP(F1258,Munka1!A:A,1,0)</f>
        <v>#N/A</v>
      </c>
    </row>
    <row r="1259" spans="10:11" x14ac:dyDescent="0.3">
      <c r="J1259" s="2" t="str">
        <f t="shared" si="5"/>
        <v>NO</v>
      </c>
      <c r="K1259" s="2" t="e">
        <f>VLOOKUP(F1259,Munka1!A:A,1,0)</f>
        <v>#N/A</v>
      </c>
    </row>
    <row r="1260" spans="10:11" x14ac:dyDescent="0.3">
      <c r="J1260" s="2" t="str">
        <f t="shared" si="5"/>
        <v>NO</v>
      </c>
      <c r="K1260" s="2" t="e">
        <f>VLOOKUP(F1260,Munka1!A:A,1,0)</f>
        <v>#N/A</v>
      </c>
    </row>
    <row r="1261" spans="10:11" x14ac:dyDescent="0.3">
      <c r="J1261" s="2" t="str">
        <f t="shared" si="5"/>
        <v>NO</v>
      </c>
      <c r="K1261" s="2" t="e">
        <f>VLOOKUP(F1261,Munka1!A:A,1,0)</f>
        <v>#N/A</v>
      </c>
    </row>
    <row r="1262" spans="10:11" x14ac:dyDescent="0.3">
      <c r="J1262" s="2" t="str">
        <f t="shared" si="5"/>
        <v>NO</v>
      </c>
      <c r="K1262" s="2" t="e">
        <f>VLOOKUP(F1262,Munka1!A:A,1,0)</f>
        <v>#N/A</v>
      </c>
    </row>
    <row r="1263" spans="10:11" x14ac:dyDescent="0.3">
      <c r="J1263" s="2" t="str">
        <f t="shared" si="5"/>
        <v>NO</v>
      </c>
      <c r="K1263" s="2" t="e">
        <f>VLOOKUP(F1263,Munka1!A:A,1,0)</f>
        <v>#N/A</v>
      </c>
    </row>
    <row r="1264" spans="10:11" x14ac:dyDescent="0.3">
      <c r="J1264" s="2" t="str">
        <f t="shared" si="5"/>
        <v>NO</v>
      </c>
      <c r="K1264" s="2" t="e">
        <f>VLOOKUP(F1264,Munka1!A:A,1,0)</f>
        <v>#N/A</v>
      </c>
    </row>
    <row r="1265" spans="10:11" x14ac:dyDescent="0.3">
      <c r="J1265" s="2" t="str">
        <f t="shared" si="5"/>
        <v>NO</v>
      </c>
      <c r="K1265" s="2" t="e">
        <f>VLOOKUP(F1265,Munka1!A:A,1,0)</f>
        <v>#N/A</v>
      </c>
    </row>
    <row r="1266" spans="10:11" x14ac:dyDescent="0.3">
      <c r="J1266" s="2" t="str">
        <f t="shared" si="5"/>
        <v>NO</v>
      </c>
      <c r="K1266" s="2" t="e">
        <f>VLOOKUP(F1266,Munka1!A:A,1,0)</f>
        <v>#N/A</v>
      </c>
    </row>
    <row r="1267" spans="10:11" x14ac:dyDescent="0.3">
      <c r="J1267" s="2" t="str">
        <f t="shared" si="5"/>
        <v>NO</v>
      </c>
      <c r="K1267" s="2" t="e">
        <f>VLOOKUP(F1267,Munka1!A:A,1,0)</f>
        <v>#N/A</v>
      </c>
    </row>
    <row r="1268" spans="10:11" x14ac:dyDescent="0.3">
      <c r="J1268" s="2" t="str">
        <f t="shared" si="5"/>
        <v>NO</v>
      </c>
      <c r="K1268" s="2" t="e">
        <f>VLOOKUP(F1268,Munka1!A:A,1,0)</f>
        <v>#N/A</v>
      </c>
    </row>
    <row r="1269" spans="10:11" x14ac:dyDescent="0.3">
      <c r="J1269" s="2" t="str">
        <f t="shared" si="5"/>
        <v>NO</v>
      </c>
      <c r="K1269" s="2" t="e">
        <f>VLOOKUP(F1269,Munka1!A:A,1,0)</f>
        <v>#N/A</v>
      </c>
    </row>
    <row r="1270" spans="10:11" x14ac:dyDescent="0.3">
      <c r="J1270" s="2" t="str">
        <f t="shared" si="5"/>
        <v>NO</v>
      </c>
      <c r="K1270" s="2" t="e">
        <f>VLOOKUP(F1270,Munka1!A:A,1,0)</f>
        <v>#N/A</v>
      </c>
    </row>
    <row r="1271" spans="10:11" x14ac:dyDescent="0.3">
      <c r="J1271" s="2" t="str">
        <f t="shared" si="5"/>
        <v>NO</v>
      </c>
      <c r="K1271" s="2" t="e">
        <f>VLOOKUP(F1271,Munka1!A:A,1,0)</f>
        <v>#N/A</v>
      </c>
    </row>
    <row r="1272" spans="10:11" x14ac:dyDescent="0.3">
      <c r="J1272" s="2" t="str">
        <f t="shared" si="5"/>
        <v>NO</v>
      </c>
      <c r="K1272" s="2" t="e">
        <f>VLOOKUP(F1272,Munka1!A:A,1,0)</f>
        <v>#N/A</v>
      </c>
    </row>
    <row r="1273" spans="10:11" x14ac:dyDescent="0.3">
      <c r="J1273" s="2" t="str">
        <f t="shared" si="5"/>
        <v>NO</v>
      </c>
      <c r="K1273" s="2" t="e">
        <f>VLOOKUP(F1273,Munka1!A:A,1,0)</f>
        <v>#N/A</v>
      </c>
    </row>
    <row r="1274" spans="10:11" x14ac:dyDescent="0.3">
      <c r="J1274" s="2" t="str">
        <f t="shared" si="5"/>
        <v>NO</v>
      </c>
      <c r="K1274" s="2" t="e">
        <f>VLOOKUP(F1274,Munka1!A:A,1,0)</f>
        <v>#N/A</v>
      </c>
    </row>
    <row r="1275" spans="10:11" x14ac:dyDescent="0.3">
      <c r="J1275" s="2" t="str">
        <f t="shared" si="5"/>
        <v>NO</v>
      </c>
      <c r="K1275" s="2" t="e">
        <f>VLOOKUP(F1275,Munka1!A:A,1,0)</f>
        <v>#N/A</v>
      </c>
    </row>
    <row r="1276" spans="10:11" x14ac:dyDescent="0.3">
      <c r="J1276" s="2" t="str">
        <f t="shared" si="5"/>
        <v>NO</v>
      </c>
      <c r="K1276" s="2" t="e">
        <f>VLOOKUP(F1276,Munka1!A:A,1,0)</f>
        <v>#N/A</v>
      </c>
    </row>
    <row r="1277" spans="10:11" x14ac:dyDescent="0.3">
      <c r="J1277" s="2" t="str">
        <f t="shared" si="5"/>
        <v>NO</v>
      </c>
      <c r="K1277" s="2" t="e">
        <f>VLOOKUP(F1277,Munka1!A:A,1,0)</f>
        <v>#N/A</v>
      </c>
    </row>
    <row r="1278" spans="10:11" x14ac:dyDescent="0.3">
      <c r="J1278" s="2" t="str">
        <f t="shared" si="5"/>
        <v>NO</v>
      </c>
      <c r="K1278" s="2" t="e">
        <f>VLOOKUP(F1278,Munka1!A:A,1,0)</f>
        <v>#N/A</v>
      </c>
    </row>
    <row r="1279" spans="10:11" x14ac:dyDescent="0.3">
      <c r="J1279" s="2" t="str">
        <f t="shared" si="5"/>
        <v>NO</v>
      </c>
      <c r="K1279" s="2" t="e">
        <f>VLOOKUP(F1279,Munka1!A:A,1,0)</f>
        <v>#N/A</v>
      </c>
    </row>
    <row r="1280" spans="10:11" x14ac:dyDescent="0.3">
      <c r="J1280" s="2" t="str">
        <f t="shared" si="5"/>
        <v>NO</v>
      </c>
      <c r="K1280" s="2" t="e">
        <f>VLOOKUP(F1280,Munka1!A:A,1,0)</f>
        <v>#N/A</v>
      </c>
    </row>
    <row r="1281" spans="10:11" x14ac:dyDescent="0.3">
      <c r="J1281" s="2" t="str">
        <f t="shared" si="5"/>
        <v>NO</v>
      </c>
      <c r="K1281" s="2" t="e">
        <f>VLOOKUP(F1281,Munka1!A:A,1,0)</f>
        <v>#N/A</v>
      </c>
    </row>
    <row r="1282" spans="10:11" x14ac:dyDescent="0.3">
      <c r="J1282" s="2" t="str">
        <f t="shared" si="5"/>
        <v>NO</v>
      </c>
      <c r="K1282" s="2" t="e">
        <f>VLOOKUP(F1282,Munka1!A:A,1,0)</f>
        <v>#N/A</v>
      </c>
    </row>
    <row r="1283" spans="10:11" x14ac:dyDescent="0.3">
      <c r="J1283" s="2" t="str">
        <f t="shared" ref="J1283:J1346" si="6">IF(OR(F1283="",F1283="_",LEFT(F1283,5)="SPARE",F1283="N/A"),"NO","YES")</f>
        <v>NO</v>
      </c>
      <c r="K1283" s="2" t="e">
        <f>VLOOKUP(F1283,Munka1!A:A,1,0)</f>
        <v>#N/A</v>
      </c>
    </row>
    <row r="1284" spans="10:11" x14ac:dyDescent="0.3">
      <c r="J1284" s="2" t="str">
        <f t="shared" si="6"/>
        <v>NO</v>
      </c>
      <c r="K1284" s="2" t="e">
        <f>VLOOKUP(F1284,Munka1!A:A,1,0)</f>
        <v>#N/A</v>
      </c>
    </row>
    <row r="1285" spans="10:11" x14ac:dyDescent="0.3">
      <c r="J1285" s="2" t="str">
        <f t="shared" si="6"/>
        <v>NO</v>
      </c>
      <c r="K1285" s="2" t="e">
        <f>VLOOKUP(F1285,Munka1!A:A,1,0)</f>
        <v>#N/A</v>
      </c>
    </row>
    <row r="1286" spans="10:11" x14ac:dyDescent="0.3">
      <c r="J1286" s="2" t="str">
        <f t="shared" si="6"/>
        <v>NO</v>
      </c>
      <c r="K1286" s="2" t="e">
        <f>VLOOKUP(F1286,Munka1!A:A,1,0)</f>
        <v>#N/A</v>
      </c>
    </row>
    <row r="1287" spans="10:11" x14ac:dyDescent="0.3">
      <c r="J1287" s="2" t="str">
        <f t="shared" si="6"/>
        <v>NO</v>
      </c>
      <c r="K1287" s="2" t="e">
        <f>VLOOKUP(F1287,Munka1!A:A,1,0)</f>
        <v>#N/A</v>
      </c>
    </row>
    <row r="1288" spans="10:11" x14ac:dyDescent="0.3">
      <c r="J1288" s="2" t="str">
        <f t="shared" si="6"/>
        <v>NO</v>
      </c>
      <c r="K1288" s="2" t="e">
        <f>VLOOKUP(F1288,Munka1!A:A,1,0)</f>
        <v>#N/A</v>
      </c>
    </row>
    <row r="1289" spans="10:11" x14ac:dyDescent="0.3">
      <c r="J1289" s="2" t="str">
        <f t="shared" si="6"/>
        <v>NO</v>
      </c>
      <c r="K1289" s="2" t="e">
        <f>VLOOKUP(F1289,Munka1!A:A,1,0)</f>
        <v>#N/A</v>
      </c>
    </row>
    <row r="1290" spans="10:11" x14ac:dyDescent="0.3">
      <c r="J1290" s="2" t="str">
        <f t="shared" si="6"/>
        <v>NO</v>
      </c>
      <c r="K1290" s="2" t="e">
        <f>VLOOKUP(F1290,Munka1!A:A,1,0)</f>
        <v>#N/A</v>
      </c>
    </row>
    <row r="1291" spans="10:11" x14ac:dyDescent="0.3">
      <c r="J1291" s="2" t="str">
        <f t="shared" si="6"/>
        <v>NO</v>
      </c>
      <c r="K1291" s="2" t="e">
        <f>VLOOKUP(F1291,Munka1!A:A,1,0)</f>
        <v>#N/A</v>
      </c>
    </row>
    <row r="1292" spans="10:11" x14ac:dyDescent="0.3">
      <c r="J1292" s="2" t="str">
        <f t="shared" si="6"/>
        <v>NO</v>
      </c>
      <c r="K1292" s="2" t="e">
        <f>VLOOKUP(F1292,Munka1!A:A,1,0)</f>
        <v>#N/A</v>
      </c>
    </row>
    <row r="1293" spans="10:11" x14ac:dyDescent="0.3">
      <c r="J1293" s="2" t="str">
        <f t="shared" si="6"/>
        <v>NO</v>
      </c>
      <c r="K1293" s="2" t="e">
        <f>VLOOKUP(F1293,Munka1!A:A,1,0)</f>
        <v>#N/A</v>
      </c>
    </row>
    <row r="1294" spans="10:11" x14ac:dyDescent="0.3">
      <c r="J1294" s="2" t="str">
        <f t="shared" si="6"/>
        <v>NO</v>
      </c>
      <c r="K1294" s="2" t="e">
        <f>VLOOKUP(F1294,Munka1!A:A,1,0)</f>
        <v>#N/A</v>
      </c>
    </row>
    <row r="1295" spans="10:11" x14ac:dyDescent="0.3">
      <c r="J1295" s="2" t="str">
        <f t="shared" si="6"/>
        <v>NO</v>
      </c>
      <c r="K1295" s="2" t="e">
        <f>VLOOKUP(F1295,Munka1!A:A,1,0)</f>
        <v>#N/A</v>
      </c>
    </row>
    <row r="1296" spans="10:11" x14ac:dyDescent="0.3">
      <c r="J1296" s="2" t="str">
        <f t="shared" si="6"/>
        <v>NO</v>
      </c>
      <c r="K1296" s="2" t="e">
        <f>VLOOKUP(F1296,Munka1!A:A,1,0)</f>
        <v>#N/A</v>
      </c>
    </row>
    <row r="1297" spans="10:11" x14ac:dyDescent="0.3">
      <c r="J1297" s="2" t="str">
        <f t="shared" si="6"/>
        <v>NO</v>
      </c>
      <c r="K1297" s="2" t="e">
        <f>VLOOKUP(F1297,Munka1!A:A,1,0)</f>
        <v>#N/A</v>
      </c>
    </row>
    <row r="1298" spans="10:11" x14ac:dyDescent="0.3">
      <c r="J1298" s="2" t="str">
        <f t="shared" si="6"/>
        <v>NO</v>
      </c>
      <c r="K1298" s="2" t="e">
        <f>VLOOKUP(F1298,Munka1!A:A,1,0)</f>
        <v>#N/A</v>
      </c>
    </row>
    <row r="1299" spans="10:11" x14ac:dyDescent="0.3">
      <c r="J1299" s="2" t="str">
        <f t="shared" si="6"/>
        <v>NO</v>
      </c>
      <c r="K1299" s="2" t="e">
        <f>VLOOKUP(F1299,Munka1!A:A,1,0)</f>
        <v>#N/A</v>
      </c>
    </row>
    <row r="1300" spans="10:11" x14ac:dyDescent="0.3">
      <c r="J1300" s="2" t="str">
        <f t="shared" si="6"/>
        <v>NO</v>
      </c>
      <c r="K1300" s="2" t="e">
        <f>VLOOKUP(F1300,Munka1!A:A,1,0)</f>
        <v>#N/A</v>
      </c>
    </row>
    <row r="1301" spans="10:11" x14ac:dyDescent="0.3">
      <c r="J1301" s="2" t="str">
        <f t="shared" si="6"/>
        <v>NO</v>
      </c>
      <c r="K1301" s="2" t="e">
        <f>VLOOKUP(F1301,Munka1!A:A,1,0)</f>
        <v>#N/A</v>
      </c>
    </row>
    <row r="1302" spans="10:11" x14ac:dyDescent="0.3">
      <c r="J1302" s="2" t="str">
        <f t="shared" si="6"/>
        <v>NO</v>
      </c>
      <c r="K1302" s="2" t="e">
        <f>VLOOKUP(F1302,Munka1!A:A,1,0)</f>
        <v>#N/A</v>
      </c>
    </row>
    <row r="1303" spans="10:11" x14ac:dyDescent="0.3">
      <c r="J1303" s="2" t="str">
        <f t="shared" si="6"/>
        <v>NO</v>
      </c>
      <c r="K1303" s="2" t="e">
        <f>VLOOKUP(F1303,Munka1!A:A,1,0)</f>
        <v>#N/A</v>
      </c>
    </row>
    <row r="1304" spans="10:11" x14ac:dyDescent="0.3">
      <c r="J1304" s="2" t="str">
        <f t="shared" si="6"/>
        <v>NO</v>
      </c>
      <c r="K1304" s="2" t="e">
        <f>VLOOKUP(F1304,Munka1!A:A,1,0)</f>
        <v>#N/A</v>
      </c>
    </row>
    <row r="1305" spans="10:11" x14ac:dyDescent="0.3">
      <c r="J1305" s="2" t="str">
        <f t="shared" si="6"/>
        <v>NO</v>
      </c>
      <c r="K1305" s="2" t="e">
        <f>VLOOKUP(F1305,Munka1!A:A,1,0)</f>
        <v>#N/A</v>
      </c>
    </row>
    <row r="1306" spans="10:11" x14ac:dyDescent="0.3">
      <c r="J1306" s="2" t="str">
        <f t="shared" si="6"/>
        <v>NO</v>
      </c>
      <c r="K1306" s="2" t="e">
        <f>VLOOKUP(F1306,Munka1!A:A,1,0)</f>
        <v>#N/A</v>
      </c>
    </row>
    <row r="1307" spans="10:11" x14ac:dyDescent="0.3">
      <c r="J1307" s="2" t="str">
        <f t="shared" si="6"/>
        <v>NO</v>
      </c>
      <c r="K1307" s="2" t="e">
        <f>VLOOKUP(F1307,Munka1!A:A,1,0)</f>
        <v>#N/A</v>
      </c>
    </row>
    <row r="1308" spans="10:11" x14ac:dyDescent="0.3">
      <c r="J1308" s="2" t="str">
        <f t="shared" si="6"/>
        <v>NO</v>
      </c>
      <c r="K1308" s="2" t="e">
        <f>VLOOKUP(F1308,Munka1!A:A,1,0)</f>
        <v>#N/A</v>
      </c>
    </row>
    <row r="1309" spans="10:11" x14ac:dyDescent="0.3">
      <c r="J1309" s="2" t="str">
        <f t="shared" si="6"/>
        <v>NO</v>
      </c>
      <c r="K1309" s="2" t="e">
        <f>VLOOKUP(F1309,Munka1!A:A,1,0)</f>
        <v>#N/A</v>
      </c>
    </row>
    <row r="1310" spans="10:11" x14ac:dyDescent="0.3">
      <c r="J1310" s="2" t="str">
        <f t="shared" si="6"/>
        <v>NO</v>
      </c>
      <c r="K1310" s="2" t="e">
        <f>VLOOKUP(F1310,Munka1!A:A,1,0)</f>
        <v>#N/A</v>
      </c>
    </row>
    <row r="1311" spans="10:11" x14ac:dyDescent="0.3">
      <c r="J1311" s="2" t="str">
        <f t="shared" si="6"/>
        <v>NO</v>
      </c>
      <c r="K1311" s="2" t="e">
        <f>VLOOKUP(F1311,Munka1!A:A,1,0)</f>
        <v>#N/A</v>
      </c>
    </row>
    <row r="1312" spans="10:11" x14ac:dyDescent="0.3">
      <c r="J1312" s="2" t="str">
        <f t="shared" si="6"/>
        <v>NO</v>
      </c>
      <c r="K1312" s="2" t="e">
        <f>VLOOKUP(F1312,Munka1!A:A,1,0)</f>
        <v>#N/A</v>
      </c>
    </row>
    <row r="1313" spans="10:11" x14ac:dyDescent="0.3">
      <c r="J1313" s="2" t="str">
        <f t="shared" si="6"/>
        <v>NO</v>
      </c>
      <c r="K1313" s="2" t="e">
        <f>VLOOKUP(F1313,Munka1!A:A,1,0)</f>
        <v>#N/A</v>
      </c>
    </row>
    <row r="1314" spans="10:11" x14ac:dyDescent="0.3">
      <c r="J1314" s="2" t="str">
        <f t="shared" si="6"/>
        <v>NO</v>
      </c>
      <c r="K1314" s="2" t="e">
        <f>VLOOKUP(F1314,Munka1!A:A,1,0)</f>
        <v>#N/A</v>
      </c>
    </row>
    <row r="1315" spans="10:11" x14ac:dyDescent="0.3">
      <c r="J1315" s="2" t="str">
        <f t="shared" si="6"/>
        <v>NO</v>
      </c>
      <c r="K1315" s="2" t="e">
        <f>VLOOKUP(F1315,Munka1!A:A,1,0)</f>
        <v>#N/A</v>
      </c>
    </row>
    <row r="1316" spans="10:11" x14ac:dyDescent="0.3">
      <c r="J1316" s="2" t="str">
        <f t="shared" si="6"/>
        <v>NO</v>
      </c>
      <c r="K1316" s="2" t="e">
        <f>VLOOKUP(F1316,Munka1!A:A,1,0)</f>
        <v>#N/A</v>
      </c>
    </row>
    <row r="1317" spans="10:11" x14ac:dyDescent="0.3">
      <c r="J1317" s="2" t="str">
        <f t="shared" si="6"/>
        <v>NO</v>
      </c>
      <c r="K1317" s="2" t="e">
        <f>VLOOKUP(F1317,Munka1!A:A,1,0)</f>
        <v>#N/A</v>
      </c>
    </row>
    <row r="1318" spans="10:11" x14ac:dyDescent="0.3">
      <c r="J1318" s="2" t="str">
        <f t="shared" si="6"/>
        <v>NO</v>
      </c>
      <c r="K1318" s="2" t="e">
        <f>VLOOKUP(F1318,Munka1!A:A,1,0)</f>
        <v>#N/A</v>
      </c>
    </row>
    <row r="1319" spans="10:11" x14ac:dyDescent="0.3">
      <c r="J1319" s="2" t="str">
        <f t="shared" si="6"/>
        <v>NO</v>
      </c>
      <c r="K1319" s="2" t="e">
        <f>VLOOKUP(F1319,Munka1!A:A,1,0)</f>
        <v>#N/A</v>
      </c>
    </row>
    <row r="1320" spans="10:11" x14ac:dyDescent="0.3">
      <c r="J1320" s="2" t="str">
        <f t="shared" si="6"/>
        <v>NO</v>
      </c>
      <c r="K1320" s="2" t="e">
        <f>VLOOKUP(F1320,Munka1!A:A,1,0)</f>
        <v>#N/A</v>
      </c>
    </row>
    <row r="1321" spans="10:11" x14ac:dyDescent="0.3">
      <c r="J1321" s="2" t="str">
        <f t="shared" si="6"/>
        <v>NO</v>
      </c>
      <c r="K1321" s="2" t="e">
        <f>VLOOKUP(F1321,Munka1!A:A,1,0)</f>
        <v>#N/A</v>
      </c>
    </row>
    <row r="1322" spans="10:11" x14ac:dyDescent="0.3">
      <c r="J1322" s="2" t="str">
        <f t="shared" si="6"/>
        <v>NO</v>
      </c>
      <c r="K1322" s="2" t="e">
        <f>VLOOKUP(F1322,Munka1!A:A,1,0)</f>
        <v>#N/A</v>
      </c>
    </row>
    <row r="1323" spans="10:11" x14ac:dyDescent="0.3">
      <c r="J1323" s="2" t="str">
        <f t="shared" si="6"/>
        <v>NO</v>
      </c>
      <c r="K1323" s="2" t="e">
        <f>VLOOKUP(F1323,Munka1!A:A,1,0)</f>
        <v>#N/A</v>
      </c>
    </row>
    <row r="1324" spans="10:11" x14ac:dyDescent="0.3">
      <c r="J1324" s="2" t="str">
        <f t="shared" si="6"/>
        <v>NO</v>
      </c>
      <c r="K1324" s="2" t="e">
        <f>VLOOKUP(F1324,Munka1!A:A,1,0)</f>
        <v>#N/A</v>
      </c>
    </row>
    <row r="1325" spans="10:11" x14ac:dyDescent="0.3">
      <c r="J1325" s="2" t="str">
        <f t="shared" si="6"/>
        <v>NO</v>
      </c>
      <c r="K1325" s="2" t="e">
        <f>VLOOKUP(F1325,Munka1!A:A,1,0)</f>
        <v>#N/A</v>
      </c>
    </row>
    <row r="1326" spans="10:11" x14ac:dyDescent="0.3">
      <c r="J1326" s="2" t="str">
        <f t="shared" si="6"/>
        <v>NO</v>
      </c>
      <c r="K1326" s="2" t="e">
        <f>VLOOKUP(F1326,Munka1!A:A,1,0)</f>
        <v>#N/A</v>
      </c>
    </row>
    <row r="1327" spans="10:11" x14ac:dyDescent="0.3">
      <c r="J1327" s="2" t="str">
        <f t="shared" si="6"/>
        <v>NO</v>
      </c>
      <c r="K1327" s="2" t="e">
        <f>VLOOKUP(F1327,Munka1!A:A,1,0)</f>
        <v>#N/A</v>
      </c>
    </row>
    <row r="1328" spans="10:11" x14ac:dyDescent="0.3">
      <c r="J1328" s="2" t="str">
        <f t="shared" si="6"/>
        <v>NO</v>
      </c>
      <c r="K1328" s="2" t="e">
        <f>VLOOKUP(F1328,Munka1!A:A,1,0)</f>
        <v>#N/A</v>
      </c>
    </row>
    <row r="1329" spans="10:11" x14ac:dyDescent="0.3">
      <c r="J1329" s="2" t="str">
        <f t="shared" si="6"/>
        <v>NO</v>
      </c>
      <c r="K1329" s="2" t="e">
        <f>VLOOKUP(F1329,Munka1!A:A,1,0)</f>
        <v>#N/A</v>
      </c>
    </row>
    <row r="1330" spans="10:11" x14ac:dyDescent="0.3">
      <c r="J1330" s="2" t="str">
        <f t="shared" si="6"/>
        <v>NO</v>
      </c>
      <c r="K1330" s="2" t="e">
        <f>VLOOKUP(F1330,Munka1!A:A,1,0)</f>
        <v>#N/A</v>
      </c>
    </row>
    <row r="1331" spans="10:11" x14ac:dyDescent="0.3">
      <c r="J1331" s="2" t="str">
        <f t="shared" si="6"/>
        <v>NO</v>
      </c>
      <c r="K1331" s="2" t="e">
        <f>VLOOKUP(F1331,Munka1!A:A,1,0)</f>
        <v>#N/A</v>
      </c>
    </row>
    <row r="1332" spans="10:11" x14ac:dyDescent="0.3">
      <c r="J1332" s="2" t="str">
        <f t="shared" si="6"/>
        <v>NO</v>
      </c>
      <c r="K1332" s="2" t="e">
        <f>VLOOKUP(F1332,Munka1!A:A,1,0)</f>
        <v>#N/A</v>
      </c>
    </row>
    <row r="1333" spans="10:11" x14ac:dyDescent="0.3">
      <c r="J1333" s="2" t="str">
        <f t="shared" si="6"/>
        <v>NO</v>
      </c>
      <c r="K1333" s="2" t="e">
        <f>VLOOKUP(F1333,Munka1!A:A,1,0)</f>
        <v>#N/A</v>
      </c>
    </row>
    <row r="1334" spans="10:11" x14ac:dyDescent="0.3">
      <c r="J1334" s="2" t="str">
        <f t="shared" si="6"/>
        <v>NO</v>
      </c>
      <c r="K1334" s="2" t="e">
        <f>VLOOKUP(F1334,Munka1!A:A,1,0)</f>
        <v>#N/A</v>
      </c>
    </row>
    <row r="1335" spans="10:11" x14ac:dyDescent="0.3">
      <c r="J1335" s="2" t="str">
        <f t="shared" si="6"/>
        <v>NO</v>
      </c>
      <c r="K1335" s="2" t="e">
        <f>VLOOKUP(F1335,Munka1!A:A,1,0)</f>
        <v>#N/A</v>
      </c>
    </row>
    <row r="1336" spans="10:11" x14ac:dyDescent="0.3">
      <c r="J1336" s="2" t="str">
        <f t="shared" si="6"/>
        <v>NO</v>
      </c>
      <c r="K1336" s="2" t="e">
        <f>VLOOKUP(F1336,Munka1!A:A,1,0)</f>
        <v>#N/A</v>
      </c>
    </row>
    <row r="1337" spans="10:11" x14ac:dyDescent="0.3">
      <c r="J1337" s="2" t="str">
        <f t="shared" si="6"/>
        <v>NO</v>
      </c>
      <c r="K1337" s="2" t="e">
        <f>VLOOKUP(F1337,Munka1!A:A,1,0)</f>
        <v>#N/A</v>
      </c>
    </row>
    <row r="1338" spans="10:11" x14ac:dyDescent="0.3">
      <c r="J1338" s="2" t="str">
        <f t="shared" si="6"/>
        <v>NO</v>
      </c>
      <c r="K1338" s="2" t="e">
        <f>VLOOKUP(F1338,Munka1!A:A,1,0)</f>
        <v>#N/A</v>
      </c>
    </row>
    <row r="1339" spans="10:11" x14ac:dyDescent="0.3">
      <c r="J1339" s="2" t="str">
        <f t="shared" si="6"/>
        <v>NO</v>
      </c>
      <c r="K1339" s="2" t="e">
        <f>VLOOKUP(F1339,Munka1!A:A,1,0)</f>
        <v>#N/A</v>
      </c>
    </row>
    <row r="1340" spans="10:11" x14ac:dyDescent="0.3">
      <c r="J1340" s="2" t="str">
        <f t="shared" si="6"/>
        <v>NO</v>
      </c>
      <c r="K1340" s="2" t="e">
        <f>VLOOKUP(F1340,Munka1!A:A,1,0)</f>
        <v>#N/A</v>
      </c>
    </row>
    <row r="1341" spans="10:11" x14ac:dyDescent="0.3">
      <c r="J1341" s="2" t="str">
        <f t="shared" si="6"/>
        <v>NO</v>
      </c>
      <c r="K1341" s="2" t="e">
        <f>VLOOKUP(F1341,Munka1!A:A,1,0)</f>
        <v>#N/A</v>
      </c>
    </row>
    <row r="1342" spans="10:11" x14ac:dyDescent="0.3">
      <c r="J1342" s="2" t="str">
        <f t="shared" si="6"/>
        <v>NO</v>
      </c>
      <c r="K1342" s="2" t="e">
        <f>VLOOKUP(F1342,Munka1!A:A,1,0)</f>
        <v>#N/A</v>
      </c>
    </row>
    <row r="1343" spans="10:11" x14ac:dyDescent="0.3">
      <c r="J1343" s="2" t="str">
        <f t="shared" si="6"/>
        <v>NO</v>
      </c>
      <c r="K1343" s="2" t="e">
        <f>VLOOKUP(F1343,Munka1!A:A,1,0)</f>
        <v>#N/A</v>
      </c>
    </row>
    <row r="1344" spans="10:11" x14ac:dyDescent="0.3">
      <c r="J1344" s="2" t="str">
        <f t="shared" si="6"/>
        <v>NO</v>
      </c>
      <c r="K1344" s="2" t="e">
        <f>VLOOKUP(F1344,Munka1!A:A,1,0)</f>
        <v>#N/A</v>
      </c>
    </row>
    <row r="1345" spans="10:11" x14ac:dyDescent="0.3">
      <c r="J1345" s="2" t="str">
        <f t="shared" si="6"/>
        <v>NO</v>
      </c>
      <c r="K1345" s="2" t="e">
        <f>VLOOKUP(F1345,Munka1!A:A,1,0)</f>
        <v>#N/A</v>
      </c>
    </row>
    <row r="1346" spans="10:11" x14ac:dyDescent="0.3">
      <c r="J1346" s="2" t="str">
        <f t="shared" si="6"/>
        <v>NO</v>
      </c>
      <c r="K1346" s="2" t="e">
        <f>VLOOKUP(F1346,Munka1!A:A,1,0)</f>
        <v>#N/A</v>
      </c>
    </row>
    <row r="1347" spans="10:11" x14ac:dyDescent="0.3">
      <c r="J1347" s="2" t="str">
        <f t="shared" ref="J1347:J1410" si="7">IF(OR(F1347="",F1347="_",LEFT(F1347,5)="SPARE",F1347="N/A"),"NO","YES")</f>
        <v>NO</v>
      </c>
      <c r="K1347" s="2" t="e">
        <f>VLOOKUP(F1347,Munka1!A:A,1,0)</f>
        <v>#N/A</v>
      </c>
    </row>
    <row r="1348" spans="10:11" x14ac:dyDescent="0.3">
      <c r="J1348" s="2" t="str">
        <f t="shared" si="7"/>
        <v>NO</v>
      </c>
      <c r="K1348" s="2" t="e">
        <f>VLOOKUP(F1348,Munka1!A:A,1,0)</f>
        <v>#N/A</v>
      </c>
    </row>
    <row r="1349" spans="10:11" x14ac:dyDescent="0.3">
      <c r="J1349" s="2" t="str">
        <f t="shared" si="7"/>
        <v>NO</v>
      </c>
      <c r="K1349" s="2" t="e">
        <f>VLOOKUP(F1349,Munka1!A:A,1,0)</f>
        <v>#N/A</v>
      </c>
    </row>
    <row r="1350" spans="10:11" x14ac:dyDescent="0.3">
      <c r="J1350" s="2" t="str">
        <f t="shared" si="7"/>
        <v>NO</v>
      </c>
      <c r="K1350" s="2" t="e">
        <f>VLOOKUP(F1350,Munka1!A:A,1,0)</f>
        <v>#N/A</v>
      </c>
    </row>
    <row r="1351" spans="10:11" x14ac:dyDescent="0.3">
      <c r="J1351" s="2" t="str">
        <f t="shared" si="7"/>
        <v>NO</v>
      </c>
      <c r="K1351" s="2" t="e">
        <f>VLOOKUP(F1351,Munka1!A:A,1,0)</f>
        <v>#N/A</v>
      </c>
    </row>
    <row r="1352" spans="10:11" x14ac:dyDescent="0.3">
      <c r="J1352" s="2" t="str">
        <f t="shared" si="7"/>
        <v>NO</v>
      </c>
      <c r="K1352" s="2" t="e">
        <f>VLOOKUP(F1352,Munka1!A:A,1,0)</f>
        <v>#N/A</v>
      </c>
    </row>
    <row r="1353" spans="10:11" x14ac:dyDescent="0.3">
      <c r="J1353" s="2" t="str">
        <f t="shared" si="7"/>
        <v>NO</v>
      </c>
      <c r="K1353" s="2" t="e">
        <f>VLOOKUP(F1353,Munka1!A:A,1,0)</f>
        <v>#N/A</v>
      </c>
    </row>
    <row r="1354" spans="10:11" x14ac:dyDescent="0.3">
      <c r="J1354" s="2" t="str">
        <f t="shared" si="7"/>
        <v>NO</v>
      </c>
      <c r="K1354" s="2" t="e">
        <f>VLOOKUP(F1354,Munka1!A:A,1,0)</f>
        <v>#N/A</v>
      </c>
    </row>
    <row r="1355" spans="10:11" x14ac:dyDescent="0.3">
      <c r="J1355" s="2" t="str">
        <f t="shared" si="7"/>
        <v>NO</v>
      </c>
      <c r="K1355" s="2" t="e">
        <f>VLOOKUP(F1355,Munka1!A:A,1,0)</f>
        <v>#N/A</v>
      </c>
    </row>
    <row r="1356" spans="10:11" x14ac:dyDescent="0.3">
      <c r="J1356" s="2" t="str">
        <f t="shared" si="7"/>
        <v>NO</v>
      </c>
      <c r="K1356" s="2" t="e">
        <f>VLOOKUP(F1356,Munka1!A:A,1,0)</f>
        <v>#N/A</v>
      </c>
    </row>
    <row r="1357" spans="10:11" x14ac:dyDescent="0.3">
      <c r="J1357" s="2" t="str">
        <f t="shared" si="7"/>
        <v>NO</v>
      </c>
      <c r="K1357" s="2" t="e">
        <f>VLOOKUP(F1357,Munka1!A:A,1,0)</f>
        <v>#N/A</v>
      </c>
    </row>
    <row r="1358" spans="10:11" x14ac:dyDescent="0.3">
      <c r="J1358" s="2" t="str">
        <f t="shared" si="7"/>
        <v>NO</v>
      </c>
      <c r="K1358" s="2" t="e">
        <f>VLOOKUP(F1358,Munka1!A:A,1,0)</f>
        <v>#N/A</v>
      </c>
    </row>
    <row r="1359" spans="10:11" x14ac:dyDescent="0.3">
      <c r="J1359" s="2" t="str">
        <f t="shared" si="7"/>
        <v>NO</v>
      </c>
      <c r="K1359" s="2" t="e">
        <f>VLOOKUP(F1359,Munka1!A:A,1,0)</f>
        <v>#N/A</v>
      </c>
    </row>
    <row r="1360" spans="10:11" x14ac:dyDescent="0.3">
      <c r="J1360" s="2" t="str">
        <f t="shared" si="7"/>
        <v>NO</v>
      </c>
      <c r="K1360" s="2" t="e">
        <f>VLOOKUP(F1360,Munka1!A:A,1,0)</f>
        <v>#N/A</v>
      </c>
    </row>
    <row r="1361" spans="10:11" x14ac:dyDescent="0.3">
      <c r="J1361" s="2" t="str">
        <f t="shared" si="7"/>
        <v>NO</v>
      </c>
      <c r="K1361" s="2" t="e">
        <f>VLOOKUP(F1361,Munka1!A:A,1,0)</f>
        <v>#N/A</v>
      </c>
    </row>
    <row r="1362" spans="10:11" x14ac:dyDescent="0.3">
      <c r="J1362" s="2" t="str">
        <f t="shared" si="7"/>
        <v>NO</v>
      </c>
      <c r="K1362" s="2" t="e">
        <f>VLOOKUP(F1362,Munka1!A:A,1,0)</f>
        <v>#N/A</v>
      </c>
    </row>
    <row r="1363" spans="10:11" x14ac:dyDescent="0.3">
      <c r="J1363" s="2" t="str">
        <f t="shared" si="7"/>
        <v>NO</v>
      </c>
      <c r="K1363" s="2" t="e">
        <f>VLOOKUP(F1363,Munka1!A:A,1,0)</f>
        <v>#N/A</v>
      </c>
    </row>
    <row r="1364" spans="10:11" x14ac:dyDescent="0.3">
      <c r="J1364" s="2" t="str">
        <f t="shared" si="7"/>
        <v>NO</v>
      </c>
      <c r="K1364" s="2" t="e">
        <f>VLOOKUP(F1364,Munka1!A:A,1,0)</f>
        <v>#N/A</v>
      </c>
    </row>
    <row r="1365" spans="10:11" x14ac:dyDescent="0.3">
      <c r="J1365" s="2" t="str">
        <f t="shared" si="7"/>
        <v>NO</v>
      </c>
      <c r="K1365" s="2" t="e">
        <f>VLOOKUP(F1365,Munka1!A:A,1,0)</f>
        <v>#N/A</v>
      </c>
    </row>
    <row r="1366" spans="10:11" x14ac:dyDescent="0.3">
      <c r="J1366" s="2" t="str">
        <f t="shared" si="7"/>
        <v>NO</v>
      </c>
      <c r="K1366" s="2" t="e">
        <f>VLOOKUP(F1366,Munka1!A:A,1,0)</f>
        <v>#N/A</v>
      </c>
    </row>
    <row r="1367" spans="10:11" x14ac:dyDescent="0.3">
      <c r="J1367" s="2" t="str">
        <f t="shared" si="7"/>
        <v>NO</v>
      </c>
      <c r="K1367" s="2" t="e">
        <f>VLOOKUP(F1367,Munka1!A:A,1,0)</f>
        <v>#N/A</v>
      </c>
    </row>
    <row r="1368" spans="10:11" x14ac:dyDescent="0.3">
      <c r="J1368" s="2" t="str">
        <f t="shared" si="7"/>
        <v>NO</v>
      </c>
      <c r="K1368" s="2" t="e">
        <f>VLOOKUP(F1368,Munka1!A:A,1,0)</f>
        <v>#N/A</v>
      </c>
    </row>
    <row r="1369" spans="10:11" x14ac:dyDescent="0.3">
      <c r="J1369" s="2" t="str">
        <f t="shared" si="7"/>
        <v>NO</v>
      </c>
      <c r="K1369" s="2" t="e">
        <f>VLOOKUP(F1369,Munka1!A:A,1,0)</f>
        <v>#N/A</v>
      </c>
    </row>
    <row r="1370" spans="10:11" x14ac:dyDescent="0.3">
      <c r="J1370" s="2" t="str">
        <f t="shared" si="7"/>
        <v>NO</v>
      </c>
      <c r="K1370" s="2" t="e">
        <f>VLOOKUP(F1370,Munka1!A:A,1,0)</f>
        <v>#N/A</v>
      </c>
    </row>
    <row r="1371" spans="10:11" x14ac:dyDescent="0.3">
      <c r="J1371" s="2" t="str">
        <f t="shared" si="7"/>
        <v>NO</v>
      </c>
      <c r="K1371" s="2" t="e">
        <f>VLOOKUP(F1371,Munka1!A:A,1,0)</f>
        <v>#N/A</v>
      </c>
    </row>
    <row r="1372" spans="10:11" x14ac:dyDescent="0.3">
      <c r="J1372" s="2" t="str">
        <f t="shared" si="7"/>
        <v>NO</v>
      </c>
      <c r="K1372" s="2" t="e">
        <f>VLOOKUP(F1372,Munka1!A:A,1,0)</f>
        <v>#N/A</v>
      </c>
    </row>
    <row r="1373" spans="10:11" x14ac:dyDescent="0.3">
      <c r="J1373" s="2" t="str">
        <f t="shared" si="7"/>
        <v>NO</v>
      </c>
      <c r="K1373" s="2" t="e">
        <f>VLOOKUP(F1373,Munka1!A:A,1,0)</f>
        <v>#N/A</v>
      </c>
    </row>
    <row r="1374" spans="10:11" x14ac:dyDescent="0.3">
      <c r="J1374" s="2" t="str">
        <f t="shared" si="7"/>
        <v>NO</v>
      </c>
      <c r="K1374" s="2" t="e">
        <f>VLOOKUP(F1374,Munka1!A:A,1,0)</f>
        <v>#N/A</v>
      </c>
    </row>
    <row r="1375" spans="10:11" x14ac:dyDescent="0.3">
      <c r="J1375" s="2" t="str">
        <f t="shared" si="7"/>
        <v>NO</v>
      </c>
      <c r="K1375" s="2" t="e">
        <f>VLOOKUP(F1375,Munka1!A:A,1,0)</f>
        <v>#N/A</v>
      </c>
    </row>
    <row r="1376" spans="10:11" x14ac:dyDescent="0.3">
      <c r="J1376" s="2" t="str">
        <f t="shared" si="7"/>
        <v>NO</v>
      </c>
      <c r="K1376" s="2" t="e">
        <f>VLOOKUP(F1376,Munka1!A:A,1,0)</f>
        <v>#N/A</v>
      </c>
    </row>
    <row r="1377" spans="10:11" x14ac:dyDescent="0.3">
      <c r="J1377" s="2" t="str">
        <f t="shared" si="7"/>
        <v>NO</v>
      </c>
      <c r="K1377" s="2" t="e">
        <f>VLOOKUP(F1377,Munka1!A:A,1,0)</f>
        <v>#N/A</v>
      </c>
    </row>
    <row r="1378" spans="10:11" x14ac:dyDescent="0.3">
      <c r="J1378" s="2" t="str">
        <f t="shared" si="7"/>
        <v>NO</v>
      </c>
      <c r="K1378" s="2" t="e">
        <f>VLOOKUP(F1378,Munka1!A:A,1,0)</f>
        <v>#N/A</v>
      </c>
    </row>
    <row r="1379" spans="10:11" x14ac:dyDescent="0.3">
      <c r="J1379" s="2" t="str">
        <f t="shared" si="7"/>
        <v>NO</v>
      </c>
      <c r="K1379" s="2" t="e">
        <f>VLOOKUP(F1379,Munka1!A:A,1,0)</f>
        <v>#N/A</v>
      </c>
    </row>
    <row r="1380" spans="10:11" x14ac:dyDescent="0.3">
      <c r="J1380" s="2" t="str">
        <f t="shared" si="7"/>
        <v>NO</v>
      </c>
      <c r="K1380" s="2" t="e">
        <f>VLOOKUP(F1380,Munka1!A:A,1,0)</f>
        <v>#N/A</v>
      </c>
    </row>
    <row r="1381" spans="10:11" x14ac:dyDescent="0.3">
      <c r="J1381" s="2" t="str">
        <f t="shared" si="7"/>
        <v>NO</v>
      </c>
      <c r="K1381" s="2" t="e">
        <f>VLOOKUP(F1381,Munka1!A:A,1,0)</f>
        <v>#N/A</v>
      </c>
    </row>
    <row r="1382" spans="10:11" x14ac:dyDescent="0.3">
      <c r="J1382" s="2" t="str">
        <f t="shared" si="7"/>
        <v>NO</v>
      </c>
      <c r="K1382" s="2" t="e">
        <f>VLOOKUP(F1382,Munka1!A:A,1,0)</f>
        <v>#N/A</v>
      </c>
    </row>
    <row r="1383" spans="10:11" x14ac:dyDescent="0.3">
      <c r="J1383" s="2" t="str">
        <f t="shared" si="7"/>
        <v>NO</v>
      </c>
      <c r="K1383" s="2" t="e">
        <f>VLOOKUP(F1383,Munka1!A:A,1,0)</f>
        <v>#N/A</v>
      </c>
    </row>
    <row r="1384" spans="10:11" x14ac:dyDescent="0.3">
      <c r="J1384" s="2" t="str">
        <f t="shared" si="7"/>
        <v>NO</v>
      </c>
      <c r="K1384" s="2" t="e">
        <f>VLOOKUP(F1384,Munka1!A:A,1,0)</f>
        <v>#N/A</v>
      </c>
    </row>
    <row r="1385" spans="10:11" x14ac:dyDescent="0.3">
      <c r="J1385" s="2" t="str">
        <f t="shared" si="7"/>
        <v>NO</v>
      </c>
      <c r="K1385" s="2" t="e">
        <f>VLOOKUP(F1385,Munka1!A:A,1,0)</f>
        <v>#N/A</v>
      </c>
    </row>
    <row r="1386" spans="10:11" x14ac:dyDescent="0.3">
      <c r="J1386" s="2" t="str">
        <f t="shared" si="7"/>
        <v>NO</v>
      </c>
      <c r="K1386" s="2" t="e">
        <f>VLOOKUP(F1386,Munka1!A:A,1,0)</f>
        <v>#N/A</v>
      </c>
    </row>
    <row r="1387" spans="10:11" x14ac:dyDescent="0.3">
      <c r="J1387" s="2" t="str">
        <f t="shared" si="7"/>
        <v>NO</v>
      </c>
      <c r="K1387" s="2" t="e">
        <f>VLOOKUP(F1387,Munka1!A:A,1,0)</f>
        <v>#N/A</v>
      </c>
    </row>
    <row r="1388" spans="10:11" x14ac:dyDescent="0.3">
      <c r="J1388" s="2" t="str">
        <f t="shared" si="7"/>
        <v>NO</v>
      </c>
      <c r="K1388" s="2" t="e">
        <f>VLOOKUP(F1388,Munka1!A:A,1,0)</f>
        <v>#N/A</v>
      </c>
    </row>
    <row r="1389" spans="10:11" x14ac:dyDescent="0.3">
      <c r="J1389" s="2" t="str">
        <f t="shared" si="7"/>
        <v>NO</v>
      </c>
      <c r="K1389" s="2" t="e">
        <f>VLOOKUP(F1389,Munka1!A:A,1,0)</f>
        <v>#N/A</v>
      </c>
    </row>
    <row r="1390" spans="10:11" x14ac:dyDescent="0.3">
      <c r="J1390" s="2" t="str">
        <f t="shared" si="7"/>
        <v>NO</v>
      </c>
      <c r="K1390" s="2" t="e">
        <f>VLOOKUP(F1390,Munka1!A:A,1,0)</f>
        <v>#N/A</v>
      </c>
    </row>
    <row r="1391" spans="10:11" x14ac:dyDescent="0.3">
      <c r="J1391" s="2" t="str">
        <f t="shared" si="7"/>
        <v>NO</v>
      </c>
      <c r="K1391" s="2" t="e">
        <f>VLOOKUP(F1391,Munka1!A:A,1,0)</f>
        <v>#N/A</v>
      </c>
    </row>
    <row r="1392" spans="10:11" x14ac:dyDescent="0.3">
      <c r="J1392" s="2" t="str">
        <f t="shared" si="7"/>
        <v>NO</v>
      </c>
      <c r="K1392" s="2" t="e">
        <f>VLOOKUP(F1392,Munka1!A:A,1,0)</f>
        <v>#N/A</v>
      </c>
    </row>
    <row r="1393" spans="10:11" x14ac:dyDescent="0.3">
      <c r="J1393" s="2" t="str">
        <f t="shared" si="7"/>
        <v>NO</v>
      </c>
      <c r="K1393" s="2" t="e">
        <f>VLOOKUP(F1393,Munka1!A:A,1,0)</f>
        <v>#N/A</v>
      </c>
    </row>
    <row r="1394" spans="10:11" x14ac:dyDescent="0.3">
      <c r="J1394" s="2" t="str">
        <f t="shared" si="7"/>
        <v>NO</v>
      </c>
      <c r="K1394" s="2" t="e">
        <f>VLOOKUP(F1394,Munka1!A:A,1,0)</f>
        <v>#N/A</v>
      </c>
    </row>
    <row r="1395" spans="10:11" x14ac:dyDescent="0.3">
      <c r="J1395" s="2" t="str">
        <f t="shared" si="7"/>
        <v>NO</v>
      </c>
      <c r="K1395" s="2" t="e">
        <f>VLOOKUP(F1395,Munka1!A:A,1,0)</f>
        <v>#N/A</v>
      </c>
    </row>
    <row r="1396" spans="10:11" x14ac:dyDescent="0.3">
      <c r="J1396" s="2" t="str">
        <f t="shared" si="7"/>
        <v>NO</v>
      </c>
      <c r="K1396" s="2" t="e">
        <f>VLOOKUP(F1396,Munka1!A:A,1,0)</f>
        <v>#N/A</v>
      </c>
    </row>
    <row r="1397" spans="10:11" x14ac:dyDescent="0.3">
      <c r="J1397" s="2" t="str">
        <f t="shared" si="7"/>
        <v>NO</v>
      </c>
      <c r="K1397" s="2" t="e">
        <f>VLOOKUP(F1397,Munka1!A:A,1,0)</f>
        <v>#N/A</v>
      </c>
    </row>
    <row r="1398" spans="10:11" x14ac:dyDescent="0.3">
      <c r="J1398" s="2" t="str">
        <f t="shared" si="7"/>
        <v>NO</v>
      </c>
      <c r="K1398" s="2" t="e">
        <f>VLOOKUP(F1398,Munka1!A:A,1,0)</f>
        <v>#N/A</v>
      </c>
    </row>
    <row r="1399" spans="10:11" x14ac:dyDescent="0.3">
      <c r="J1399" s="2" t="str">
        <f t="shared" si="7"/>
        <v>NO</v>
      </c>
      <c r="K1399" s="2" t="e">
        <f>VLOOKUP(F1399,Munka1!A:A,1,0)</f>
        <v>#N/A</v>
      </c>
    </row>
    <row r="1400" spans="10:11" x14ac:dyDescent="0.3">
      <c r="J1400" s="2" t="str">
        <f t="shared" si="7"/>
        <v>NO</v>
      </c>
      <c r="K1400" s="2" t="e">
        <f>VLOOKUP(F1400,Munka1!A:A,1,0)</f>
        <v>#N/A</v>
      </c>
    </row>
    <row r="1401" spans="10:11" x14ac:dyDescent="0.3">
      <c r="J1401" s="2" t="str">
        <f t="shared" si="7"/>
        <v>NO</v>
      </c>
      <c r="K1401" s="2" t="e">
        <f>VLOOKUP(F1401,Munka1!A:A,1,0)</f>
        <v>#N/A</v>
      </c>
    </row>
    <row r="1402" spans="10:11" x14ac:dyDescent="0.3">
      <c r="J1402" s="2" t="str">
        <f t="shared" si="7"/>
        <v>NO</v>
      </c>
      <c r="K1402" s="2" t="e">
        <f>VLOOKUP(F1402,Munka1!A:A,1,0)</f>
        <v>#N/A</v>
      </c>
    </row>
    <row r="1403" spans="10:11" x14ac:dyDescent="0.3">
      <c r="J1403" s="2" t="str">
        <f t="shared" si="7"/>
        <v>NO</v>
      </c>
      <c r="K1403" s="2" t="e">
        <f>VLOOKUP(F1403,Munka1!A:A,1,0)</f>
        <v>#N/A</v>
      </c>
    </row>
    <row r="1404" spans="10:11" x14ac:dyDescent="0.3">
      <c r="J1404" s="2" t="str">
        <f t="shared" si="7"/>
        <v>NO</v>
      </c>
      <c r="K1404" s="2" t="e">
        <f>VLOOKUP(F1404,Munka1!A:A,1,0)</f>
        <v>#N/A</v>
      </c>
    </row>
    <row r="1405" spans="10:11" x14ac:dyDescent="0.3">
      <c r="J1405" s="2" t="str">
        <f t="shared" si="7"/>
        <v>NO</v>
      </c>
      <c r="K1405" s="2" t="e">
        <f>VLOOKUP(F1405,Munka1!A:A,1,0)</f>
        <v>#N/A</v>
      </c>
    </row>
    <row r="1406" spans="10:11" x14ac:dyDescent="0.3">
      <c r="J1406" s="2" t="str">
        <f t="shared" si="7"/>
        <v>NO</v>
      </c>
      <c r="K1406" s="2" t="e">
        <f>VLOOKUP(F1406,Munka1!A:A,1,0)</f>
        <v>#N/A</v>
      </c>
    </row>
    <row r="1407" spans="10:11" x14ac:dyDescent="0.3">
      <c r="J1407" s="2" t="str">
        <f t="shared" si="7"/>
        <v>NO</v>
      </c>
      <c r="K1407" s="2" t="e">
        <f>VLOOKUP(F1407,Munka1!A:A,1,0)</f>
        <v>#N/A</v>
      </c>
    </row>
    <row r="1408" spans="10:11" x14ac:dyDescent="0.3">
      <c r="J1408" s="2" t="str">
        <f t="shared" si="7"/>
        <v>NO</v>
      </c>
      <c r="K1408" s="2" t="e">
        <f>VLOOKUP(F1408,Munka1!A:A,1,0)</f>
        <v>#N/A</v>
      </c>
    </row>
    <row r="1409" spans="10:11" x14ac:dyDescent="0.3">
      <c r="J1409" s="2" t="str">
        <f t="shared" si="7"/>
        <v>NO</v>
      </c>
      <c r="K1409" s="2" t="e">
        <f>VLOOKUP(F1409,Munka1!A:A,1,0)</f>
        <v>#N/A</v>
      </c>
    </row>
    <row r="1410" spans="10:11" x14ac:dyDescent="0.3">
      <c r="J1410" s="2" t="str">
        <f t="shared" si="7"/>
        <v>NO</v>
      </c>
      <c r="K1410" s="2" t="e">
        <f>VLOOKUP(F1410,Munka1!A:A,1,0)</f>
        <v>#N/A</v>
      </c>
    </row>
    <row r="1411" spans="10:11" x14ac:dyDescent="0.3">
      <c r="J1411" s="2" t="str">
        <f t="shared" ref="J1411:J1474" si="8">IF(OR(F1411="",F1411="_",LEFT(F1411,5)="SPARE",F1411="N/A"),"NO","YES")</f>
        <v>NO</v>
      </c>
      <c r="K1411" s="2" t="e">
        <f>VLOOKUP(F1411,Munka1!A:A,1,0)</f>
        <v>#N/A</v>
      </c>
    </row>
    <row r="1412" spans="10:11" x14ac:dyDescent="0.3">
      <c r="J1412" s="2" t="str">
        <f t="shared" si="8"/>
        <v>NO</v>
      </c>
      <c r="K1412" s="2" t="e">
        <f>VLOOKUP(F1412,Munka1!A:A,1,0)</f>
        <v>#N/A</v>
      </c>
    </row>
    <row r="1413" spans="10:11" x14ac:dyDescent="0.3">
      <c r="J1413" s="2" t="str">
        <f t="shared" si="8"/>
        <v>NO</v>
      </c>
      <c r="K1413" s="2" t="e">
        <f>VLOOKUP(F1413,Munka1!A:A,1,0)</f>
        <v>#N/A</v>
      </c>
    </row>
    <row r="1414" spans="10:11" x14ac:dyDescent="0.3">
      <c r="J1414" s="2" t="str">
        <f t="shared" si="8"/>
        <v>NO</v>
      </c>
      <c r="K1414" s="2" t="e">
        <f>VLOOKUP(F1414,Munka1!A:A,1,0)</f>
        <v>#N/A</v>
      </c>
    </row>
    <row r="1415" spans="10:11" x14ac:dyDescent="0.3">
      <c r="J1415" s="2" t="str">
        <f t="shared" si="8"/>
        <v>NO</v>
      </c>
      <c r="K1415" s="2" t="e">
        <f>VLOOKUP(F1415,Munka1!A:A,1,0)</f>
        <v>#N/A</v>
      </c>
    </row>
    <row r="1416" spans="10:11" x14ac:dyDescent="0.3">
      <c r="J1416" s="2" t="str">
        <f t="shared" si="8"/>
        <v>NO</v>
      </c>
      <c r="K1416" s="2" t="e">
        <f>VLOOKUP(F1416,Munka1!A:A,1,0)</f>
        <v>#N/A</v>
      </c>
    </row>
    <row r="1417" spans="10:11" x14ac:dyDescent="0.3">
      <c r="J1417" s="2" t="str">
        <f t="shared" si="8"/>
        <v>NO</v>
      </c>
      <c r="K1417" s="2" t="e">
        <f>VLOOKUP(F1417,Munka1!A:A,1,0)</f>
        <v>#N/A</v>
      </c>
    </row>
    <row r="1418" spans="10:11" x14ac:dyDescent="0.3">
      <c r="J1418" s="2" t="str">
        <f t="shared" si="8"/>
        <v>NO</v>
      </c>
      <c r="K1418" s="2" t="e">
        <f>VLOOKUP(F1418,Munka1!A:A,1,0)</f>
        <v>#N/A</v>
      </c>
    </row>
    <row r="1419" spans="10:11" x14ac:dyDescent="0.3">
      <c r="J1419" s="2" t="str">
        <f t="shared" si="8"/>
        <v>NO</v>
      </c>
      <c r="K1419" s="2" t="e">
        <f>VLOOKUP(F1419,Munka1!A:A,1,0)</f>
        <v>#N/A</v>
      </c>
    </row>
    <row r="1420" spans="10:11" x14ac:dyDescent="0.3">
      <c r="J1420" s="2" t="str">
        <f t="shared" si="8"/>
        <v>NO</v>
      </c>
      <c r="K1420" s="2" t="e">
        <f>VLOOKUP(F1420,Munka1!A:A,1,0)</f>
        <v>#N/A</v>
      </c>
    </row>
    <row r="1421" spans="10:11" x14ac:dyDescent="0.3">
      <c r="J1421" s="2" t="str">
        <f t="shared" si="8"/>
        <v>NO</v>
      </c>
      <c r="K1421" s="2" t="e">
        <f>VLOOKUP(F1421,Munka1!A:A,1,0)</f>
        <v>#N/A</v>
      </c>
    </row>
    <row r="1422" spans="10:11" x14ac:dyDescent="0.3">
      <c r="J1422" s="2" t="str">
        <f t="shared" si="8"/>
        <v>NO</v>
      </c>
      <c r="K1422" s="2" t="e">
        <f>VLOOKUP(F1422,Munka1!A:A,1,0)</f>
        <v>#N/A</v>
      </c>
    </row>
    <row r="1423" spans="10:11" x14ac:dyDescent="0.3">
      <c r="J1423" s="2" t="str">
        <f t="shared" si="8"/>
        <v>NO</v>
      </c>
      <c r="K1423" s="2" t="e">
        <f>VLOOKUP(F1423,Munka1!A:A,1,0)</f>
        <v>#N/A</v>
      </c>
    </row>
    <row r="1424" spans="10:11" x14ac:dyDescent="0.3">
      <c r="J1424" s="2" t="str">
        <f t="shared" si="8"/>
        <v>NO</v>
      </c>
      <c r="K1424" s="2" t="e">
        <f>VLOOKUP(F1424,Munka1!A:A,1,0)</f>
        <v>#N/A</v>
      </c>
    </row>
    <row r="1425" spans="10:11" x14ac:dyDescent="0.3">
      <c r="J1425" s="2" t="str">
        <f t="shared" si="8"/>
        <v>NO</v>
      </c>
      <c r="K1425" s="2" t="e">
        <f>VLOOKUP(F1425,Munka1!A:A,1,0)</f>
        <v>#N/A</v>
      </c>
    </row>
    <row r="1426" spans="10:11" x14ac:dyDescent="0.3">
      <c r="J1426" s="2" t="str">
        <f t="shared" si="8"/>
        <v>NO</v>
      </c>
      <c r="K1426" s="2" t="e">
        <f>VLOOKUP(F1426,Munka1!A:A,1,0)</f>
        <v>#N/A</v>
      </c>
    </row>
    <row r="1427" spans="10:11" x14ac:dyDescent="0.3">
      <c r="J1427" s="2" t="str">
        <f t="shared" si="8"/>
        <v>NO</v>
      </c>
      <c r="K1427" s="2" t="e">
        <f>VLOOKUP(F1427,Munka1!A:A,1,0)</f>
        <v>#N/A</v>
      </c>
    </row>
    <row r="1428" spans="10:11" x14ac:dyDescent="0.3">
      <c r="J1428" s="2" t="str">
        <f t="shared" si="8"/>
        <v>NO</v>
      </c>
      <c r="K1428" s="2" t="e">
        <f>VLOOKUP(F1428,Munka1!A:A,1,0)</f>
        <v>#N/A</v>
      </c>
    </row>
    <row r="1429" spans="10:11" x14ac:dyDescent="0.3">
      <c r="J1429" s="2" t="str">
        <f t="shared" si="8"/>
        <v>NO</v>
      </c>
      <c r="K1429" s="2" t="e">
        <f>VLOOKUP(F1429,Munka1!A:A,1,0)</f>
        <v>#N/A</v>
      </c>
    </row>
    <row r="1430" spans="10:11" x14ac:dyDescent="0.3">
      <c r="J1430" s="2" t="str">
        <f t="shared" si="8"/>
        <v>NO</v>
      </c>
      <c r="K1430" s="2" t="e">
        <f>VLOOKUP(F1430,Munka1!A:A,1,0)</f>
        <v>#N/A</v>
      </c>
    </row>
    <row r="1431" spans="10:11" x14ac:dyDescent="0.3">
      <c r="J1431" s="2" t="str">
        <f t="shared" si="8"/>
        <v>NO</v>
      </c>
      <c r="K1431" s="2" t="e">
        <f>VLOOKUP(F1431,Munka1!A:A,1,0)</f>
        <v>#N/A</v>
      </c>
    </row>
    <row r="1432" spans="10:11" x14ac:dyDescent="0.3">
      <c r="J1432" s="2" t="str">
        <f t="shared" si="8"/>
        <v>NO</v>
      </c>
      <c r="K1432" s="2" t="e">
        <f>VLOOKUP(F1432,Munka1!A:A,1,0)</f>
        <v>#N/A</v>
      </c>
    </row>
    <row r="1433" spans="10:11" x14ac:dyDescent="0.3">
      <c r="J1433" s="2" t="str">
        <f t="shared" si="8"/>
        <v>NO</v>
      </c>
      <c r="K1433" s="2" t="e">
        <f>VLOOKUP(F1433,Munka1!A:A,1,0)</f>
        <v>#N/A</v>
      </c>
    </row>
    <row r="1434" spans="10:11" x14ac:dyDescent="0.3">
      <c r="J1434" s="2" t="str">
        <f t="shared" si="8"/>
        <v>NO</v>
      </c>
      <c r="K1434" s="2" t="e">
        <f>VLOOKUP(F1434,Munka1!A:A,1,0)</f>
        <v>#N/A</v>
      </c>
    </row>
    <row r="1435" spans="10:11" x14ac:dyDescent="0.3">
      <c r="J1435" s="2" t="str">
        <f t="shared" si="8"/>
        <v>NO</v>
      </c>
      <c r="K1435" s="2" t="e">
        <f>VLOOKUP(F1435,Munka1!A:A,1,0)</f>
        <v>#N/A</v>
      </c>
    </row>
    <row r="1436" spans="10:11" x14ac:dyDescent="0.3">
      <c r="J1436" s="2" t="str">
        <f t="shared" si="8"/>
        <v>NO</v>
      </c>
      <c r="K1436" s="2" t="e">
        <f>VLOOKUP(F1436,Munka1!A:A,1,0)</f>
        <v>#N/A</v>
      </c>
    </row>
    <row r="1437" spans="10:11" x14ac:dyDescent="0.3">
      <c r="J1437" s="2" t="str">
        <f t="shared" si="8"/>
        <v>NO</v>
      </c>
      <c r="K1437" s="2" t="e">
        <f>VLOOKUP(F1437,Munka1!A:A,1,0)</f>
        <v>#N/A</v>
      </c>
    </row>
    <row r="1438" spans="10:11" x14ac:dyDescent="0.3">
      <c r="J1438" s="2" t="str">
        <f t="shared" si="8"/>
        <v>NO</v>
      </c>
      <c r="K1438" s="2" t="e">
        <f>VLOOKUP(F1438,Munka1!A:A,1,0)</f>
        <v>#N/A</v>
      </c>
    </row>
    <row r="1439" spans="10:11" x14ac:dyDescent="0.3">
      <c r="J1439" s="2" t="str">
        <f t="shared" si="8"/>
        <v>NO</v>
      </c>
      <c r="K1439" s="2" t="e">
        <f>VLOOKUP(F1439,Munka1!A:A,1,0)</f>
        <v>#N/A</v>
      </c>
    </row>
    <row r="1440" spans="10:11" x14ac:dyDescent="0.3">
      <c r="J1440" s="2" t="str">
        <f t="shared" si="8"/>
        <v>NO</v>
      </c>
      <c r="K1440" s="2" t="e">
        <f>VLOOKUP(F1440,Munka1!A:A,1,0)</f>
        <v>#N/A</v>
      </c>
    </row>
    <row r="1441" spans="10:11" x14ac:dyDescent="0.3">
      <c r="J1441" s="2" t="str">
        <f t="shared" si="8"/>
        <v>NO</v>
      </c>
      <c r="K1441" s="2" t="e">
        <f>VLOOKUP(F1441,Munka1!A:A,1,0)</f>
        <v>#N/A</v>
      </c>
    </row>
    <row r="1442" spans="10:11" x14ac:dyDescent="0.3">
      <c r="J1442" s="2" t="str">
        <f t="shared" si="8"/>
        <v>NO</v>
      </c>
      <c r="K1442" s="2" t="e">
        <f>VLOOKUP(F1442,Munka1!A:A,1,0)</f>
        <v>#N/A</v>
      </c>
    </row>
    <row r="1443" spans="10:11" x14ac:dyDescent="0.3">
      <c r="J1443" s="2" t="str">
        <f t="shared" si="8"/>
        <v>NO</v>
      </c>
      <c r="K1443" s="2" t="e">
        <f>VLOOKUP(F1443,Munka1!A:A,1,0)</f>
        <v>#N/A</v>
      </c>
    </row>
    <row r="1444" spans="10:11" x14ac:dyDescent="0.3">
      <c r="J1444" s="2" t="str">
        <f t="shared" si="8"/>
        <v>NO</v>
      </c>
      <c r="K1444" s="2" t="e">
        <f>VLOOKUP(F1444,Munka1!A:A,1,0)</f>
        <v>#N/A</v>
      </c>
    </row>
    <row r="1445" spans="10:11" x14ac:dyDescent="0.3">
      <c r="J1445" s="2" t="str">
        <f t="shared" si="8"/>
        <v>NO</v>
      </c>
      <c r="K1445" s="2" t="e">
        <f>VLOOKUP(F1445,Munka1!A:A,1,0)</f>
        <v>#N/A</v>
      </c>
    </row>
    <row r="1446" spans="10:11" x14ac:dyDescent="0.3">
      <c r="J1446" s="2" t="str">
        <f t="shared" si="8"/>
        <v>NO</v>
      </c>
      <c r="K1446" s="2" t="e">
        <f>VLOOKUP(F1446,Munka1!A:A,1,0)</f>
        <v>#N/A</v>
      </c>
    </row>
    <row r="1447" spans="10:11" x14ac:dyDescent="0.3">
      <c r="J1447" s="2" t="str">
        <f t="shared" si="8"/>
        <v>NO</v>
      </c>
      <c r="K1447" s="2" t="e">
        <f>VLOOKUP(F1447,Munka1!A:A,1,0)</f>
        <v>#N/A</v>
      </c>
    </row>
    <row r="1448" spans="10:11" x14ac:dyDescent="0.3">
      <c r="J1448" s="2" t="str">
        <f t="shared" si="8"/>
        <v>NO</v>
      </c>
      <c r="K1448" s="2" t="e">
        <f>VLOOKUP(F1448,Munka1!A:A,1,0)</f>
        <v>#N/A</v>
      </c>
    </row>
    <row r="1449" spans="10:11" x14ac:dyDescent="0.3">
      <c r="J1449" s="2" t="str">
        <f t="shared" si="8"/>
        <v>NO</v>
      </c>
      <c r="K1449" s="2" t="e">
        <f>VLOOKUP(F1449,Munka1!A:A,1,0)</f>
        <v>#N/A</v>
      </c>
    </row>
    <row r="1450" spans="10:11" x14ac:dyDescent="0.3">
      <c r="J1450" s="2" t="str">
        <f t="shared" si="8"/>
        <v>NO</v>
      </c>
      <c r="K1450" s="2" t="e">
        <f>VLOOKUP(F1450,Munka1!A:A,1,0)</f>
        <v>#N/A</v>
      </c>
    </row>
    <row r="1451" spans="10:11" x14ac:dyDescent="0.3">
      <c r="J1451" s="2" t="str">
        <f t="shared" si="8"/>
        <v>NO</v>
      </c>
      <c r="K1451" s="2" t="e">
        <f>VLOOKUP(F1451,Munka1!A:A,1,0)</f>
        <v>#N/A</v>
      </c>
    </row>
    <row r="1452" spans="10:11" x14ac:dyDescent="0.3">
      <c r="J1452" s="2" t="str">
        <f t="shared" si="8"/>
        <v>NO</v>
      </c>
      <c r="K1452" s="2" t="e">
        <f>VLOOKUP(F1452,Munka1!A:A,1,0)</f>
        <v>#N/A</v>
      </c>
    </row>
    <row r="1453" spans="10:11" x14ac:dyDescent="0.3">
      <c r="J1453" s="2" t="str">
        <f t="shared" si="8"/>
        <v>NO</v>
      </c>
      <c r="K1453" s="2" t="e">
        <f>VLOOKUP(F1453,Munka1!A:A,1,0)</f>
        <v>#N/A</v>
      </c>
    </row>
    <row r="1454" spans="10:11" x14ac:dyDescent="0.3">
      <c r="J1454" s="2" t="str">
        <f t="shared" si="8"/>
        <v>NO</v>
      </c>
      <c r="K1454" s="2" t="e">
        <f>VLOOKUP(F1454,Munka1!A:A,1,0)</f>
        <v>#N/A</v>
      </c>
    </row>
    <row r="1455" spans="10:11" x14ac:dyDescent="0.3">
      <c r="J1455" s="2" t="str">
        <f t="shared" si="8"/>
        <v>NO</v>
      </c>
      <c r="K1455" s="2" t="e">
        <f>VLOOKUP(F1455,Munka1!A:A,1,0)</f>
        <v>#N/A</v>
      </c>
    </row>
    <row r="1456" spans="10:11" x14ac:dyDescent="0.3">
      <c r="J1456" s="2" t="str">
        <f t="shared" si="8"/>
        <v>NO</v>
      </c>
      <c r="K1456" s="2" t="e">
        <f>VLOOKUP(F1456,Munka1!A:A,1,0)</f>
        <v>#N/A</v>
      </c>
    </row>
    <row r="1457" spans="10:11" x14ac:dyDescent="0.3">
      <c r="J1457" s="2" t="str">
        <f t="shared" si="8"/>
        <v>NO</v>
      </c>
      <c r="K1457" s="2" t="e">
        <f>VLOOKUP(F1457,Munka1!A:A,1,0)</f>
        <v>#N/A</v>
      </c>
    </row>
    <row r="1458" spans="10:11" x14ac:dyDescent="0.3">
      <c r="J1458" s="2" t="str">
        <f t="shared" si="8"/>
        <v>NO</v>
      </c>
      <c r="K1458" s="2" t="e">
        <f>VLOOKUP(F1458,Munka1!A:A,1,0)</f>
        <v>#N/A</v>
      </c>
    </row>
    <row r="1459" spans="10:11" x14ac:dyDescent="0.3">
      <c r="J1459" s="2" t="str">
        <f t="shared" si="8"/>
        <v>NO</v>
      </c>
      <c r="K1459" s="2" t="e">
        <f>VLOOKUP(F1459,Munka1!A:A,1,0)</f>
        <v>#N/A</v>
      </c>
    </row>
    <row r="1460" spans="10:11" x14ac:dyDescent="0.3">
      <c r="J1460" s="2" t="str">
        <f t="shared" si="8"/>
        <v>NO</v>
      </c>
      <c r="K1460" s="2" t="e">
        <f>VLOOKUP(F1460,Munka1!A:A,1,0)</f>
        <v>#N/A</v>
      </c>
    </row>
    <row r="1461" spans="10:11" x14ac:dyDescent="0.3">
      <c r="J1461" s="2" t="str">
        <f t="shared" si="8"/>
        <v>NO</v>
      </c>
      <c r="K1461" s="2" t="e">
        <f>VLOOKUP(F1461,Munka1!A:A,1,0)</f>
        <v>#N/A</v>
      </c>
    </row>
    <row r="1462" spans="10:11" x14ac:dyDescent="0.3">
      <c r="J1462" s="2" t="str">
        <f t="shared" si="8"/>
        <v>NO</v>
      </c>
      <c r="K1462" s="2" t="e">
        <f>VLOOKUP(F1462,Munka1!A:A,1,0)</f>
        <v>#N/A</v>
      </c>
    </row>
    <row r="1463" spans="10:11" x14ac:dyDescent="0.3">
      <c r="J1463" s="2" t="str">
        <f t="shared" si="8"/>
        <v>NO</v>
      </c>
      <c r="K1463" s="2" t="e">
        <f>VLOOKUP(F1463,Munka1!A:A,1,0)</f>
        <v>#N/A</v>
      </c>
    </row>
    <row r="1464" spans="10:11" x14ac:dyDescent="0.3">
      <c r="J1464" s="2" t="str">
        <f t="shared" si="8"/>
        <v>NO</v>
      </c>
      <c r="K1464" s="2" t="e">
        <f>VLOOKUP(F1464,Munka1!A:A,1,0)</f>
        <v>#N/A</v>
      </c>
    </row>
    <row r="1465" spans="10:11" x14ac:dyDescent="0.3">
      <c r="J1465" s="2" t="str">
        <f t="shared" si="8"/>
        <v>NO</v>
      </c>
      <c r="K1465" s="2" t="e">
        <f>VLOOKUP(F1465,Munka1!A:A,1,0)</f>
        <v>#N/A</v>
      </c>
    </row>
    <row r="1466" spans="10:11" x14ac:dyDescent="0.3">
      <c r="J1466" s="2" t="str">
        <f t="shared" si="8"/>
        <v>NO</v>
      </c>
      <c r="K1466" s="2" t="e">
        <f>VLOOKUP(F1466,Munka1!A:A,1,0)</f>
        <v>#N/A</v>
      </c>
    </row>
    <row r="1467" spans="10:11" x14ac:dyDescent="0.3">
      <c r="J1467" s="2" t="str">
        <f t="shared" si="8"/>
        <v>NO</v>
      </c>
      <c r="K1467" s="2" t="e">
        <f>VLOOKUP(F1467,Munka1!A:A,1,0)</f>
        <v>#N/A</v>
      </c>
    </row>
    <row r="1468" spans="10:11" x14ac:dyDescent="0.3">
      <c r="J1468" s="2" t="str">
        <f t="shared" si="8"/>
        <v>NO</v>
      </c>
      <c r="K1468" s="2" t="e">
        <f>VLOOKUP(F1468,Munka1!A:A,1,0)</f>
        <v>#N/A</v>
      </c>
    </row>
    <row r="1469" spans="10:11" x14ac:dyDescent="0.3">
      <c r="J1469" s="2" t="str">
        <f t="shared" si="8"/>
        <v>NO</v>
      </c>
      <c r="K1469" s="2" t="e">
        <f>VLOOKUP(F1469,Munka1!A:A,1,0)</f>
        <v>#N/A</v>
      </c>
    </row>
    <row r="1470" spans="10:11" x14ac:dyDescent="0.3">
      <c r="J1470" s="2" t="str">
        <f t="shared" si="8"/>
        <v>NO</v>
      </c>
      <c r="K1470" s="2" t="e">
        <f>VLOOKUP(F1470,Munka1!A:A,1,0)</f>
        <v>#N/A</v>
      </c>
    </row>
    <row r="1471" spans="10:11" x14ac:dyDescent="0.3">
      <c r="J1471" s="2" t="str">
        <f t="shared" si="8"/>
        <v>NO</v>
      </c>
      <c r="K1471" s="2" t="e">
        <f>VLOOKUP(F1471,Munka1!A:A,1,0)</f>
        <v>#N/A</v>
      </c>
    </row>
    <row r="1472" spans="10:11" x14ac:dyDescent="0.3">
      <c r="J1472" s="2" t="str">
        <f t="shared" si="8"/>
        <v>NO</v>
      </c>
      <c r="K1472" s="2" t="e">
        <f>VLOOKUP(F1472,Munka1!A:A,1,0)</f>
        <v>#N/A</v>
      </c>
    </row>
    <row r="1473" spans="10:11" x14ac:dyDescent="0.3">
      <c r="J1473" s="2" t="str">
        <f t="shared" si="8"/>
        <v>NO</v>
      </c>
      <c r="K1473" s="2" t="e">
        <f>VLOOKUP(F1473,Munka1!A:A,1,0)</f>
        <v>#N/A</v>
      </c>
    </row>
    <row r="1474" spans="10:11" x14ac:dyDescent="0.3">
      <c r="J1474" s="2" t="str">
        <f t="shared" si="8"/>
        <v>NO</v>
      </c>
      <c r="K1474" s="2" t="e">
        <f>VLOOKUP(F1474,Munka1!A:A,1,0)</f>
        <v>#N/A</v>
      </c>
    </row>
    <row r="1475" spans="10:11" x14ac:dyDescent="0.3">
      <c r="J1475" s="2" t="str">
        <f t="shared" ref="J1475:J1538" si="9">IF(OR(F1475="",F1475="_",LEFT(F1475,5)="SPARE",F1475="N/A"),"NO","YES")</f>
        <v>NO</v>
      </c>
      <c r="K1475" s="2" t="e">
        <f>VLOOKUP(F1475,Munka1!A:A,1,0)</f>
        <v>#N/A</v>
      </c>
    </row>
    <row r="1476" spans="10:11" x14ac:dyDescent="0.3">
      <c r="J1476" s="2" t="str">
        <f t="shared" si="9"/>
        <v>NO</v>
      </c>
      <c r="K1476" s="2" t="e">
        <f>VLOOKUP(F1476,Munka1!A:A,1,0)</f>
        <v>#N/A</v>
      </c>
    </row>
    <row r="1477" spans="10:11" x14ac:dyDescent="0.3">
      <c r="J1477" s="2" t="str">
        <f t="shared" si="9"/>
        <v>NO</v>
      </c>
      <c r="K1477" s="2" t="e">
        <f>VLOOKUP(F1477,Munka1!A:A,1,0)</f>
        <v>#N/A</v>
      </c>
    </row>
    <row r="1478" spans="10:11" x14ac:dyDescent="0.3">
      <c r="J1478" s="2" t="str">
        <f t="shared" si="9"/>
        <v>NO</v>
      </c>
      <c r="K1478" s="2" t="e">
        <f>VLOOKUP(F1478,Munka1!A:A,1,0)</f>
        <v>#N/A</v>
      </c>
    </row>
    <row r="1479" spans="10:11" x14ac:dyDescent="0.3">
      <c r="J1479" s="2" t="str">
        <f t="shared" si="9"/>
        <v>NO</v>
      </c>
      <c r="K1479" s="2" t="e">
        <f>VLOOKUP(F1479,Munka1!A:A,1,0)</f>
        <v>#N/A</v>
      </c>
    </row>
    <row r="1480" spans="10:11" x14ac:dyDescent="0.3">
      <c r="J1480" s="2" t="str">
        <f t="shared" si="9"/>
        <v>NO</v>
      </c>
      <c r="K1480" s="2" t="e">
        <f>VLOOKUP(F1480,Munka1!A:A,1,0)</f>
        <v>#N/A</v>
      </c>
    </row>
    <row r="1481" spans="10:11" x14ac:dyDescent="0.3">
      <c r="J1481" s="2" t="str">
        <f t="shared" si="9"/>
        <v>NO</v>
      </c>
      <c r="K1481" s="2" t="e">
        <f>VLOOKUP(F1481,Munka1!A:A,1,0)</f>
        <v>#N/A</v>
      </c>
    </row>
    <row r="1482" spans="10:11" x14ac:dyDescent="0.3">
      <c r="J1482" s="2" t="str">
        <f t="shared" si="9"/>
        <v>NO</v>
      </c>
      <c r="K1482" s="2" t="e">
        <f>VLOOKUP(F1482,Munka1!A:A,1,0)</f>
        <v>#N/A</v>
      </c>
    </row>
    <row r="1483" spans="10:11" x14ac:dyDescent="0.3">
      <c r="J1483" s="2" t="str">
        <f t="shared" si="9"/>
        <v>NO</v>
      </c>
      <c r="K1483" s="2" t="e">
        <f>VLOOKUP(F1483,Munka1!A:A,1,0)</f>
        <v>#N/A</v>
      </c>
    </row>
    <row r="1484" spans="10:11" x14ac:dyDescent="0.3">
      <c r="J1484" s="2" t="str">
        <f t="shared" si="9"/>
        <v>NO</v>
      </c>
      <c r="K1484" s="2" t="e">
        <f>VLOOKUP(F1484,Munka1!A:A,1,0)</f>
        <v>#N/A</v>
      </c>
    </row>
    <row r="1485" spans="10:11" x14ac:dyDescent="0.3">
      <c r="J1485" s="2" t="str">
        <f t="shared" si="9"/>
        <v>NO</v>
      </c>
      <c r="K1485" s="2" t="e">
        <f>VLOOKUP(F1485,Munka1!A:A,1,0)</f>
        <v>#N/A</v>
      </c>
    </row>
    <row r="1486" spans="10:11" x14ac:dyDescent="0.3">
      <c r="J1486" s="2" t="str">
        <f t="shared" si="9"/>
        <v>NO</v>
      </c>
      <c r="K1486" s="2" t="e">
        <f>VLOOKUP(F1486,Munka1!A:A,1,0)</f>
        <v>#N/A</v>
      </c>
    </row>
    <row r="1487" spans="10:11" x14ac:dyDescent="0.3">
      <c r="J1487" s="2" t="str">
        <f t="shared" si="9"/>
        <v>NO</v>
      </c>
      <c r="K1487" s="2" t="e">
        <f>VLOOKUP(F1487,Munka1!A:A,1,0)</f>
        <v>#N/A</v>
      </c>
    </row>
    <row r="1488" spans="10:11" x14ac:dyDescent="0.3">
      <c r="J1488" s="2" t="str">
        <f t="shared" si="9"/>
        <v>NO</v>
      </c>
      <c r="K1488" s="2" t="e">
        <f>VLOOKUP(F1488,Munka1!A:A,1,0)</f>
        <v>#N/A</v>
      </c>
    </row>
    <row r="1489" spans="10:11" x14ac:dyDescent="0.3">
      <c r="J1489" s="2" t="str">
        <f t="shared" si="9"/>
        <v>NO</v>
      </c>
      <c r="K1489" s="2" t="e">
        <f>VLOOKUP(F1489,Munka1!A:A,1,0)</f>
        <v>#N/A</v>
      </c>
    </row>
    <row r="1490" spans="10:11" x14ac:dyDescent="0.3">
      <c r="J1490" s="2" t="str">
        <f t="shared" si="9"/>
        <v>NO</v>
      </c>
      <c r="K1490" s="2" t="e">
        <f>VLOOKUP(F1490,Munka1!A:A,1,0)</f>
        <v>#N/A</v>
      </c>
    </row>
    <row r="1491" spans="10:11" x14ac:dyDescent="0.3">
      <c r="J1491" s="2" t="str">
        <f t="shared" si="9"/>
        <v>NO</v>
      </c>
      <c r="K1491" s="2" t="e">
        <f>VLOOKUP(F1491,Munka1!A:A,1,0)</f>
        <v>#N/A</v>
      </c>
    </row>
    <row r="1492" spans="10:11" x14ac:dyDescent="0.3">
      <c r="J1492" s="2" t="str">
        <f t="shared" si="9"/>
        <v>NO</v>
      </c>
      <c r="K1492" s="2" t="e">
        <f>VLOOKUP(F1492,Munka1!A:A,1,0)</f>
        <v>#N/A</v>
      </c>
    </row>
    <row r="1493" spans="10:11" x14ac:dyDescent="0.3">
      <c r="J1493" s="2" t="str">
        <f t="shared" si="9"/>
        <v>NO</v>
      </c>
      <c r="K1493" s="2" t="e">
        <f>VLOOKUP(F1493,Munka1!A:A,1,0)</f>
        <v>#N/A</v>
      </c>
    </row>
    <row r="1494" spans="10:11" x14ac:dyDescent="0.3">
      <c r="J1494" s="2" t="str">
        <f t="shared" si="9"/>
        <v>NO</v>
      </c>
      <c r="K1494" s="2" t="e">
        <f>VLOOKUP(F1494,Munka1!A:A,1,0)</f>
        <v>#N/A</v>
      </c>
    </row>
    <row r="1495" spans="10:11" x14ac:dyDescent="0.3">
      <c r="J1495" s="2" t="str">
        <f t="shared" si="9"/>
        <v>NO</v>
      </c>
      <c r="K1495" s="2" t="e">
        <f>VLOOKUP(F1495,Munka1!A:A,1,0)</f>
        <v>#N/A</v>
      </c>
    </row>
    <row r="1496" spans="10:11" x14ac:dyDescent="0.3">
      <c r="J1496" s="2" t="str">
        <f t="shared" si="9"/>
        <v>NO</v>
      </c>
      <c r="K1496" s="2" t="e">
        <f>VLOOKUP(F1496,Munka1!A:A,1,0)</f>
        <v>#N/A</v>
      </c>
    </row>
    <row r="1497" spans="10:11" x14ac:dyDescent="0.3">
      <c r="J1497" s="2" t="str">
        <f t="shared" si="9"/>
        <v>NO</v>
      </c>
      <c r="K1497" s="2" t="e">
        <f>VLOOKUP(F1497,Munka1!A:A,1,0)</f>
        <v>#N/A</v>
      </c>
    </row>
    <row r="1498" spans="10:11" x14ac:dyDescent="0.3">
      <c r="J1498" s="2" t="str">
        <f t="shared" si="9"/>
        <v>NO</v>
      </c>
      <c r="K1498" s="2" t="e">
        <f>VLOOKUP(F1498,Munka1!A:A,1,0)</f>
        <v>#N/A</v>
      </c>
    </row>
    <row r="1499" spans="10:11" x14ac:dyDescent="0.3">
      <c r="J1499" s="2" t="str">
        <f t="shared" si="9"/>
        <v>NO</v>
      </c>
      <c r="K1499" s="2" t="e">
        <f>VLOOKUP(F1499,Munka1!A:A,1,0)</f>
        <v>#N/A</v>
      </c>
    </row>
    <row r="1500" spans="10:11" x14ac:dyDescent="0.3">
      <c r="J1500" s="2" t="str">
        <f t="shared" si="9"/>
        <v>NO</v>
      </c>
      <c r="K1500" s="2" t="e">
        <f>VLOOKUP(F1500,Munka1!A:A,1,0)</f>
        <v>#N/A</v>
      </c>
    </row>
    <row r="1501" spans="10:11" x14ac:dyDescent="0.3">
      <c r="J1501" s="2" t="str">
        <f t="shared" si="9"/>
        <v>NO</v>
      </c>
      <c r="K1501" s="2" t="e">
        <f>VLOOKUP(F1501,Munka1!A:A,1,0)</f>
        <v>#N/A</v>
      </c>
    </row>
    <row r="1502" spans="10:11" x14ac:dyDescent="0.3">
      <c r="J1502" s="2" t="str">
        <f t="shared" si="9"/>
        <v>NO</v>
      </c>
      <c r="K1502" s="2" t="e">
        <f>VLOOKUP(F1502,Munka1!A:A,1,0)</f>
        <v>#N/A</v>
      </c>
    </row>
    <row r="1503" spans="10:11" x14ac:dyDescent="0.3">
      <c r="J1503" s="2" t="str">
        <f t="shared" si="9"/>
        <v>NO</v>
      </c>
      <c r="K1503" s="2" t="e">
        <f>VLOOKUP(F1503,Munka1!A:A,1,0)</f>
        <v>#N/A</v>
      </c>
    </row>
    <row r="1504" spans="10:11" x14ac:dyDescent="0.3">
      <c r="J1504" s="2" t="str">
        <f t="shared" si="9"/>
        <v>NO</v>
      </c>
      <c r="K1504" s="2" t="e">
        <f>VLOOKUP(F1504,Munka1!A:A,1,0)</f>
        <v>#N/A</v>
      </c>
    </row>
    <row r="1505" spans="10:11" x14ac:dyDescent="0.3">
      <c r="J1505" s="2" t="str">
        <f t="shared" si="9"/>
        <v>NO</v>
      </c>
      <c r="K1505" s="2" t="e">
        <f>VLOOKUP(F1505,Munka1!A:A,1,0)</f>
        <v>#N/A</v>
      </c>
    </row>
    <row r="1506" spans="10:11" x14ac:dyDescent="0.3">
      <c r="J1506" s="2" t="str">
        <f t="shared" si="9"/>
        <v>NO</v>
      </c>
      <c r="K1506" s="2" t="e">
        <f>VLOOKUP(F1506,Munka1!A:A,1,0)</f>
        <v>#N/A</v>
      </c>
    </row>
    <row r="1507" spans="10:11" x14ac:dyDescent="0.3">
      <c r="J1507" s="2" t="str">
        <f t="shared" si="9"/>
        <v>NO</v>
      </c>
      <c r="K1507" s="2" t="e">
        <f>VLOOKUP(F1507,Munka1!A:A,1,0)</f>
        <v>#N/A</v>
      </c>
    </row>
    <row r="1508" spans="10:11" x14ac:dyDescent="0.3">
      <c r="J1508" s="2" t="str">
        <f t="shared" si="9"/>
        <v>NO</v>
      </c>
      <c r="K1508" s="2" t="e">
        <f>VLOOKUP(F1508,Munka1!A:A,1,0)</f>
        <v>#N/A</v>
      </c>
    </row>
    <row r="1509" spans="10:11" x14ac:dyDescent="0.3">
      <c r="J1509" s="2" t="str">
        <f t="shared" si="9"/>
        <v>NO</v>
      </c>
      <c r="K1509" s="2" t="e">
        <f>VLOOKUP(F1509,Munka1!A:A,1,0)</f>
        <v>#N/A</v>
      </c>
    </row>
    <row r="1510" spans="10:11" x14ac:dyDescent="0.3">
      <c r="J1510" s="2" t="str">
        <f t="shared" si="9"/>
        <v>NO</v>
      </c>
      <c r="K1510" s="2" t="e">
        <f>VLOOKUP(F1510,Munka1!A:A,1,0)</f>
        <v>#N/A</v>
      </c>
    </row>
    <row r="1511" spans="10:11" x14ac:dyDescent="0.3">
      <c r="J1511" s="2" t="str">
        <f t="shared" si="9"/>
        <v>NO</v>
      </c>
      <c r="K1511" s="2" t="e">
        <f>VLOOKUP(F1511,Munka1!A:A,1,0)</f>
        <v>#N/A</v>
      </c>
    </row>
    <row r="1512" spans="10:11" x14ac:dyDescent="0.3">
      <c r="J1512" s="2" t="str">
        <f t="shared" si="9"/>
        <v>NO</v>
      </c>
      <c r="K1512" s="2" t="e">
        <f>VLOOKUP(F1512,Munka1!A:A,1,0)</f>
        <v>#N/A</v>
      </c>
    </row>
    <row r="1513" spans="10:11" x14ac:dyDescent="0.3">
      <c r="J1513" s="2" t="str">
        <f t="shared" si="9"/>
        <v>NO</v>
      </c>
      <c r="K1513" s="2" t="e">
        <f>VLOOKUP(F1513,Munka1!A:A,1,0)</f>
        <v>#N/A</v>
      </c>
    </row>
    <row r="1514" spans="10:11" x14ac:dyDescent="0.3">
      <c r="J1514" s="2" t="str">
        <f t="shared" si="9"/>
        <v>NO</v>
      </c>
      <c r="K1514" s="2" t="e">
        <f>VLOOKUP(F1514,Munka1!A:A,1,0)</f>
        <v>#N/A</v>
      </c>
    </row>
    <row r="1515" spans="10:11" x14ac:dyDescent="0.3">
      <c r="J1515" s="2" t="str">
        <f t="shared" si="9"/>
        <v>NO</v>
      </c>
      <c r="K1515" s="2" t="e">
        <f>VLOOKUP(F1515,Munka1!A:A,1,0)</f>
        <v>#N/A</v>
      </c>
    </row>
    <row r="1516" spans="10:11" x14ac:dyDescent="0.3">
      <c r="J1516" s="2" t="str">
        <f t="shared" si="9"/>
        <v>NO</v>
      </c>
      <c r="K1516" s="2" t="e">
        <f>VLOOKUP(F1516,Munka1!A:A,1,0)</f>
        <v>#N/A</v>
      </c>
    </row>
    <row r="1517" spans="10:11" x14ac:dyDescent="0.3">
      <c r="J1517" s="2" t="str">
        <f t="shared" si="9"/>
        <v>NO</v>
      </c>
      <c r="K1517" s="2" t="e">
        <f>VLOOKUP(F1517,Munka1!A:A,1,0)</f>
        <v>#N/A</v>
      </c>
    </row>
    <row r="1518" spans="10:11" x14ac:dyDescent="0.3">
      <c r="J1518" s="2" t="str">
        <f t="shared" si="9"/>
        <v>NO</v>
      </c>
      <c r="K1518" s="2" t="e">
        <f>VLOOKUP(F1518,Munka1!A:A,1,0)</f>
        <v>#N/A</v>
      </c>
    </row>
    <row r="1519" spans="10:11" x14ac:dyDescent="0.3">
      <c r="J1519" s="2" t="str">
        <f t="shared" si="9"/>
        <v>NO</v>
      </c>
      <c r="K1519" s="2" t="e">
        <f>VLOOKUP(F1519,Munka1!A:A,1,0)</f>
        <v>#N/A</v>
      </c>
    </row>
    <row r="1520" spans="10:11" x14ac:dyDescent="0.3">
      <c r="J1520" s="2" t="str">
        <f t="shared" si="9"/>
        <v>NO</v>
      </c>
      <c r="K1520" s="2" t="e">
        <f>VLOOKUP(F1520,Munka1!A:A,1,0)</f>
        <v>#N/A</v>
      </c>
    </row>
    <row r="1521" spans="10:11" x14ac:dyDescent="0.3">
      <c r="J1521" s="2" t="str">
        <f t="shared" si="9"/>
        <v>NO</v>
      </c>
      <c r="K1521" s="2" t="e">
        <f>VLOOKUP(F1521,Munka1!A:A,1,0)</f>
        <v>#N/A</v>
      </c>
    </row>
    <row r="1522" spans="10:11" x14ac:dyDescent="0.3">
      <c r="J1522" s="2" t="str">
        <f t="shared" si="9"/>
        <v>NO</v>
      </c>
      <c r="K1522" s="2" t="e">
        <f>VLOOKUP(F1522,Munka1!A:A,1,0)</f>
        <v>#N/A</v>
      </c>
    </row>
    <row r="1523" spans="10:11" x14ac:dyDescent="0.3">
      <c r="J1523" s="2" t="str">
        <f t="shared" si="9"/>
        <v>NO</v>
      </c>
      <c r="K1523" s="2" t="e">
        <f>VLOOKUP(F1523,Munka1!A:A,1,0)</f>
        <v>#N/A</v>
      </c>
    </row>
    <row r="1524" spans="10:11" x14ac:dyDescent="0.3">
      <c r="J1524" s="2" t="str">
        <f t="shared" si="9"/>
        <v>NO</v>
      </c>
      <c r="K1524" s="2" t="e">
        <f>VLOOKUP(F1524,Munka1!A:A,1,0)</f>
        <v>#N/A</v>
      </c>
    </row>
    <row r="1525" spans="10:11" x14ac:dyDescent="0.3">
      <c r="J1525" s="2" t="str">
        <f t="shared" si="9"/>
        <v>NO</v>
      </c>
      <c r="K1525" s="2" t="e">
        <f>VLOOKUP(F1525,Munka1!A:A,1,0)</f>
        <v>#N/A</v>
      </c>
    </row>
    <row r="1526" spans="10:11" x14ac:dyDescent="0.3">
      <c r="J1526" s="2" t="str">
        <f t="shared" si="9"/>
        <v>NO</v>
      </c>
      <c r="K1526" s="2" t="e">
        <f>VLOOKUP(F1526,Munka1!A:A,1,0)</f>
        <v>#N/A</v>
      </c>
    </row>
    <row r="1527" spans="10:11" x14ac:dyDescent="0.3">
      <c r="J1527" s="2" t="str">
        <f t="shared" si="9"/>
        <v>NO</v>
      </c>
      <c r="K1527" s="2" t="e">
        <f>VLOOKUP(F1527,Munka1!A:A,1,0)</f>
        <v>#N/A</v>
      </c>
    </row>
    <row r="1528" spans="10:11" x14ac:dyDescent="0.3">
      <c r="J1528" s="2" t="str">
        <f t="shared" si="9"/>
        <v>NO</v>
      </c>
      <c r="K1528" s="2" t="e">
        <f>VLOOKUP(F1528,Munka1!A:A,1,0)</f>
        <v>#N/A</v>
      </c>
    </row>
    <row r="1529" spans="10:11" x14ac:dyDescent="0.3">
      <c r="J1529" s="2" t="str">
        <f t="shared" si="9"/>
        <v>NO</v>
      </c>
      <c r="K1529" s="2" t="e">
        <f>VLOOKUP(F1529,Munka1!A:A,1,0)</f>
        <v>#N/A</v>
      </c>
    </row>
    <row r="1530" spans="10:11" x14ac:dyDescent="0.3">
      <c r="J1530" s="2" t="str">
        <f t="shared" si="9"/>
        <v>NO</v>
      </c>
      <c r="K1530" s="2" t="e">
        <f>VLOOKUP(F1530,Munka1!A:A,1,0)</f>
        <v>#N/A</v>
      </c>
    </row>
    <row r="1531" spans="10:11" x14ac:dyDescent="0.3">
      <c r="J1531" s="2" t="str">
        <f t="shared" si="9"/>
        <v>NO</v>
      </c>
      <c r="K1531" s="2" t="e">
        <f>VLOOKUP(F1531,Munka1!A:A,1,0)</f>
        <v>#N/A</v>
      </c>
    </row>
    <row r="1532" spans="10:11" x14ac:dyDescent="0.3">
      <c r="J1532" s="2" t="str">
        <f t="shared" si="9"/>
        <v>NO</v>
      </c>
      <c r="K1532" s="2" t="e">
        <f>VLOOKUP(F1532,Munka1!A:A,1,0)</f>
        <v>#N/A</v>
      </c>
    </row>
    <row r="1533" spans="10:11" x14ac:dyDescent="0.3">
      <c r="J1533" s="2" t="str">
        <f t="shared" si="9"/>
        <v>NO</v>
      </c>
      <c r="K1533" s="2" t="e">
        <f>VLOOKUP(F1533,Munka1!A:A,1,0)</f>
        <v>#N/A</v>
      </c>
    </row>
    <row r="1534" spans="10:11" x14ac:dyDescent="0.3">
      <c r="J1534" s="2" t="str">
        <f t="shared" si="9"/>
        <v>NO</v>
      </c>
      <c r="K1534" s="2" t="e">
        <f>VLOOKUP(F1534,Munka1!A:A,1,0)</f>
        <v>#N/A</v>
      </c>
    </row>
    <row r="1535" spans="10:11" x14ac:dyDescent="0.3">
      <c r="J1535" s="2" t="str">
        <f t="shared" si="9"/>
        <v>NO</v>
      </c>
      <c r="K1535" s="2" t="e">
        <f>VLOOKUP(F1535,Munka1!A:A,1,0)</f>
        <v>#N/A</v>
      </c>
    </row>
    <row r="1536" spans="10:11" x14ac:dyDescent="0.3">
      <c r="J1536" s="2" t="str">
        <f t="shared" si="9"/>
        <v>NO</v>
      </c>
      <c r="K1536" s="2" t="e">
        <f>VLOOKUP(F1536,Munka1!A:A,1,0)</f>
        <v>#N/A</v>
      </c>
    </row>
    <row r="1537" spans="10:11" x14ac:dyDescent="0.3">
      <c r="J1537" s="2" t="str">
        <f t="shared" si="9"/>
        <v>NO</v>
      </c>
      <c r="K1537" s="2" t="e">
        <f>VLOOKUP(F1537,Munka1!A:A,1,0)</f>
        <v>#N/A</v>
      </c>
    </row>
    <row r="1538" spans="10:11" x14ac:dyDescent="0.3">
      <c r="J1538" s="2" t="str">
        <f t="shared" si="9"/>
        <v>NO</v>
      </c>
      <c r="K1538" s="2" t="e">
        <f>VLOOKUP(F1538,Munka1!A:A,1,0)</f>
        <v>#N/A</v>
      </c>
    </row>
    <row r="1539" spans="10:11" x14ac:dyDescent="0.3">
      <c r="J1539" s="2" t="str">
        <f t="shared" ref="J1539:J1602" si="10">IF(OR(F1539="",F1539="_",LEFT(F1539,5)="SPARE",F1539="N/A"),"NO","YES")</f>
        <v>NO</v>
      </c>
      <c r="K1539" s="2" t="e">
        <f>VLOOKUP(F1539,Munka1!A:A,1,0)</f>
        <v>#N/A</v>
      </c>
    </row>
    <row r="1540" spans="10:11" x14ac:dyDescent="0.3">
      <c r="J1540" s="2" t="str">
        <f t="shared" si="10"/>
        <v>NO</v>
      </c>
      <c r="K1540" s="2" t="e">
        <f>VLOOKUP(F1540,Munka1!A:A,1,0)</f>
        <v>#N/A</v>
      </c>
    </row>
    <row r="1541" spans="10:11" x14ac:dyDescent="0.3">
      <c r="J1541" s="2" t="str">
        <f t="shared" si="10"/>
        <v>NO</v>
      </c>
      <c r="K1541" s="2" t="e">
        <f>VLOOKUP(F1541,Munka1!A:A,1,0)</f>
        <v>#N/A</v>
      </c>
    </row>
    <row r="1542" spans="10:11" x14ac:dyDescent="0.3">
      <c r="J1542" s="2" t="str">
        <f t="shared" si="10"/>
        <v>NO</v>
      </c>
      <c r="K1542" s="2" t="e">
        <f>VLOOKUP(F1542,Munka1!A:A,1,0)</f>
        <v>#N/A</v>
      </c>
    </row>
    <row r="1543" spans="10:11" x14ac:dyDescent="0.3">
      <c r="J1543" s="2" t="str">
        <f t="shared" si="10"/>
        <v>NO</v>
      </c>
      <c r="K1543" s="2" t="e">
        <f>VLOOKUP(F1543,Munka1!A:A,1,0)</f>
        <v>#N/A</v>
      </c>
    </row>
    <row r="1544" spans="10:11" x14ac:dyDescent="0.3">
      <c r="J1544" s="2" t="str">
        <f t="shared" si="10"/>
        <v>NO</v>
      </c>
      <c r="K1544" s="2" t="e">
        <f>VLOOKUP(F1544,Munka1!A:A,1,0)</f>
        <v>#N/A</v>
      </c>
    </row>
    <row r="1545" spans="10:11" x14ac:dyDescent="0.3">
      <c r="J1545" s="2" t="str">
        <f t="shared" si="10"/>
        <v>NO</v>
      </c>
      <c r="K1545" s="2" t="e">
        <f>VLOOKUP(F1545,Munka1!A:A,1,0)</f>
        <v>#N/A</v>
      </c>
    </row>
    <row r="1546" spans="10:11" x14ac:dyDescent="0.3">
      <c r="J1546" s="2" t="str">
        <f t="shared" si="10"/>
        <v>NO</v>
      </c>
      <c r="K1546" s="2" t="e">
        <f>VLOOKUP(F1546,Munka1!A:A,1,0)</f>
        <v>#N/A</v>
      </c>
    </row>
    <row r="1547" spans="10:11" x14ac:dyDescent="0.3">
      <c r="J1547" s="2" t="str">
        <f t="shared" si="10"/>
        <v>NO</v>
      </c>
      <c r="K1547" s="2" t="e">
        <f>VLOOKUP(F1547,Munka1!A:A,1,0)</f>
        <v>#N/A</v>
      </c>
    </row>
    <row r="1548" spans="10:11" x14ac:dyDescent="0.3">
      <c r="J1548" s="2" t="str">
        <f t="shared" si="10"/>
        <v>NO</v>
      </c>
      <c r="K1548" s="2" t="e">
        <f>VLOOKUP(F1548,Munka1!A:A,1,0)</f>
        <v>#N/A</v>
      </c>
    </row>
    <row r="1549" spans="10:11" x14ac:dyDescent="0.3">
      <c r="J1549" s="2" t="str">
        <f t="shared" si="10"/>
        <v>NO</v>
      </c>
      <c r="K1549" s="2" t="e">
        <f>VLOOKUP(F1549,Munka1!A:A,1,0)</f>
        <v>#N/A</v>
      </c>
    </row>
    <row r="1550" spans="10:11" x14ac:dyDescent="0.3">
      <c r="J1550" s="2" t="str">
        <f t="shared" si="10"/>
        <v>NO</v>
      </c>
      <c r="K1550" s="2" t="e">
        <f>VLOOKUP(F1550,Munka1!A:A,1,0)</f>
        <v>#N/A</v>
      </c>
    </row>
    <row r="1551" spans="10:11" x14ac:dyDescent="0.3">
      <c r="J1551" s="2" t="str">
        <f t="shared" si="10"/>
        <v>NO</v>
      </c>
      <c r="K1551" s="2" t="e">
        <f>VLOOKUP(F1551,Munka1!A:A,1,0)</f>
        <v>#N/A</v>
      </c>
    </row>
    <row r="1552" spans="10:11" x14ac:dyDescent="0.3">
      <c r="J1552" s="2" t="str">
        <f t="shared" si="10"/>
        <v>NO</v>
      </c>
      <c r="K1552" s="2" t="e">
        <f>VLOOKUP(F1552,Munka1!A:A,1,0)</f>
        <v>#N/A</v>
      </c>
    </row>
    <row r="1553" spans="10:11" x14ac:dyDescent="0.3">
      <c r="J1553" s="2" t="str">
        <f t="shared" si="10"/>
        <v>NO</v>
      </c>
      <c r="K1553" s="2" t="e">
        <f>VLOOKUP(F1553,Munka1!A:A,1,0)</f>
        <v>#N/A</v>
      </c>
    </row>
    <row r="1554" spans="10:11" x14ac:dyDescent="0.3">
      <c r="J1554" s="2" t="str">
        <f t="shared" si="10"/>
        <v>NO</v>
      </c>
      <c r="K1554" s="2" t="e">
        <f>VLOOKUP(F1554,Munka1!A:A,1,0)</f>
        <v>#N/A</v>
      </c>
    </row>
    <row r="1555" spans="10:11" x14ac:dyDescent="0.3">
      <c r="J1555" s="2" t="str">
        <f t="shared" si="10"/>
        <v>NO</v>
      </c>
      <c r="K1555" s="2" t="e">
        <f>VLOOKUP(F1555,Munka1!A:A,1,0)</f>
        <v>#N/A</v>
      </c>
    </row>
    <row r="1556" spans="10:11" x14ac:dyDescent="0.3">
      <c r="J1556" s="2" t="str">
        <f t="shared" si="10"/>
        <v>NO</v>
      </c>
      <c r="K1556" s="2" t="e">
        <f>VLOOKUP(F1556,Munka1!A:A,1,0)</f>
        <v>#N/A</v>
      </c>
    </row>
    <row r="1557" spans="10:11" x14ac:dyDescent="0.3">
      <c r="J1557" s="2" t="str">
        <f t="shared" si="10"/>
        <v>NO</v>
      </c>
      <c r="K1557" s="2" t="e">
        <f>VLOOKUP(F1557,Munka1!A:A,1,0)</f>
        <v>#N/A</v>
      </c>
    </row>
    <row r="1558" spans="10:11" x14ac:dyDescent="0.3">
      <c r="J1558" s="2" t="str">
        <f t="shared" si="10"/>
        <v>NO</v>
      </c>
      <c r="K1558" s="2" t="e">
        <f>VLOOKUP(F1558,Munka1!A:A,1,0)</f>
        <v>#N/A</v>
      </c>
    </row>
    <row r="1559" spans="10:11" x14ac:dyDescent="0.3">
      <c r="J1559" s="2" t="str">
        <f t="shared" si="10"/>
        <v>NO</v>
      </c>
      <c r="K1559" s="2" t="e">
        <f>VLOOKUP(F1559,Munka1!A:A,1,0)</f>
        <v>#N/A</v>
      </c>
    </row>
    <row r="1560" spans="10:11" x14ac:dyDescent="0.3">
      <c r="J1560" s="2" t="str">
        <f t="shared" si="10"/>
        <v>NO</v>
      </c>
      <c r="K1560" s="2" t="e">
        <f>VLOOKUP(F1560,Munka1!A:A,1,0)</f>
        <v>#N/A</v>
      </c>
    </row>
    <row r="1561" spans="10:11" x14ac:dyDescent="0.3">
      <c r="J1561" s="2" t="str">
        <f t="shared" si="10"/>
        <v>NO</v>
      </c>
      <c r="K1561" s="2" t="e">
        <f>VLOOKUP(F1561,Munka1!A:A,1,0)</f>
        <v>#N/A</v>
      </c>
    </row>
    <row r="1562" spans="10:11" x14ac:dyDescent="0.3">
      <c r="J1562" s="2" t="str">
        <f t="shared" si="10"/>
        <v>NO</v>
      </c>
      <c r="K1562" s="2" t="e">
        <f>VLOOKUP(F1562,Munka1!A:A,1,0)</f>
        <v>#N/A</v>
      </c>
    </row>
    <row r="1563" spans="10:11" x14ac:dyDescent="0.3">
      <c r="J1563" s="2" t="str">
        <f t="shared" si="10"/>
        <v>NO</v>
      </c>
      <c r="K1563" s="2" t="e">
        <f>VLOOKUP(F1563,Munka1!A:A,1,0)</f>
        <v>#N/A</v>
      </c>
    </row>
    <row r="1564" spans="10:11" x14ac:dyDescent="0.3">
      <c r="J1564" s="2" t="str">
        <f t="shared" si="10"/>
        <v>NO</v>
      </c>
      <c r="K1564" s="2" t="e">
        <f>VLOOKUP(F1564,Munka1!A:A,1,0)</f>
        <v>#N/A</v>
      </c>
    </row>
    <row r="1565" spans="10:11" x14ac:dyDescent="0.3">
      <c r="J1565" s="2" t="str">
        <f t="shared" si="10"/>
        <v>NO</v>
      </c>
      <c r="K1565" s="2" t="e">
        <f>VLOOKUP(F1565,Munka1!A:A,1,0)</f>
        <v>#N/A</v>
      </c>
    </row>
    <row r="1566" spans="10:11" x14ac:dyDescent="0.3">
      <c r="J1566" s="2" t="str">
        <f t="shared" si="10"/>
        <v>NO</v>
      </c>
      <c r="K1566" s="2" t="e">
        <f>VLOOKUP(F1566,Munka1!A:A,1,0)</f>
        <v>#N/A</v>
      </c>
    </row>
    <row r="1567" spans="10:11" x14ac:dyDescent="0.3">
      <c r="J1567" s="2" t="str">
        <f t="shared" si="10"/>
        <v>NO</v>
      </c>
      <c r="K1567" s="2" t="e">
        <f>VLOOKUP(F1567,Munka1!A:A,1,0)</f>
        <v>#N/A</v>
      </c>
    </row>
    <row r="1568" spans="10:11" x14ac:dyDescent="0.3">
      <c r="J1568" s="2" t="str">
        <f t="shared" si="10"/>
        <v>NO</v>
      </c>
      <c r="K1568" s="2" t="e">
        <f>VLOOKUP(F1568,Munka1!A:A,1,0)</f>
        <v>#N/A</v>
      </c>
    </row>
    <row r="1569" spans="10:11" x14ac:dyDescent="0.3">
      <c r="J1569" s="2" t="str">
        <f t="shared" si="10"/>
        <v>NO</v>
      </c>
      <c r="K1569" s="2" t="e">
        <f>VLOOKUP(F1569,Munka1!A:A,1,0)</f>
        <v>#N/A</v>
      </c>
    </row>
    <row r="1570" spans="10:11" x14ac:dyDescent="0.3">
      <c r="J1570" s="2" t="str">
        <f t="shared" si="10"/>
        <v>NO</v>
      </c>
      <c r="K1570" s="2" t="e">
        <f>VLOOKUP(F1570,Munka1!A:A,1,0)</f>
        <v>#N/A</v>
      </c>
    </row>
    <row r="1571" spans="10:11" x14ac:dyDescent="0.3">
      <c r="J1571" s="2" t="str">
        <f t="shared" si="10"/>
        <v>NO</v>
      </c>
      <c r="K1571" s="2" t="e">
        <f>VLOOKUP(F1571,Munka1!A:A,1,0)</f>
        <v>#N/A</v>
      </c>
    </row>
    <row r="1572" spans="10:11" x14ac:dyDescent="0.3">
      <c r="J1572" s="2" t="str">
        <f t="shared" si="10"/>
        <v>NO</v>
      </c>
      <c r="K1572" s="2" t="e">
        <f>VLOOKUP(F1572,Munka1!A:A,1,0)</f>
        <v>#N/A</v>
      </c>
    </row>
    <row r="1573" spans="10:11" x14ac:dyDescent="0.3">
      <c r="J1573" s="2" t="str">
        <f t="shared" si="10"/>
        <v>NO</v>
      </c>
      <c r="K1573" s="2" t="e">
        <f>VLOOKUP(F1573,Munka1!A:A,1,0)</f>
        <v>#N/A</v>
      </c>
    </row>
    <row r="1574" spans="10:11" x14ac:dyDescent="0.3">
      <c r="J1574" s="2" t="str">
        <f t="shared" si="10"/>
        <v>NO</v>
      </c>
      <c r="K1574" s="2" t="e">
        <f>VLOOKUP(F1574,Munka1!A:A,1,0)</f>
        <v>#N/A</v>
      </c>
    </row>
    <row r="1575" spans="10:11" x14ac:dyDescent="0.3">
      <c r="J1575" s="2" t="str">
        <f t="shared" si="10"/>
        <v>NO</v>
      </c>
      <c r="K1575" s="2" t="e">
        <f>VLOOKUP(F1575,Munka1!A:A,1,0)</f>
        <v>#N/A</v>
      </c>
    </row>
    <row r="1576" spans="10:11" x14ac:dyDescent="0.3">
      <c r="J1576" s="2" t="str">
        <f t="shared" si="10"/>
        <v>NO</v>
      </c>
      <c r="K1576" s="2" t="e">
        <f>VLOOKUP(F1576,Munka1!A:A,1,0)</f>
        <v>#N/A</v>
      </c>
    </row>
    <row r="1577" spans="10:11" x14ac:dyDescent="0.3">
      <c r="J1577" s="2" t="str">
        <f t="shared" si="10"/>
        <v>NO</v>
      </c>
      <c r="K1577" s="2" t="e">
        <f>VLOOKUP(F1577,Munka1!A:A,1,0)</f>
        <v>#N/A</v>
      </c>
    </row>
    <row r="1578" spans="10:11" x14ac:dyDescent="0.3">
      <c r="J1578" s="2" t="str">
        <f t="shared" si="10"/>
        <v>NO</v>
      </c>
      <c r="K1578" s="2" t="e">
        <f>VLOOKUP(F1578,Munka1!A:A,1,0)</f>
        <v>#N/A</v>
      </c>
    </row>
    <row r="1579" spans="10:11" x14ac:dyDescent="0.3">
      <c r="J1579" s="2" t="str">
        <f t="shared" si="10"/>
        <v>NO</v>
      </c>
      <c r="K1579" s="2" t="e">
        <f>VLOOKUP(F1579,Munka1!A:A,1,0)</f>
        <v>#N/A</v>
      </c>
    </row>
    <row r="1580" spans="10:11" x14ac:dyDescent="0.3">
      <c r="J1580" s="2" t="str">
        <f t="shared" si="10"/>
        <v>NO</v>
      </c>
      <c r="K1580" s="2" t="e">
        <f>VLOOKUP(F1580,Munka1!A:A,1,0)</f>
        <v>#N/A</v>
      </c>
    </row>
    <row r="1581" spans="10:11" x14ac:dyDescent="0.3">
      <c r="J1581" s="2" t="str">
        <f t="shared" si="10"/>
        <v>NO</v>
      </c>
      <c r="K1581" s="2" t="e">
        <f>VLOOKUP(F1581,Munka1!A:A,1,0)</f>
        <v>#N/A</v>
      </c>
    </row>
    <row r="1582" spans="10:11" x14ac:dyDescent="0.3">
      <c r="J1582" s="2" t="str">
        <f t="shared" si="10"/>
        <v>NO</v>
      </c>
      <c r="K1582" s="2" t="e">
        <f>VLOOKUP(F1582,Munka1!A:A,1,0)</f>
        <v>#N/A</v>
      </c>
    </row>
    <row r="1583" spans="10:11" x14ac:dyDescent="0.3">
      <c r="J1583" s="2" t="str">
        <f t="shared" si="10"/>
        <v>NO</v>
      </c>
      <c r="K1583" s="2" t="e">
        <f>VLOOKUP(F1583,Munka1!A:A,1,0)</f>
        <v>#N/A</v>
      </c>
    </row>
    <row r="1584" spans="10:11" x14ac:dyDescent="0.3">
      <c r="J1584" s="2" t="str">
        <f t="shared" si="10"/>
        <v>NO</v>
      </c>
      <c r="K1584" s="2" t="e">
        <f>VLOOKUP(F1584,Munka1!A:A,1,0)</f>
        <v>#N/A</v>
      </c>
    </row>
    <row r="1585" spans="10:11" x14ac:dyDescent="0.3">
      <c r="J1585" s="2" t="str">
        <f t="shared" si="10"/>
        <v>NO</v>
      </c>
      <c r="K1585" s="2" t="e">
        <f>VLOOKUP(F1585,Munka1!A:A,1,0)</f>
        <v>#N/A</v>
      </c>
    </row>
    <row r="1586" spans="10:11" x14ac:dyDescent="0.3">
      <c r="J1586" s="2" t="str">
        <f t="shared" si="10"/>
        <v>NO</v>
      </c>
      <c r="K1586" s="2" t="e">
        <f>VLOOKUP(F1586,Munka1!A:A,1,0)</f>
        <v>#N/A</v>
      </c>
    </row>
    <row r="1587" spans="10:11" x14ac:dyDescent="0.3">
      <c r="J1587" s="2" t="str">
        <f t="shared" si="10"/>
        <v>NO</v>
      </c>
      <c r="K1587" s="2" t="e">
        <f>VLOOKUP(F1587,Munka1!A:A,1,0)</f>
        <v>#N/A</v>
      </c>
    </row>
    <row r="1588" spans="10:11" x14ac:dyDescent="0.3">
      <c r="J1588" s="2" t="str">
        <f t="shared" si="10"/>
        <v>NO</v>
      </c>
      <c r="K1588" s="2" t="e">
        <f>VLOOKUP(F1588,Munka1!A:A,1,0)</f>
        <v>#N/A</v>
      </c>
    </row>
    <row r="1589" spans="10:11" x14ac:dyDescent="0.3">
      <c r="J1589" s="2" t="str">
        <f t="shared" si="10"/>
        <v>NO</v>
      </c>
      <c r="K1589" s="2" t="e">
        <f>VLOOKUP(F1589,Munka1!A:A,1,0)</f>
        <v>#N/A</v>
      </c>
    </row>
    <row r="1590" spans="10:11" x14ac:dyDescent="0.3">
      <c r="J1590" s="2" t="str">
        <f t="shared" si="10"/>
        <v>NO</v>
      </c>
      <c r="K1590" s="2" t="e">
        <f>VLOOKUP(F1590,Munka1!A:A,1,0)</f>
        <v>#N/A</v>
      </c>
    </row>
    <row r="1591" spans="10:11" x14ac:dyDescent="0.3">
      <c r="J1591" s="2" t="str">
        <f t="shared" si="10"/>
        <v>NO</v>
      </c>
      <c r="K1591" s="2" t="e">
        <f>VLOOKUP(F1591,Munka1!A:A,1,0)</f>
        <v>#N/A</v>
      </c>
    </row>
    <row r="1592" spans="10:11" x14ac:dyDescent="0.3">
      <c r="J1592" s="2" t="str">
        <f t="shared" si="10"/>
        <v>NO</v>
      </c>
      <c r="K1592" s="2" t="e">
        <f>VLOOKUP(F1592,Munka1!A:A,1,0)</f>
        <v>#N/A</v>
      </c>
    </row>
    <row r="1593" spans="10:11" x14ac:dyDescent="0.3">
      <c r="J1593" s="2" t="str">
        <f t="shared" si="10"/>
        <v>NO</v>
      </c>
      <c r="K1593" s="2" t="e">
        <f>VLOOKUP(F1593,Munka1!A:A,1,0)</f>
        <v>#N/A</v>
      </c>
    </row>
    <row r="1594" spans="10:11" x14ac:dyDescent="0.3">
      <c r="J1594" s="2" t="str">
        <f t="shared" si="10"/>
        <v>NO</v>
      </c>
      <c r="K1594" s="2" t="e">
        <f>VLOOKUP(F1594,Munka1!A:A,1,0)</f>
        <v>#N/A</v>
      </c>
    </row>
    <row r="1595" spans="10:11" x14ac:dyDescent="0.3">
      <c r="J1595" s="2" t="str">
        <f t="shared" si="10"/>
        <v>NO</v>
      </c>
      <c r="K1595" s="2" t="e">
        <f>VLOOKUP(F1595,Munka1!A:A,1,0)</f>
        <v>#N/A</v>
      </c>
    </row>
    <row r="1596" spans="10:11" x14ac:dyDescent="0.3">
      <c r="J1596" s="2" t="str">
        <f t="shared" si="10"/>
        <v>NO</v>
      </c>
      <c r="K1596" s="2" t="e">
        <f>VLOOKUP(F1596,Munka1!A:A,1,0)</f>
        <v>#N/A</v>
      </c>
    </row>
    <row r="1597" spans="10:11" x14ac:dyDescent="0.3">
      <c r="J1597" s="2" t="str">
        <f t="shared" si="10"/>
        <v>NO</v>
      </c>
      <c r="K1597" s="2" t="e">
        <f>VLOOKUP(F1597,Munka1!A:A,1,0)</f>
        <v>#N/A</v>
      </c>
    </row>
    <row r="1598" spans="10:11" x14ac:dyDescent="0.3">
      <c r="J1598" s="2" t="str">
        <f t="shared" si="10"/>
        <v>NO</v>
      </c>
      <c r="K1598" s="2" t="e">
        <f>VLOOKUP(F1598,Munka1!A:A,1,0)</f>
        <v>#N/A</v>
      </c>
    </row>
    <row r="1599" spans="10:11" x14ac:dyDescent="0.3">
      <c r="J1599" s="2" t="str">
        <f t="shared" si="10"/>
        <v>NO</v>
      </c>
      <c r="K1599" s="2" t="e">
        <f>VLOOKUP(F1599,Munka1!A:A,1,0)</f>
        <v>#N/A</v>
      </c>
    </row>
    <row r="1600" spans="10:11" x14ac:dyDescent="0.3">
      <c r="J1600" s="2" t="str">
        <f t="shared" si="10"/>
        <v>NO</v>
      </c>
      <c r="K1600" s="2" t="e">
        <f>VLOOKUP(F1600,Munka1!A:A,1,0)</f>
        <v>#N/A</v>
      </c>
    </row>
    <row r="1601" spans="10:11" x14ac:dyDescent="0.3">
      <c r="J1601" s="2" t="str">
        <f t="shared" si="10"/>
        <v>NO</v>
      </c>
      <c r="K1601" s="2" t="e">
        <f>VLOOKUP(F1601,Munka1!A:A,1,0)</f>
        <v>#N/A</v>
      </c>
    </row>
    <row r="1602" spans="10:11" x14ac:dyDescent="0.3">
      <c r="J1602" s="2" t="str">
        <f t="shared" si="10"/>
        <v>NO</v>
      </c>
      <c r="K1602" s="2" t="e">
        <f>VLOOKUP(F1602,Munka1!A:A,1,0)</f>
        <v>#N/A</v>
      </c>
    </row>
    <row r="1603" spans="10:11" x14ac:dyDescent="0.3">
      <c r="J1603" s="2" t="str">
        <f t="shared" ref="J1603:J1666" si="11">IF(OR(F1603="",F1603="_",LEFT(F1603,5)="SPARE",F1603="N/A"),"NO","YES")</f>
        <v>NO</v>
      </c>
      <c r="K1603" s="2" t="e">
        <f>VLOOKUP(F1603,Munka1!A:A,1,0)</f>
        <v>#N/A</v>
      </c>
    </row>
    <row r="1604" spans="10:11" x14ac:dyDescent="0.3">
      <c r="J1604" s="2" t="str">
        <f t="shared" si="11"/>
        <v>NO</v>
      </c>
      <c r="K1604" s="2" t="e">
        <f>VLOOKUP(F1604,Munka1!A:A,1,0)</f>
        <v>#N/A</v>
      </c>
    </row>
    <row r="1605" spans="10:11" x14ac:dyDescent="0.3">
      <c r="J1605" s="2" t="str">
        <f t="shared" si="11"/>
        <v>NO</v>
      </c>
      <c r="K1605" s="2" t="e">
        <f>VLOOKUP(F1605,Munka1!A:A,1,0)</f>
        <v>#N/A</v>
      </c>
    </row>
    <row r="1606" spans="10:11" x14ac:dyDescent="0.3">
      <c r="J1606" s="2" t="str">
        <f t="shared" si="11"/>
        <v>NO</v>
      </c>
      <c r="K1606" s="2" t="e">
        <f>VLOOKUP(F1606,Munka1!A:A,1,0)</f>
        <v>#N/A</v>
      </c>
    </row>
    <row r="1607" spans="10:11" x14ac:dyDescent="0.3">
      <c r="J1607" s="2" t="str">
        <f t="shared" si="11"/>
        <v>NO</v>
      </c>
      <c r="K1607" s="2" t="e">
        <f>VLOOKUP(F1607,Munka1!A:A,1,0)</f>
        <v>#N/A</v>
      </c>
    </row>
    <row r="1608" spans="10:11" x14ac:dyDescent="0.3">
      <c r="J1608" s="2" t="str">
        <f t="shared" si="11"/>
        <v>NO</v>
      </c>
      <c r="K1608" s="2" t="e">
        <f>VLOOKUP(F1608,Munka1!A:A,1,0)</f>
        <v>#N/A</v>
      </c>
    </row>
    <row r="1609" spans="10:11" x14ac:dyDescent="0.3">
      <c r="J1609" s="2" t="str">
        <f t="shared" si="11"/>
        <v>NO</v>
      </c>
      <c r="K1609" s="2" t="e">
        <f>VLOOKUP(F1609,Munka1!A:A,1,0)</f>
        <v>#N/A</v>
      </c>
    </row>
    <row r="1610" spans="10:11" x14ac:dyDescent="0.3">
      <c r="J1610" s="2" t="str">
        <f t="shared" si="11"/>
        <v>NO</v>
      </c>
      <c r="K1610" s="2" t="e">
        <f>VLOOKUP(F1610,Munka1!A:A,1,0)</f>
        <v>#N/A</v>
      </c>
    </row>
    <row r="1611" spans="10:11" x14ac:dyDescent="0.3">
      <c r="J1611" s="2" t="str">
        <f t="shared" si="11"/>
        <v>NO</v>
      </c>
      <c r="K1611" s="2" t="e">
        <f>VLOOKUP(F1611,Munka1!A:A,1,0)</f>
        <v>#N/A</v>
      </c>
    </row>
    <row r="1612" spans="10:11" x14ac:dyDescent="0.3">
      <c r="J1612" s="2" t="str">
        <f t="shared" si="11"/>
        <v>NO</v>
      </c>
      <c r="K1612" s="2" t="e">
        <f>VLOOKUP(F1612,Munka1!A:A,1,0)</f>
        <v>#N/A</v>
      </c>
    </row>
    <row r="1613" spans="10:11" x14ac:dyDescent="0.3">
      <c r="J1613" s="2" t="str">
        <f t="shared" si="11"/>
        <v>NO</v>
      </c>
      <c r="K1613" s="2" t="e">
        <f>VLOOKUP(F1613,Munka1!A:A,1,0)</f>
        <v>#N/A</v>
      </c>
    </row>
    <row r="1614" spans="10:11" x14ac:dyDescent="0.3">
      <c r="J1614" s="2" t="str">
        <f t="shared" si="11"/>
        <v>NO</v>
      </c>
      <c r="K1614" s="2" t="e">
        <f>VLOOKUP(F1614,Munka1!A:A,1,0)</f>
        <v>#N/A</v>
      </c>
    </row>
    <row r="1615" spans="10:11" x14ac:dyDescent="0.3">
      <c r="J1615" s="2" t="str">
        <f t="shared" si="11"/>
        <v>NO</v>
      </c>
      <c r="K1615" s="2" t="e">
        <f>VLOOKUP(F1615,Munka1!A:A,1,0)</f>
        <v>#N/A</v>
      </c>
    </row>
    <row r="1616" spans="10:11" x14ac:dyDescent="0.3">
      <c r="J1616" s="2" t="str">
        <f t="shared" si="11"/>
        <v>NO</v>
      </c>
      <c r="K1616" s="2" t="e">
        <f>VLOOKUP(F1616,Munka1!A:A,1,0)</f>
        <v>#N/A</v>
      </c>
    </row>
    <row r="1617" spans="10:11" x14ac:dyDescent="0.3">
      <c r="J1617" s="2" t="str">
        <f t="shared" si="11"/>
        <v>NO</v>
      </c>
      <c r="K1617" s="2" t="e">
        <f>VLOOKUP(F1617,Munka1!A:A,1,0)</f>
        <v>#N/A</v>
      </c>
    </row>
    <row r="1618" spans="10:11" x14ac:dyDescent="0.3">
      <c r="J1618" s="2" t="str">
        <f t="shared" si="11"/>
        <v>NO</v>
      </c>
      <c r="K1618" s="2" t="e">
        <f>VLOOKUP(F1618,Munka1!A:A,1,0)</f>
        <v>#N/A</v>
      </c>
    </row>
    <row r="1619" spans="10:11" x14ac:dyDescent="0.3">
      <c r="J1619" s="2" t="str">
        <f t="shared" si="11"/>
        <v>NO</v>
      </c>
      <c r="K1619" s="2" t="e">
        <f>VLOOKUP(F1619,Munka1!A:A,1,0)</f>
        <v>#N/A</v>
      </c>
    </row>
    <row r="1620" spans="10:11" x14ac:dyDescent="0.3">
      <c r="J1620" s="2" t="str">
        <f t="shared" si="11"/>
        <v>NO</v>
      </c>
      <c r="K1620" s="2" t="e">
        <f>VLOOKUP(F1620,Munka1!A:A,1,0)</f>
        <v>#N/A</v>
      </c>
    </row>
    <row r="1621" spans="10:11" x14ac:dyDescent="0.3">
      <c r="J1621" s="2" t="str">
        <f t="shared" si="11"/>
        <v>NO</v>
      </c>
      <c r="K1621" s="2" t="e">
        <f>VLOOKUP(F1621,Munka1!A:A,1,0)</f>
        <v>#N/A</v>
      </c>
    </row>
    <row r="1622" spans="10:11" x14ac:dyDescent="0.3">
      <c r="J1622" s="2" t="str">
        <f t="shared" si="11"/>
        <v>NO</v>
      </c>
      <c r="K1622" s="2" t="e">
        <f>VLOOKUP(F1622,Munka1!A:A,1,0)</f>
        <v>#N/A</v>
      </c>
    </row>
    <row r="1623" spans="10:11" x14ac:dyDescent="0.3">
      <c r="J1623" s="2" t="str">
        <f t="shared" si="11"/>
        <v>NO</v>
      </c>
      <c r="K1623" s="2" t="e">
        <f>VLOOKUP(F1623,Munka1!A:A,1,0)</f>
        <v>#N/A</v>
      </c>
    </row>
    <row r="1624" spans="10:11" x14ac:dyDescent="0.3">
      <c r="J1624" s="2" t="str">
        <f t="shared" si="11"/>
        <v>NO</v>
      </c>
      <c r="K1624" s="2" t="e">
        <f>VLOOKUP(F1624,Munka1!A:A,1,0)</f>
        <v>#N/A</v>
      </c>
    </row>
    <row r="1625" spans="10:11" x14ac:dyDescent="0.3">
      <c r="J1625" s="2" t="str">
        <f t="shared" si="11"/>
        <v>NO</v>
      </c>
      <c r="K1625" s="2" t="e">
        <f>VLOOKUP(F1625,Munka1!A:A,1,0)</f>
        <v>#N/A</v>
      </c>
    </row>
    <row r="1626" spans="10:11" x14ac:dyDescent="0.3">
      <c r="J1626" s="2" t="str">
        <f t="shared" si="11"/>
        <v>NO</v>
      </c>
      <c r="K1626" s="2" t="e">
        <f>VLOOKUP(F1626,Munka1!A:A,1,0)</f>
        <v>#N/A</v>
      </c>
    </row>
    <row r="1627" spans="10:11" x14ac:dyDescent="0.3">
      <c r="J1627" s="2" t="str">
        <f t="shared" si="11"/>
        <v>NO</v>
      </c>
      <c r="K1627" s="2" t="e">
        <f>VLOOKUP(F1627,Munka1!A:A,1,0)</f>
        <v>#N/A</v>
      </c>
    </row>
    <row r="1628" spans="10:11" x14ac:dyDescent="0.3">
      <c r="J1628" s="2" t="str">
        <f t="shared" si="11"/>
        <v>NO</v>
      </c>
      <c r="K1628" s="2" t="e">
        <f>VLOOKUP(F1628,Munka1!A:A,1,0)</f>
        <v>#N/A</v>
      </c>
    </row>
    <row r="1629" spans="10:11" x14ac:dyDescent="0.3">
      <c r="J1629" s="2" t="str">
        <f t="shared" si="11"/>
        <v>NO</v>
      </c>
      <c r="K1629" s="2" t="e">
        <f>VLOOKUP(F1629,Munka1!A:A,1,0)</f>
        <v>#N/A</v>
      </c>
    </row>
    <row r="1630" spans="10:11" x14ac:dyDescent="0.3">
      <c r="J1630" s="2" t="str">
        <f t="shared" si="11"/>
        <v>NO</v>
      </c>
      <c r="K1630" s="2" t="e">
        <f>VLOOKUP(F1630,Munka1!A:A,1,0)</f>
        <v>#N/A</v>
      </c>
    </row>
    <row r="1631" spans="10:11" x14ac:dyDescent="0.3">
      <c r="J1631" s="2" t="str">
        <f t="shared" si="11"/>
        <v>NO</v>
      </c>
      <c r="K1631" s="2" t="e">
        <f>VLOOKUP(F1631,Munka1!A:A,1,0)</f>
        <v>#N/A</v>
      </c>
    </row>
    <row r="1632" spans="10:11" x14ac:dyDescent="0.3">
      <c r="J1632" s="2" t="str">
        <f t="shared" si="11"/>
        <v>NO</v>
      </c>
      <c r="K1632" s="2" t="e">
        <f>VLOOKUP(F1632,Munka1!A:A,1,0)</f>
        <v>#N/A</v>
      </c>
    </row>
    <row r="1633" spans="10:11" x14ac:dyDescent="0.3">
      <c r="J1633" s="2" t="str">
        <f t="shared" si="11"/>
        <v>NO</v>
      </c>
      <c r="K1633" s="2" t="e">
        <f>VLOOKUP(F1633,Munka1!A:A,1,0)</f>
        <v>#N/A</v>
      </c>
    </row>
    <row r="1634" spans="10:11" x14ac:dyDescent="0.3">
      <c r="J1634" s="2" t="str">
        <f t="shared" si="11"/>
        <v>NO</v>
      </c>
      <c r="K1634" s="2" t="e">
        <f>VLOOKUP(F1634,Munka1!A:A,1,0)</f>
        <v>#N/A</v>
      </c>
    </row>
    <row r="1635" spans="10:11" x14ac:dyDescent="0.3">
      <c r="J1635" s="2" t="str">
        <f t="shared" si="11"/>
        <v>NO</v>
      </c>
      <c r="K1635" s="2" t="e">
        <f>VLOOKUP(F1635,Munka1!A:A,1,0)</f>
        <v>#N/A</v>
      </c>
    </row>
    <row r="1636" spans="10:11" x14ac:dyDescent="0.3">
      <c r="J1636" s="2" t="str">
        <f t="shared" si="11"/>
        <v>NO</v>
      </c>
      <c r="K1636" s="2" t="e">
        <f>VLOOKUP(F1636,Munka1!A:A,1,0)</f>
        <v>#N/A</v>
      </c>
    </row>
    <row r="1637" spans="10:11" x14ac:dyDescent="0.3">
      <c r="J1637" s="2" t="str">
        <f t="shared" si="11"/>
        <v>NO</v>
      </c>
      <c r="K1637" s="2" t="e">
        <f>VLOOKUP(F1637,Munka1!A:A,1,0)</f>
        <v>#N/A</v>
      </c>
    </row>
    <row r="1638" spans="10:11" x14ac:dyDescent="0.3">
      <c r="J1638" s="2" t="str">
        <f t="shared" si="11"/>
        <v>NO</v>
      </c>
      <c r="K1638" s="2" t="e">
        <f>VLOOKUP(F1638,Munka1!A:A,1,0)</f>
        <v>#N/A</v>
      </c>
    </row>
    <row r="1639" spans="10:11" x14ac:dyDescent="0.3">
      <c r="J1639" s="2" t="str">
        <f t="shared" si="11"/>
        <v>NO</v>
      </c>
      <c r="K1639" s="2" t="e">
        <f>VLOOKUP(F1639,Munka1!A:A,1,0)</f>
        <v>#N/A</v>
      </c>
    </row>
    <row r="1640" spans="10:11" x14ac:dyDescent="0.3">
      <c r="J1640" s="2" t="str">
        <f t="shared" si="11"/>
        <v>NO</v>
      </c>
      <c r="K1640" s="2" t="e">
        <f>VLOOKUP(F1640,Munka1!A:A,1,0)</f>
        <v>#N/A</v>
      </c>
    </row>
    <row r="1641" spans="10:11" x14ac:dyDescent="0.3">
      <c r="J1641" s="2" t="str">
        <f t="shared" si="11"/>
        <v>NO</v>
      </c>
      <c r="K1641" s="2" t="e">
        <f>VLOOKUP(F1641,Munka1!A:A,1,0)</f>
        <v>#N/A</v>
      </c>
    </row>
    <row r="1642" spans="10:11" x14ac:dyDescent="0.3">
      <c r="J1642" s="2" t="str">
        <f t="shared" si="11"/>
        <v>NO</v>
      </c>
      <c r="K1642" s="2" t="e">
        <f>VLOOKUP(F1642,Munka1!A:A,1,0)</f>
        <v>#N/A</v>
      </c>
    </row>
    <row r="1643" spans="10:11" x14ac:dyDescent="0.3">
      <c r="J1643" s="2" t="str">
        <f t="shared" si="11"/>
        <v>NO</v>
      </c>
      <c r="K1643" s="2" t="e">
        <f>VLOOKUP(F1643,Munka1!A:A,1,0)</f>
        <v>#N/A</v>
      </c>
    </row>
    <row r="1644" spans="10:11" x14ac:dyDescent="0.3">
      <c r="J1644" s="2" t="str">
        <f t="shared" si="11"/>
        <v>NO</v>
      </c>
      <c r="K1644" s="2" t="e">
        <f>VLOOKUP(F1644,Munka1!A:A,1,0)</f>
        <v>#N/A</v>
      </c>
    </row>
    <row r="1645" spans="10:11" x14ac:dyDescent="0.3">
      <c r="J1645" s="2" t="str">
        <f t="shared" si="11"/>
        <v>NO</v>
      </c>
      <c r="K1645" s="2" t="e">
        <f>VLOOKUP(F1645,Munka1!A:A,1,0)</f>
        <v>#N/A</v>
      </c>
    </row>
    <row r="1646" spans="10:11" x14ac:dyDescent="0.3">
      <c r="J1646" s="2" t="str">
        <f t="shared" si="11"/>
        <v>NO</v>
      </c>
      <c r="K1646" s="2" t="e">
        <f>VLOOKUP(F1646,Munka1!A:A,1,0)</f>
        <v>#N/A</v>
      </c>
    </row>
    <row r="1647" spans="10:11" x14ac:dyDescent="0.3">
      <c r="J1647" s="2" t="str">
        <f t="shared" si="11"/>
        <v>NO</v>
      </c>
      <c r="K1647" s="2" t="e">
        <f>VLOOKUP(F1647,Munka1!A:A,1,0)</f>
        <v>#N/A</v>
      </c>
    </row>
    <row r="1648" spans="10:11" x14ac:dyDescent="0.3">
      <c r="J1648" s="2" t="str">
        <f t="shared" si="11"/>
        <v>NO</v>
      </c>
      <c r="K1648" s="2" t="e">
        <f>VLOOKUP(F1648,Munka1!A:A,1,0)</f>
        <v>#N/A</v>
      </c>
    </row>
    <row r="1649" spans="10:11" x14ac:dyDescent="0.3">
      <c r="J1649" s="2" t="str">
        <f t="shared" si="11"/>
        <v>NO</v>
      </c>
      <c r="K1649" s="2" t="e">
        <f>VLOOKUP(F1649,Munka1!A:A,1,0)</f>
        <v>#N/A</v>
      </c>
    </row>
    <row r="1650" spans="10:11" x14ac:dyDescent="0.3">
      <c r="J1650" s="2" t="str">
        <f t="shared" si="11"/>
        <v>NO</v>
      </c>
      <c r="K1650" s="2" t="e">
        <f>VLOOKUP(F1650,Munka1!A:A,1,0)</f>
        <v>#N/A</v>
      </c>
    </row>
    <row r="1651" spans="10:11" x14ac:dyDescent="0.3">
      <c r="J1651" s="2" t="str">
        <f t="shared" si="11"/>
        <v>NO</v>
      </c>
      <c r="K1651" s="2" t="e">
        <f>VLOOKUP(F1651,Munka1!A:A,1,0)</f>
        <v>#N/A</v>
      </c>
    </row>
    <row r="1652" spans="10:11" x14ac:dyDescent="0.3">
      <c r="J1652" s="2" t="str">
        <f t="shared" si="11"/>
        <v>NO</v>
      </c>
      <c r="K1652" s="2" t="e">
        <f>VLOOKUP(F1652,Munka1!A:A,1,0)</f>
        <v>#N/A</v>
      </c>
    </row>
    <row r="1653" spans="10:11" x14ac:dyDescent="0.3">
      <c r="J1653" s="2" t="str">
        <f t="shared" si="11"/>
        <v>NO</v>
      </c>
      <c r="K1653" s="2" t="e">
        <f>VLOOKUP(F1653,Munka1!A:A,1,0)</f>
        <v>#N/A</v>
      </c>
    </row>
    <row r="1654" spans="10:11" x14ac:dyDescent="0.3">
      <c r="J1654" s="2" t="str">
        <f t="shared" si="11"/>
        <v>NO</v>
      </c>
      <c r="K1654" s="2" t="e">
        <f>VLOOKUP(F1654,Munka1!A:A,1,0)</f>
        <v>#N/A</v>
      </c>
    </row>
    <row r="1655" spans="10:11" x14ac:dyDescent="0.3">
      <c r="J1655" s="2" t="str">
        <f t="shared" si="11"/>
        <v>NO</v>
      </c>
      <c r="K1655" s="2" t="e">
        <f>VLOOKUP(F1655,Munka1!A:A,1,0)</f>
        <v>#N/A</v>
      </c>
    </row>
    <row r="1656" spans="10:11" x14ac:dyDescent="0.3">
      <c r="J1656" s="2" t="str">
        <f t="shared" si="11"/>
        <v>NO</v>
      </c>
      <c r="K1656" s="2" t="e">
        <f>VLOOKUP(F1656,Munka1!A:A,1,0)</f>
        <v>#N/A</v>
      </c>
    </row>
    <row r="1657" spans="10:11" x14ac:dyDescent="0.3">
      <c r="J1657" s="2" t="str">
        <f t="shared" si="11"/>
        <v>NO</v>
      </c>
      <c r="K1657" s="2" t="e">
        <f>VLOOKUP(F1657,Munka1!A:A,1,0)</f>
        <v>#N/A</v>
      </c>
    </row>
    <row r="1658" spans="10:11" x14ac:dyDescent="0.3">
      <c r="J1658" s="2" t="str">
        <f t="shared" si="11"/>
        <v>NO</v>
      </c>
      <c r="K1658" s="2" t="e">
        <f>VLOOKUP(F1658,Munka1!A:A,1,0)</f>
        <v>#N/A</v>
      </c>
    </row>
    <row r="1659" spans="10:11" x14ac:dyDescent="0.3">
      <c r="J1659" s="2" t="str">
        <f t="shared" si="11"/>
        <v>NO</v>
      </c>
      <c r="K1659" s="2" t="e">
        <f>VLOOKUP(F1659,Munka1!A:A,1,0)</f>
        <v>#N/A</v>
      </c>
    </row>
    <row r="1660" spans="10:11" x14ac:dyDescent="0.3">
      <c r="J1660" s="2" t="str">
        <f t="shared" si="11"/>
        <v>NO</v>
      </c>
      <c r="K1660" s="2" t="e">
        <f>VLOOKUP(F1660,Munka1!A:A,1,0)</f>
        <v>#N/A</v>
      </c>
    </row>
    <row r="1661" spans="10:11" x14ac:dyDescent="0.3">
      <c r="J1661" s="2" t="str">
        <f t="shared" si="11"/>
        <v>NO</v>
      </c>
      <c r="K1661" s="2" t="e">
        <f>VLOOKUP(F1661,Munka1!A:A,1,0)</f>
        <v>#N/A</v>
      </c>
    </row>
    <row r="1662" spans="10:11" x14ac:dyDescent="0.3">
      <c r="J1662" s="2" t="str">
        <f t="shared" si="11"/>
        <v>NO</v>
      </c>
      <c r="K1662" s="2" t="e">
        <f>VLOOKUP(F1662,Munka1!A:A,1,0)</f>
        <v>#N/A</v>
      </c>
    </row>
    <row r="1663" spans="10:11" x14ac:dyDescent="0.3">
      <c r="J1663" s="2" t="str">
        <f t="shared" si="11"/>
        <v>NO</v>
      </c>
      <c r="K1663" s="2" t="e">
        <f>VLOOKUP(F1663,Munka1!A:A,1,0)</f>
        <v>#N/A</v>
      </c>
    </row>
    <row r="1664" spans="10:11" x14ac:dyDescent="0.3">
      <c r="J1664" s="2" t="str">
        <f t="shared" si="11"/>
        <v>NO</v>
      </c>
      <c r="K1664" s="2" t="e">
        <f>VLOOKUP(F1664,Munka1!A:A,1,0)</f>
        <v>#N/A</v>
      </c>
    </row>
    <row r="1665" spans="10:11" x14ac:dyDescent="0.3">
      <c r="J1665" s="2" t="str">
        <f t="shared" si="11"/>
        <v>NO</v>
      </c>
      <c r="K1665" s="2" t="e">
        <f>VLOOKUP(F1665,Munka1!A:A,1,0)</f>
        <v>#N/A</v>
      </c>
    </row>
    <row r="1666" spans="10:11" x14ac:dyDescent="0.3">
      <c r="J1666" s="2" t="str">
        <f t="shared" si="11"/>
        <v>NO</v>
      </c>
      <c r="K1666" s="2" t="e">
        <f>VLOOKUP(F1666,Munka1!A:A,1,0)</f>
        <v>#N/A</v>
      </c>
    </row>
    <row r="1667" spans="10:11" x14ac:dyDescent="0.3">
      <c r="J1667" s="2" t="str">
        <f t="shared" ref="J1667:J1730" si="12">IF(OR(F1667="",F1667="_",LEFT(F1667,5)="SPARE",F1667="N/A"),"NO","YES")</f>
        <v>NO</v>
      </c>
      <c r="K1667" s="2" t="e">
        <f>VLOOKUP(F1667,Munka1!A:A,1,0)</f>
        <v>#N/A</v>
      </c>
    </row>
    <row r="1668" spans="10:11" x14ac:dyDescent="0.3">
      <c r="J1668" s="2" t="str">
        <f t="shared" si="12"/>
        <v>NO</v>
      </c>
      <c r="K1668" s="2" t="e">
        <f>VLOOKUP(F1668,Munka1!A:A,1,0)</f>
        <v>#N/A</v>
      </c>
    </row>
    <row r="1669" spans="10:11" x14ac:dyDescent="0.3">
      <c r="J1669" s="2" t="str">
        <f t="shared" si="12"/>
        <v>NO</v>
      </c>
      <c r="K1669" s="2" t="e">
        <f>VLOOKUP(F1669,Munka1!A:A,1,0)</f>
        <v>#N/A</v>
      </c>
    </row>
    <row r="1670" spans="10:11" x14ac:dyDescent="0.3">
      <c r="J1670" s="2" t="str">
        <f t="shared" si="12"/>
        <v>NO</v>
      </c>
      <c r="K1670" s="2" t="e">
        <f>VLOOKUP(F1670,Munka1!A:A,1,0)</f>
        <v>#N/A</v>
      </c>
    </row>
    <row r="1671" spans="10:11" x14ac:dyDescent="0.3">
      <c r="J1671" s="2" t="str">
        <f t="shared" si="12"/>
        <v>NO</v>
      </c>
      <c r="K1671" s="2" t="e">
        <f>VLOOKUP(F1671,Munka1!A:A,1,0)</f>
        <v>#N/A</v>
      </c>
    </row>
    <row r="1672" spans="10:11" x14ac:dyDescent="0.3">
      <c r="J1672" s="2" t="str">
        <f t="shared" si="12"/>
        <v>NO</v>
      </c>
      <c r="K1672" s="2" t="e">
        <f>VLOOKUP(F1672,Munka1!A:A,1,0)</f>
        <v>#N/A</v>
      </c>
    </row>
    <row r="1673" spans="10:11" x14ac:dyDescent="0.3">
      <c r="J1673" s="2" t="str">
        <f t="shared" si="12"/>
        <v>NO</v>
      </c>
      <c r="K1673" s="2" t="e">
        <f>VLOOKUP(F1673,Munka1!A:A,1,0)</f>
        <v>#N/A</v>
      </c>
    </row>
    <row r="1674" spans="10:11" x14ac:dyDescent="0.3">
      <c r="J1674" s="2" t="str">
        <f t="shared" si="12"/>
        <v>NO</v>
      </c>
      <c r="K1674" s="2" t="e">
        <f>VLOOKUP(F1674,Munka1!A:A,1,0)</f>
        <v>#N/A</v>
      </c>
    </row>
    <row r="1675" spans="10:11" x14ac:dyDescent="0.3">
      <c r="J1675" s="2" t="str">
        <f t="shared" si="12"/>
        <v>NO</v>
      </c>
      <c r="K1675" s="2" t="e">
        <f>VLOOKUP(F1675,Munka1!A:A,1,0)</f>
        <v>#N/A</v>
      </c>
    </row>
    <row r="1676" spans="10:11" x14ac:dyDescent="0.3">
      <c r="J1676" s="2" t="str">
        <f t="shared" si="12"/>
        <v>NO</v>
      </c>
      <c r="K1676" s="2" t="e">
        <f>VLOOKUP(F1676,Munka1!A:A,1,0)</f>
        <v>#N/A</v>
      </c>
    </row>
    <row r="1677" spans="10:11" x14ac:dyDescent="0.3">
      <c r="J1677" s="2" t="str">
        <f t="shared" si="12"/>
        <v>NO</v>
      </c>
      <c r="K1677" s="2" t="e">
        <f>VLOOKUP(F1677,Munka1!A:A,1,0)</f>
        <v>#N/A</v>
      </c>
    </row>
    <row r="1678" spans="10:11" x14ac:dyDescent="0.3">
      <c r="J1678" s="2" t="str">
        <f t="shared" si="12"/>
        <v>NO</v>
      </c>
      <c r="K1678" s="2" t="e">
        <f>VLOOKUP(F1678,Munka1!A:A,1,0)</f>
        <v>#N/A</v>
      </c>
    </row>
    <row r="1679" spans="10:11" x14ac:dyDescent="0.3">
      <c r="J1679" s="2" t="str">
        <f t="shared" si="12"/>
        <v>NO</v>
      </c>
      <c r="K1679" s="2" t="e">
        <f>VLOOKUP(F1679,Munka1!A:A,1,0)</f>
        <v>#N/A</v>
      </c>
    </row>
    <row r="1680" spans="10:11" x14ac:dyDescent="0.3">
      <c r="J1680" s="2" t="str">
        <f t="shared" si="12"/>
        <v>NO</v>
      </c>
      <c r="K1680" s="2" t="e">
        <f>VLOOKUP(F1680,Munka1!A:A,1,0)</f>
        <v>#N/A</v>
      </c>
    </row>
    <row r="1681" spans="10:11" x14ac:dyDescent="0.3">
      <c r="J1681" s="2" t="str">
        <f t="shared" si="12"/>
        <v>NO</v>
      </c>
      <c r="K1681" s="2" t="e">
        <f>VLOOKUP(F1681,Munka1!A:A,1,0)</f>
        <v>#N/A</v>
      </c>
    </row>
    <row r="1682" spans="10:11" x14ac:dyDescent="0.3">
      <c r="J1682" s="2" t="str">
        <f t="shared" si="12"/>
        <v>NO</v>
      </c>
      <c r="K1682" s="2" t="e">
        <f>VLOOKUP(F1682,Munka1!A:A,1,0)</f>
        <v>#N/A</v>
      </c>
    </row>
    <row r="1683" spans="10:11" x14ac:dyDescent="0.3">
      <c r="J1683" s="2" t="str">
        <f t="shared" si="12"/>
        <v>NO</v>
      </c>
      <c r="K1683" s="2" t="e">
        <f>VLOOKUP(F1683,Munka1!A:A,1,0)</f>
        <v>#N/A</v>
      </c>
    </row>
    <row r="1684" spans="10:11" x14ac:dyDescent="0.3">
      <c r="J1684" s="2" t="str">
        <f t="shared" si="12"/>
        <v>NO</v>
      </c>
      <c r="K1684" s="2" t="e">
        <f>VLOOKUP(F1684,Munka1!A:A,1,0)</f>
        <v>#N/A</v>
      </c>
    </row>
    <row r="1685" spans="10:11" x14ac:dyDescent="0.3">
      <c r="J1685" s="2" t="str">
        <f t="shared" si="12"/>
        <v>NO</v>
      </c>
      <c r="K1685" s="2" t="e">
        <f>VLOOKUP(F1685,Munka1!A:A,1,0)</f>
        <v>#N/A</v>
      </c>
    </row>
    <row r="1686" spans="10:11" x14ac:dyDescent="0.3">
      <c r="J1686" s="2" t="str">
        <f t="shared" si="12"/>
        <v>NO</v>
      </c>
      <c r="K1686" s="2" t="e">
        <f>VLOOKUP(F1686,Munka1!A:A,1,0)</f>
        <v>#N/A</v>
      </c>
    </row>
    <row r="1687" spans="10:11" x14ac:dyDescent="0.3">
      <c r="J1687" s="2" t="str">
        <f t="shared" si="12"/>
        <v>NO</v>
      </c>
      <c r="K1687" s="2" t="e">
        <f>VLOOKUP(F1687,Munka1!A:A,1,0)</f>
        <v>#N/A</v>
      </c>
    </row>
    <row r="1688" spans="10:11" x14ac:dyDescent="0.3">
      <c r="J1688" s="2" t="str">
        <f t="shared" si="12"/>
        <v>NO</v>
      </c>
      <c r="K1688" s="2" t="e">
        <f>VLOOKUP(F1688,Munka1!A:A,1,0)</f>
        <v>#N/A</v>
      </c>
    </row>
    <row r="1689" spans="10:11" x14ac:dyDescent="0.3">
      <c r="J1689" s="2" t="str">
        <f t="shared" si="12"/>
        <v>NO</v>
      </c>
      <c r="K1689" s="2" t="e">
        <f>VLOOKUP(F1689,Munka1!A:A,1,0)</f>
        <v>#N/A</v>
      </c>
    </row>
    <row r="1690" spans="10:11" x14ac:dyDescent="0.3">
      <c r="J1690" s="2" t="str">
        <f t="shared" si="12"/>
        <v>NO</v>
      </c>
      <c r="K1690" s="2" t="e">
        <f>VLOOKUP(F1690,Munka1!A:A,1,0)</f>
        <v>#N/A</v>
      </c>
    </row>
    <row r="1691" spans="10:11" x14ac:dyDescent="0.3">
      <c r="J1691" s="2" t="str">
        <f t="shared" si="12"/>
        <v>NO</v>
      </c>
      <c r="K1691" s="2" t="e">
        <f>VLOOKUP(F1691,Munka1!A:A,1,0)</f>
        <v>#N/A</v>
      </c>
    </row>
    <row r="1692" spans="10:11" x14ac:dyDescent="0.3">
      <c r="J1692" s="2" t="str">
        <f t="shared" si="12"/>
        <v>NO</v>
      </c>
      <c r="K1692" s="2" t="e">
        <f>VLOOKUP(F1692,Munka1!A:A,1,0)</f>
        <v>#N/A</v>
      </c>
    </row>
    <row r="1693" spans="10:11" x14ac:dyDescent="0.3">
      <c r="J1693" s="2" t="str">
        <f t="shared" si="12"/>
        <v>NO</v>
      </c>
      <c r="K1693" s="2" t="e">
        <f>VLOOKUP(F1693,Munka1!A:A,1,0)</f>
        <v>#N/A</v>
      </c>
    </row>
    <row r="1694" spans="10:11" x14ac:dyDescent="0.3">
      <c r="J1694" s="2" t="str">
        <f t="shared" si="12"/>
        <v>NO</v>
      </c>
      <c r="K1694" s="2" t="e">
        <f>VLOOKUP(F1694,Munka1!A:A,1,0)</f>
        <v>#N/A</v>
      </c>
    </row>
    <row r="1695" spans="10:11" x14ac:dyDescent="0.3">
      <c r="J1695" s="2" t="str">
        <f t="shared" si="12"/>
        <v>NO</v>
      </c>
      <c r="K1695" s="2" t="e">
        <f>VLOOKUP(F1695,Munka1!A:A,1,0)</f>
        <v>#N/A</v>
      </c>
    </row>
    <row r="1696" spans="10:11" x14ac:dyDescent="0.3">
      <c r="J1696" s="2" t="str">
        <f t="shared" si="12"/>
        <v>NO</v>
      </c>
      <c r="K1696" s="2" t="e">
        <f>VLOOKUP(F1696,Munka1!A:A,1,0)</f>
        <v>#N/A</v>
      </c>
    </row>
    <row r="1697" spans="10:11" x14ac:dyDescent="0.3">
      <c r="J1697" s="2" t="str">
        <f t="shared" si="12"/>
        <v>NO</v>
      </c>
      <c r="K1697" s="2" t="e">
        <f>VLOOKUP(F1697,Munka1!A:A,1,0)</f>
        <v>#N/A</v>
      </c>
    </row>
    <row r="1698" spans="10:11" x14ac:dyDescent="0.3">
      <c r="J1698" s="2" t="str">
        <f t="shared" si="12"/>
        <v>NO</v>
      </c>
      <c r="K1698" s="2" t="e">
        <f>VLOOKUP(F1698,Munka1!A:A,1,0)</f>
        <v>#N/A</v>
      </c>
    </row>
    <row r="1699" spans="10:11" x14ac:dyDescent="0.3">
      <c r="J1699" s="2" t="str">
        <f t="shared" si="12"/>
        <v>NO</v>
      </c>
      <c r="K1699" s="2" t="e">
        <f>VLOOKUP(F1699,Munka1!A:A,1,0)</f>
        <v>#N/A</v>
      </c>
    </row>
    <row r="1700" spans="10:11" x14ac:dyDescent="0.3">
      <c r="J1700" s="2" t="str">
        <f t="shared" si="12"/>
        <v>NO</v>
      </c>
      <c r="K1700" s="2" t="e">
        <f>VLOOKUP(F1700,Munka1!A:A,1,0)</f>
        <v>#N/A</v>
      </c>
    </row>
    <row r="1701" spans="10:11" x14ac:dyDescent="0.3">
      <c r="J1701" s="2" t="str">
        <f t="shared" si="12"/>
        <v>NO</v>
      </c>
      <c r="K1701" s="2" t="e">
        <f>VLOOKUP(F1701,Munka1!A:A,1,0)</f>
        <v>#N/A</v>
      </c>
    </row>
    <row r="1702" spans="10:11" x14ac:dyDescent="0.3">
      <c r="J1702" s="2" t="str">
        <f t="shared" si="12"/>
        <v>NO</v>
      </c>
      <c r="K1702" s="2" t="e">
        <f>VLOOKUP(F1702,Munka1!A:A,1,0)</f>
        <v>#N/A</v>
      </c>
    </row>
    <row r="1703" spans="10:11" x14ac:dyDescent="0.3">
      <c r="J1703" s="2" t="str">
        <f t="shared" si="12"/>
        <v>NO</v>
      </c>
      <c r="K1703" s="2" t="e">
        <f>VLOOKUP(F1703,Munka1!A:A,1,0)</f>
        <v>#N/A</v>
      </c>
    </row>
    <row r="1704" spans="10:11" x14ac:dyDescent="0.3">
      <c r="J1704" s="2" t="str">
        <f t="shared" si="12"/>
        <v>NO</v>
      </c>
      <c r="K1704" s="2" t="e">
        <f>VLOOKUP(F1704,Munka1!A:A,1,0)</f>
        <v>#N/A</v>
      </c>
    </row>
    <row r="1705" spans="10:11" x14ac:dyDescent="0.3">
      <c r="J1705" s="2" t="str">
        <f t="shared" si="12"/>
        <v>NO</v>
      </c>
      <c r="K1705" s="2" t="e">
        <f>VLOOKUP(F1705,Munka1!A:A,1,0)</f>
        <v>#N/A</v>
      </c>
    </row>
    <row r="1706" spans="10:11" x14ac:dyDescent="0.3">
      <c r="J1706" s="2" t="str">
        <f t="shared" si="12"/>
        <v>NO</v>
      </c>
      <c r="K1706" s="2" t="e">
        <f>VLOOKUP(F1706,Munka1!A:A,1,0)</f>
        <v>#N/A</v>
      </c>
    </row>
    <row r="1707" spans="10:11" x14ac:dyDescent="0.3">
      <c r="J1707" s="2" t="str">
        <f t="shared" si="12"/>
        <v>NO</v>
      </c>
      <c r="K1707" s="2" t="e">
        <f>VLOOKUP(F1707,Munka1!A:A,1,0)</f>
        <v>#N/A</v>
      </c>
    </row>
    <row r="1708" spans="10:11" x14ac:dyDescent="0.3">
      <c r="J1708" s="2" t="str">
        <f t="shared" si="12"/>
        <v>NO</v>
      </c>
      <c r="K1708" s="2" t="e">
        <f>VLOOKUP(F1708,Munka1!A:A,1,0)</f>
        <v>#N/A</v>
      </c>
    </row>
    <row r="1709" spans="10:11" x14ac:dyDescent="0.3">
      <c r="J1709" s="2" t="str">
        <f t="shared" si="12"/>
        <v>NO</v>
      </c>
      <c r="K1709" s="2" t="e">
        <f>VLOOKUP(F1709,Munka1!A:A,1,0)</f>
        <v>#N/A</v>
      </c>
    </row>
    <row r="1710" spans="10:11" x14ac:dyDescent="0.3">
      <c r="J1710" s="2" t="str">
        <f t="shared" si="12"/>
        <v>NO</v>
      </c>
      <c r="K1710" s="2" t="e">
        <f>VLOOKUP(F1710,Munka1!A:A,1,0)</f>
        <v>#N/A</v>
      </c>
    </row>
    <row r="1711" spans="10:11" x14ac:dyDescent="0.3">
      <c r="J1711" s="2" t="str">
        <f t="shared" si="12"/>
        <v>NO</v>
      </c>
      <c r="K1711" s="2" t="e">
        <f>VLOOKUP(F1711,Munka1!A:A,1,0)</f>
        <v>#N/A</v>
      </c>
    </row>
    <row r="1712" spans="10:11" x14ac:dyDescent="0.3">
      <c r="J1712" s="2" t="str">
        <f t="shared" si="12"/>
        <v>NO</v>
      </c>
      <c r="K1712" s="2" t="e">
        <f>VLOOKUP(F1712,Munka1!A:A,1,0)</f>
        <v>#N/A</v>
      </c>
    </row>
    <row r="1713" spans="10:11" x14ac:dyDescent="0.3">
      <c r="J1713" s="2" t="str">
        <f t="shared" si="12"/>
        <v>NO</v>
      </c>
      <c r="K1713" s="2" t="e">
        <f>VLOOKUP(F1713,Munka1!A:A,1,0)</f>
        <v>#N/A</v>
      </c>
    </row>
    <row r="1714" spans="10:11" x14ac:dyDescent="0.3">
      <c r="J1714" s="2" t="str">
        <f t="shared" si="12"/>
        <v>NO</v>
      </c>
      <c r="K1714" s="2" t="e">
        <f>VLOOKUP(F1714,Munka1!A:A,1,0)</f>
        <v>#N/A</v>
      </c>
    </row>
    <row r="1715" spans="10:11" x14ac:dyDescent="0.3">
      <c r="J1715" s="2" t="str">
        <f t="shared" si="12"/>
        <v>NO</v>
      </c>
      <c r="K1715" s="2" t="e">
        <f>VLOOKUP(F1715,Munka1!A:A,1,0)</f>
        <v>#N/A</v>
      </c>
    </row>
    <row r="1716" spans="10:11" x14ac:dyDescent="0.3">
      <c r="J1716" s="2" t="str">
        <f t="shared" si="12"/>
        <v>NO</v>
      </c>
      <c r="K1716" s="2" t="e">
        <f>VLOOKUP(F1716,Munka1!A:A,1,0)</f>
        <v>#N/A</v>
      </c>
    </row>
    <row r="1717" spans="10:11" x14ac:dyDescent="0.3">
      <c r="J1717" s="2" t="str">
        <f t="shared" si="12"/>
        <v>NO</v>
      </c>
      <c r="K1717" s="2" t="e">
        <f>VLOOKUP(F1717,Munka1!A:A,1,0)</f>
        <v>#N/A</v>
      </c>
    </row>
    <row r="1718" spans="10:11" x14ac:dyDescent="0.3">
      <c r="J1718" s="2" t="str">
        <f t="shared" si="12"/>
        <v>NO</v>
      </c>
      <c r="K1718" s="2" t="e">
        <f>VLOOKUP(F1718,Munka1!A:A,1,0)</f>
        <v>#N/A</v>
      </c>
    </row>
    <row r="1719" spans="10:11" x14ac:dyDescent="0.3">
      <c r="J1719" s="2" t="str">
        <f t="shared" si="12"/>
        <v>NO</v>
      </c>
      <c r="K1719" s="2" t="e">
        <f>VLOOKUP(F1719,Munka1!A:A,1,0)</f>
        <v>#N/A</v>
      </c>
    </row>
    <row r="1720" spans="10:11" x14ac:dyDescent="0.3">
      <c r="J1720" s="2" t="str">
        <f t="shared" si="12"/>
        <v>NO</v>
      </c>
      <c r="K1720" s="2" t="e">
        <f>VLOOKUP(F1720,Munka1!A:A,1,0)</f>
        <v>#N/A</v>
      </c>
    </row>
    <row r="1721" spans="10:11" x14ac:dyDescent="0.3">
      <c r="J1721" s="2" t="str">
        <f t="shared" si="12"/>
        <v>NO</v>
      </c>
      <c r="K1721" s="2" t="e">
        <f>VLOOKUP(F1721,Munka1!A:A,1,0)</f>
        <v>#N/A</v>
      </c>
    </row>
    <row r="1722" spans="10:11" x14ac:dyDescent="0.3">
      <c r="J1722" s="2" t="str">
        <f t="shared" si="12"/>
        <v>NO</v>
      </c>
      <c r="K1722" s="2" t="e">
        <f>VLOOKUP(F1722,Munka1!A:A,1,0)</f>
        <v>#N/A</v>
      </c>
    </row>
    <row r="1723" spans="10:11" x14ac:dyDescent="0.3">
      <c r="J1723" s="2" t="str">
        <f t="shared" si="12"/>
        <v>NO</v>
      </c>
      <c r="K1723" s="2" t="e">
        <f>VLOOKUP(F1723,Munka1!A:A,1,0)</f>
        <v>#N/A</v>
      </c>
    </row>
    <row r="1724" spans="10:11" x14ac:dyDescent="0.3">
      <c r="J1724" s="2" t="str">
        <f t="shared" si="12"/>
        <v>NO</v>
      </c>
      <c r="K1724" s="2" t="e">
        <f>VLOOKUP(F1724,Munka1!A:A,1,0)</f>
        <v>#N/A</v>
      </c>
    </row>
    <row r="1725" spans="10:11" x14ac:dyDescent="0.3">
      <c r="J1725" s="2" t="str">
        <f t="shared" si="12"/>
        <v>NO</v>
      </c>
      <c r="K1725" s="2" t="e">
        <f>VLOOKUP(F1725,Munka1!A:A,1,0)</f>
        <v>#N/A</v>
      </c>
    </row>
    <row r="1726" spans="10:11" x14ac:dyDescent="0.3">
      <c r="J1726" s="2" t="str">
        <f t="shared" si="12"/>
        <v>NO</v>
      </c>
      <c r="K1726" s="2" t="e">
        <f>VLOOKUP(F1726,Munka1!A:A,1,0)</f>
        <v>#N/A</v>
      </c>
    </row>
    <row r="1727" spans="10:11" x14ac:dyDescent="0.3">
      <c r="J1727" s="2" t="str">
        <f t="shared" si="12"/>
        <v>NO</v>
      </c>
      <c r="K1727" s="2" t="e">
        <f>VLOOKUP(F1727,Munka1!A:A,1,0)</f>
        <v>#N/A</v>
      </c>
    </row>
    <row r="1728" spans="10:11" x14ac:dyDescent="0.3">
      <c r="J1728" s="2" t="str">
        <f t="shared" si="12"/>
        <v>NO</v>
      </c>
      <c r="K1728" s="2" t="e">
        <f>VLOOKUP(F1728,Munka1!A:A,1,0)</f>
        <v>#N/A</v>
      </c>
    </row>
    <row r="1729" spans="10:11" x14ac:dyDescent="0.3">
      <c r="J1729" s="2" t="str">
        <f t="shared" si="12"/>
        <v>NO</v>
      </c>
      <c r="K1729" s="2" t="e">
        <f>VLOOKUP(F1729,Munka1!A:A,1,0)</f>
        <v>#N/A</v>
      </c>
    </row>
    <row r="1730" spans="10:11" x14ac:dyDescent="0.3">
      <c r="J1730" s="2" t="str">
        <f t="shared" si="12"/>
        <v>NO</v>
      </c>
      <c r="K1730" s="2" t="e">
        <f>VLOOKUP(F1730,Munka1!A:A,1,0)</f>
        <v>#N/A</v>
      </c>
    </row>
    <row r="1731" spans="10:11" x14ac:dyDescent="0.3">
      <c r="J1731" s="2" t="str">
        <f t="shared" ref="J1731:J1794" si="13">IF(OR(F1731="",F1731="_",LEFT(F1731,5)="SPARE",F1731="N/A"),"NO","YES")</f>
        <v>NO</v>
      </c>
      <c r="K1731" s="2" t="e">
        <f>VLOOKUP(F1731,Munka1!A:A,1,0)</f>
        <v>#N/A</v>
      </c>
    </row>
    <row r="1732" spans="10:11" x14ac:dyDescent="0.3">
      <c r="J1732" s="2" t="str">
        <f t="shared" si="13"/>
        <v>NO</v>
      </c>
      <c r="K1732" s="2" t="e">
        <f>VLOOKUP(F1732,Munka1!A:A,1,0)</f>
        <v>#N/A</v>
      </c>
    </row>
    <row r="1733" spans="10:11" x14ac:dyDescent="0.3">
      <c r="J1733" s="2" t="str">
        <f t="shared" si="13"/>
        <v>NO</v>
      </c>
      <c r="K1733" s="2" t="e">
        <f>VLOOKUP(F1733,Munka1!A:A,1,0)</f>
        <v>#N/A</v>
      </c>
    </row>
    <row r="1734" spans="10:11" x14ac:dyDescent="0.3">
      <c r="J1734" s="2" t="str">
        <f t="shared" si="13"/>
        <v>NO</v>
      </c>
      <c r="K1734" s="2" t="e">
        <f>VLOOKUP(F1734,Munka1!A:A,1,0)</f>
        <v>#N/A</v>
      </c>
    </row>
    <row r="1735" spans="10:11" x14ac:dyDescent="0.3">
      <c r="J1735" s="2" t="str">
        <f t="shared" si="13"/>
        <v>NO</v>
      </c>
      <c r="K1735" s="2" t="e">
        <f>VLOOKUP(F1735,Munka1!A:A,1,0)</f>
        <v>#N/A</v>
      </c>
    </row>
    <row r="1736" spans="10:11" x14ac:dyDescent="0.3">
      <c r="J1736" s="2" t="str">
        <f t="shared" si="13"/>
        <v>NO</v>
      </c>
      <c r="K1736" s="2" t="e">
        <f>VLOOKUP(F1736,Munka1!A:A,1,0)</f>
        <v>#N/A</v>
      </c>
    </row>
    <row r="1737" spans="10:11" x14ac:dyDescent="0.3">
      <c r="J1737" s="2" t="str">
        <f t="shared" si="13"/>
        <v>NO</v>
      </c>
      <c r="K1737" s="2" t="e">
        <f>VLOOKUP(F1737,Munka1!A:A,1,0)</f>
        <v>#N/A</v>
      </c>
    </row>
    <row r="1738" spans="10:11" x14ac:dyDescent="0.3">
      <c r="J1738" s="2" t="str">
        <f t="shared" si="13"/>
        <v>NO</v>
      </c>
      <c r="K1738" s="2" t="e">
        <f>VLOOKUP(F1738,Munka1!A:A,1,0)</f>
        <v>#N/A</v>
      </c>
    </row>
    <row r="1739" spans="10:11" x14ac:dyDescent="0.3">
      <c r="J1739" s="2" t="str">
        <f t="shared" si="13"/>
        <v>NO</v>
      </c>
      <c r="K1739" s="2" t="e">
        <f>VLOOKUP(F1739,Munka1!A:A,1,0)</f>
        <v>#N/A</v>
      </c>
    </row>
    <row r="1740" spans="10:11" x14ac:dyDescent="0.3">
      <c r="J1740" s="2" t="str">
        <f t="shared" si="13"/>
        <v>NO</v>
      </c>
      <c r="K1740" s="2" t="e">
        <f>VLOOKUP(F1740,Munka1!A:A,1,0)</f>
        <v>#N/A</v>
      </c>
    </row>
    <row r="1741" spans="10:11" x14ac:dyDescent="0.3">
      <c r="J1741" s="2" t="str">
        <f t="shared" si="13"/>
        <v>NO</v>
      </c>
      <c r="K1741" s="2" t="e">
        <f>VLOOKUP(F1741,Munka1!A:A,1,0)</f>
        <v>#N/A</v>
      </c>
    </row>
    <row r="1742" spans="10:11" x14ac:dyDescent="0.3">
      <c r="J1742" s="2" t="str">
        <f t="shared" si="13"/>
        <v>NO</v>
      </c>
      <c r="K1742" s="2" t="e">
        <f>VLOOKUP(F1742,Munka1!A:A,1,0)</f>
        <v>#N/A</v>
      </c>
    </row>
    <row r="1743" spans="10:11" x14ac:dyDescent="0.3">
      <c r="J1743" s="2" t="str">
        <f t="shared" si="13"/>
        <v>NO</v>
      </c>
      <c r="K1743" s="2" t="e">
        <f>VLOOKUP(F1743,Munka1!A:A,1,0)</f>
        <v>#N/A</v>
      </c>
    </row>
    <row r="1744" spans="10:11" x14ac:dyDescent="0.3">
      <c r="J1744" s="2" t="str">
        <f t="shared" si="13"/>
        <v>NO</v>
      </c>
      <c r="K1744" s="2" t="e">
        <f>VLOOKUP(F1744,Munka1!A:A,1,0)</f>
        <v>#N/A</v>
      </c>
    </row>
    <row r="1745" spans="10:11" x14ac:dyDescent="0.3">
      <c r="J1745" s="2" t="str">
        <f t="shared" si="13"/>
        <v>NO</v>
      </c>
      <c r="K1745" s="2" t="e">
        <f>VLOOKUP(F1745,Munka1!A:A,1,0)</f>
        <v>#N/A</v>
      </c>
    </row>
    <row r="1746" spans="10:11" x14ac:dyDescent="0.3">
      <c r="J1746" s="2" t="str">
        <f t="shared" si="13"/>
        <v>NO</v>
      </c>
      <c r="K1746" s="2" t="e">
        <f>VLOOKUP(F1746,Munka1!A:A,1,0)</f>
        <v>#N/A</v>
      </c>
    </row>
    <row r="1747" spans="10:11" x14ac:dyDescent="0.3">
      <c r="J1747" s="2" t="str">
        <f t="shared" si="13"/>
        <v>NO</v>
      </c>
      <c r="K1747" s="2" t="e">
        <f>VLOOKUP(F1747,Munka1!A:A,1,0)</f>
        <v>#N/A</v>
      </c>
    </row>
    <row r="1748" spans="10:11" x14ac:dyDescent="0.3">
      <c r="J1748" s="2" t="str">
        <f t="shared" si="13"/>
        <v>NO</v>
      </c>
      <c r="K1748" s="2" t="e">
        <f>VLOOKUP(F1748,Munka1!A:A,1,0)</f>
        <v>#N/A</v>
      </c>
    </row>
    <row r="1749" spans="10:11" x14ac:dyDescent="0.3">
      <c r="J1749" s="2" t="str">
        <f t="shared" si="13"/>
        <v>NO</v>
      </c>
      <c r="K1749" s="2" t="e">
        <f>VLOOKUP(F1749,Munka1!A:A,1,0)</f>
        <v>#N/A</v>
      </c>
    </row>
    <row r="1750" spans="10:11" x14ac:dyDescent="0.3">
      <c r="J1750" s="2" t="str">
        <f t="shared" si="13"/>
        <v>NO</v>
      </c>
      <c r="K1750" s="2" t="e">
        <f>VLOOKUP(F1750,Munka1!A:A,1,0)</f>
        <v>#N/A</v>
      </c>
    </row>
    <row r="1751" spans="10:11" x14ac:dyDescent="0.3">
      <c r="J1751" s="2" t="str">
        <f t="shared" si="13"/>
        <v>NO</v>
      </c>
      <c r="K1751" s="2" t="e">
        <f>VLOOKUP(F1751,Munka1!A:A,1,0)</f>
        <v>#N/A</v>
      </c>
    </row>
    <row r="1752" spans="10:11" x14ac:dyDescent="0.3">
      <c r="J1752" s="2" t="str">
        <f t="shared" si="13"/>
        <v>NO</v>
      </c>
      <c r="K1752" s="2" t="e">
        <f>VLOOKUP(F1752,Munka1!A:A,1,0)</f>
        <v>#N/A</v>
      </c>
    </row>
    <row r="1753" spans="10:11" x14ac:dyDescent="0.3">
      <c r="J1753" s="2" t="str">
        <f t="shared" si="13"/>
        <v>NO</v>
      </c>
      <c r="K1753" s="2" t="e">
        <f>VLOOKUP(F1753,Munka1!A:A,1,0)</f>
        <v>#N/A</v>
      </c>
    </row>
    <row r="1754" spans="10:11" x14ac:dyDescent="0.3">
      <c r="J1754" s="2" t="str">
        <f t="shared" si="13"/>
        <v>NO</v>
      </c>
      <c r="K1754" s="2" t="e">
        <f>VLOOKUP(F1754,Munka1!A:A,1,0)</f>
        <v>#N/A</v>
      </c>
    </row>
    <row r="1755" spans="10:11" x14ac:dyDescent="0.3">
      <c r="J1755" s="2" t="str">
        <f t="shared" si="13"/>
        <v>NO</v>
      </c>
      <c r="K1755" s="2" t="e">
        <f>VLOOKUP(F1755,Munka1!A:A,1,0)</f>
        <v>#N/A</v>
      </c>
    </row>
    <row r="1756" spans="10:11" x14ac:dyDescent="0.3">
      <c r="J1756" s="2" t="str">
        <f t="shared" si="13"/>
        <v>NO</v>
      </c>
      <c r="K1756" s="2" t="e">
        <f>VLOOKUP(F1756,Munka1!A:A,1,0)</f>
        <v>#N/A</v>
      </c>
    </row>
    <row r="1757" spans="10:11" x14ac:dyDescent="0.3">
      <c r="J1757" s="2" t="str">
        <f t="shared" si="13"/>
        <v>NO</v>
      </c>
      <c r="K1757" s="2" t="e">
        <f>VLOOKUP(F1757,Munka1!A:A,1,0)</f>
        <v>#N/A</v>
      </c>
    </row>
    <row r="1758" spans="10:11" x14ac:dyDescent="0.3">
      <c r="J1758" s="2" t="str">
        <f t="shared" si="13"/>
        <v>NO</v>
      </c>
      <c r="K1758" s="2" t="e">
        <f>VLOOKUP(F1758,Munka1!A:A,1,0)</f>
        <v>#N/A</v>
      </c>
    </row>
    <row r="1759" spans="10:11" x14ac:dyDescent="0.3">
      <c r="J1759" s="2" t="str">
        <f t="shared" si="13"/>
        <v>NO</v>
      </c>
      <c r="K1759" s="2" t="e">
        <f>VLOOKUP(F1759,Munka1!A:A,1,0)</f>
        <v>#N/A</v>
      </c>
    </row>
    <row r="1760" spans="10:11" x14ac:dyDescent="0.3">
      <c r="J1760" s="2" t="str">
        <f t="shared" si="13"/>
        <v>NO</v>
      </c>
      <c r="K1760" s="2" t="e">
        <f>VLOOKUP(F1760,Munka1!A:A,1,0)</f>
        <v>#N/A</v>
      </c>
    </row>
    <row r="1761" spans="10:11" x14ac:dyDescent="0.3">
      <c r="J1761" s="2" t="str">
        <f t="shared" si="13"/>
        <v>NO</v>
      </c>
      <c r="K1761" s="2" t="e">
        <f>VLOOKUP(F1761,Munka1!A:A,1,0)</f>
        <v>#N/A</v>
      </c>
    </row>
    <row r="1762" spans="10:11" x14ac:dyDescent="0.3">
      <c r="J1762" s="2" t="str">
        <f t="shared" si="13"/>
        <v>NO</v>
      </c>
      <c r="K1762" s="2" t="e">
        <f>VLOOKUP(F1762,Munka1!A:A,1,0)</f>
        <v>#N/A</v>
      </c>
    </row>
    <row r="1763" spans="10:11" x14ac:dyDescent="0.3">
      <c r="J1763" s="2" t="str">
        <f t="shared" si="13"/>
        <v>NO</v>
      </c>
      <c r="K1763" s="2" t="e">
        <f>VLOOKUP(F1763,Munka1!A:A,1,0)</f>
        <v>#N/A</v>
      </c>
    </row>
    <row r="1764" spans="10:11" x14ac:dyDescent="0.3">
      <c r="J1764" s="2" t="str">
        <f t="shared" si="13"/>
        <v>NO</v>
      </c>
      <c r="K1764" s="2" t="e">
        <f>VLOOKUP(F1764,Munka1!A:A,1,0)</f>
        <v>#N/A</v>
      </c>
    </row>
    <row r="1765" spans="10:11" x14ac:dyDescent="0.3">
      <c r="J1765" s="2" t="str">
        <f t="shared" si="13"/>
        <v>NO</v>
      </c>
      <c r="K1765" s="2" t="e">
        <f>VLOOKUP(F1765,Munka1!A:A,1,0)</f>
        <v>#N/A</v>
      </c>
    </row>
    <row r="1766" spans="10:11" x14ac:dyDescent="0.3">
      <c r="J1766" s="2" t="str">
        <f t="shared" si="13"/>
        <v>NO</v>
      </c>
      <c r="K1766" s="2" t="e">
        <f>VLOOKUP(F1766,Munka1!A:A,1,0)</f>
        <v>#N/A</v>
      </c>
    </row>
    <row r="1767" spans="10:11" x14ac:dyDescent="0.3">
      <c r="J1767" s="2" t="str">
        <f t="shared" si="13"/>
        <v>NO</v>
      </c>
      <c r="K1767" s="2" t="e">
        <f>VLOOKUP(F1767,Munka1!A:A,1,0)</f>
        <v>#N/A</v>
      </c>
    </row>
    <row r="1768" spans="10:11" x14ac:dyDescent="0.3">
      <c r="J1768" s="2" t="str">
        <f t="shared" si="13"/>
        <v>NO</v>
      </c>
      <c r="K1768" s="2" t="e">
        <f>VLOOKUP(F1768,Munka1!A:A,1,0)</f>
        <v>#N/A</v>
      </c>
    </row>
    <row r="1769" spans="10:11" x14ac:dyDescent="0.3">
      <c r="J1769" s="2" t="str">
        <f t="shared" si="13"/>
        <v>NO</v>
      </c>
      <c r="K1769" s="2" t="e">
        <f>VLOOKUP(F1769,Munka1!A:A,1,0)</f>
        <v>#N/A</v>
      </c>
    </row>
    <row r="1770" spans="10:11" x14ac:dyDescent="0.3">
      <c r="J1770" s="2" t="str">
        <f t="shared" si="13"/>
        <v>NO</v>
      </c>
      <c r="K1770" s="2" t="e">
        <f>VLOOKUP(F1770,Munka1!A:A,1,0)</f>
        <v>#N/A</v>
      </c>
    </row>
    <row r="1771" spans="10:11" x14ac:dyDescent="0.3">
      <c r="J1771" s="2" t="str">
        <f t="shared" si="13"/>
        <v>NO</v>
      </c>
      <c r="K1771" s="2" t="e">
        <f>VLOOKUP(F1771,Munka1!A:A,1,0)</f>
        <v>#N/A</v>
      </c>
    </row>
    <row r="1772" spans="10:11" x14ac:dyDescent="0.3">
      <c r="J1772" s="2" t="str">
        <f t="shared" si="13"/>
        <v>NO</v>
      </c>
      <c r="K1772" s="2" t="e">
        <f>VLOOKUP(F1772,Munka1!A:A,1,0)</f>
        <v>#N/A</v>
      </c>
    </row>
    <row r="1773" spans="10:11" x14ac:dyDescent="0.3">
      <c r="J1773" s="2" t="str">
        <f t="shared" si="13"/>
        <v>NO</v>
      </c>
      <c r="K1773" s="2" t="e">
        <f>VLOOKUP(F1773,Munka1!A:A,1,0)</f>
        <v>#N/A</v>
      </c>
    </row>
    <row r="1774" spans="10:11" x14ac:dyDescent="0.3">
      <c r="J1774" s="2" t="str">
        <f t="shared" si="13"/>
        <v>NO</v>
      </c>
      <c r="K1774" s="2" t="e">
        <f>VLOOKUP(F1774,Munka1!A:A,1,0)</f>
        <v>#N/A</v>
      </c>
    </row>
    <row r="1775" spans="10:11" x14ac:dyDescent="0.3">
      <c r="J1775" s="2" t="str">
        <f t="shared" si="13"/>
        <v>NO</v>
      </c>
      <c r="K1775" s="2" t="e">
        <f>VLOOKUP(F1775,Munka1!A:A,1,0)</f>
        <v>#N/A</v>
      </c>
    </row>
    <row r="1776" spans="10:11" x14ac:dyDescent="0.3">
      <c r="J1776" s="2" t="str">
        <f t="shared" si="13"/>
        <v>NO</v>
      </c>
      <c r="K1776" s="2" t="e">
        <f>VLOOKUP(F1776,Munka1!A:A,1,0)</f>
        <v>#N/A</v>
      </c>
    </row>
    <row r="1777" spans="10:11" x14ac:dyDescent="0.3">
      <c r="J1777" s="2" t="str">
        <f t="shared" si="13"/>
        <v>NO</v>
      </c>
      <c r="K1777" s="2" t="e">
        <f>VLOOKUP(F1777,Munka1!A:A,1,0)</f>
        <v>#N/A</v>
      </c>
    </row>
    <row r="1778" spans="10:11" x14ac:dyDescent="0.3">
      <c r="J1778" s="2" t="str">
        <f t="shared" si="13"/>
        <v>NO</v>
      </c>
      <c r="K1778" s="2" t="e">
        <f>VLOOKUP(F1778,Munka1!A:A,1,0)</f>
        <v>#N/A</v>
      </c>
    </row>
    <row r="1779" spans="10:11" x14ac:dyDescent="0.3">
      <c r="J1779" s="2" t="str">
        <f t="shared" si="13"/>
        <v>NO</v>
      </c>
      <c r="K1779" s="2" t="e">
        <f>VLOOKUP(F1779,Munka1!A:A,1,0)</f>
        <v>#N/A</v>
      </c>
    </row>
    <row r="1780" spans="10:11" x14ac:dyDescent="0.3">
      <c r="J1780" s="2" t="str">
        <f t="shared" si="13"/>
        <v>NO</v>
      </c>
      <c r="K1780" s="2" t="e">
        <f>VLOOKUP(F1780,Munka1!A:A,1,0)</f>
        <v>#N/A</v>
      </c>
    </row>
    <row r="1781" spans="10:11" x14ac:dyDescent="0.3">
      <c r="J1781" s="2" t="str">
        <f t="shared" si="13"/>
        <v>NO</v>
      </c>
      <c r="K1781" s="2" t="e">
        <f>VLOOKUP(F1781,Munka1!A:A,1,0)</f>
        <v>#N/A</v>
      </c>
    </row>
    <row r="1782" spans="10:11" x14ac:dyDescent="0.3">
      <c r="J1782" s="2" t="str">
        <f t="shared" si="13"/>
        <v>NO</v>
      </c>
      <c r="K1782" s="2" t="e">
        <f>VLOOKUP(F1782,Munka1!A:A,1,0)</f>
        <v>#N/A</v>
      </c>
    </row>
    <row r="1783" spans="10:11" x14ac:dyDescent="0.3">
      <c r="J1783" s="2" t="str">
        <f t="shared" si="13"/>
        <v>NO</v>
      </c>
      <c r="K1783" s="2" t="e">
        <f>VLOOKUP(F1783,Munka1!A:A,1,0)</f>
        <v>#N/A</v>
      </c>
    </row>
    <row r="1784" spans="10:11" x14ac:dyDescent="0.3">
      <c r="J1784" s="2" t="str">
        <f t="shared" si="13"/>
        <v>NO</v>
      </c>
      <c r="K1784" s="2" t="e">
        <f>VLOOKUP(F1784,Munka1!A:A,1,0)</f>
        <v>#N/A</v>
      </c>
    </row>
    <row r="1785" spans="10:11" x14ac:dyDescent="0.3">
      <c r="J1785" s="2" t="str">
        <f t="shared" si="13"/>
        <v>NO</v>
      </c>
      <c r="K1785" s="2" t="e">
        <f>VLOOKUP(F1785,Munka1!A:A,1,0)</f>
        <v>#N/A</v>
      </c>
    </row>
    <row r="1786" spans="10:11" x14ac:dyDescent="0.3">
      <c r="J1786" s="2" t="str">
        <f t="shared" si="13"/>
        <v>NO</v>
      </c>
      <c r="K1786" s="2" t="e">
        <f>VLOOKUP(F1786,Munka1!A:A,1,0)</f>
        <v>#N/A</v>
      </c>
    </row>
    <row r="1787" spans="10:11" x14ac:dyDescent="0.3">
      <c r="J1787" s="2" t="str">
        <f t="shared" si="13"/>
        <v>NO</v>
      </c>
      <c r="K1787" s="2" t="e">
        <f>VLOOKUP(F1787,Munka1!A:A,1,0)</f>
        <v>#N/A</v>
      </c>
    </row>
    <row r="1788" spans="10:11" x14ac:dyDescent="0.3">
      <c r="J1788" s="2" t="str">
        <f t="shared" si="13"/>
        <v>NO</v>
      </c>
      <c r="K1788" s="2" t="e">
        <f>VLOOKUP(F1788,Munka1!A:A,1,0)</f>
        <v>#N/A</v>
      </c>
    </row>
    <row r="1789" spans="10:11" x14ac:dyDescent="0.3">
      <c r="J1789" s="2" t="str">
        <f t="shared" si="13"/>
        <v>NO</v>
      </c>
      <c r="K1789" s="2" t="e">
        <f>VLOOKUP(F1789,Munka1!A:A,1,0)</f>
        <v>#N/A</v>
      </c>
    </row>
    <row r="1790" spans="10:11" x14ac:dyDescent="0.3">
      <c r="J1790" s="2" t="str">
        <f t="shared" si="13"/>
        <v>NO</v>
      </c>
      <c r="K1790" s="2" t="e">
        <f>VLOOKUP(F1790,Munka1!A:A,1,0)</f>
        <v>#N/A</v>
      </c>
    </row>
    <row r="1791" spans="10:11" x14ac:dyDescent="0.3">
      <c r="J1791" s="2" t="str">
        <f t="shared" si="13"/>
        <v>NO</v>
      </c>
      <c r="K1791" s="2" t="e">
        <f>VLOOKUP(F1791,Munka1!A:A,1,0)</f>
        <v>#N/A</v>
      </c>
    </row>
    <row r="1792" spans="10:11" x14ac:dyDescent="0.3">
      <c r="J1792" s="2" t="str">
        <f t="shared" si="13"/>
        <v>NO</v>
      </c>
      <c r="K1792" s="2" t="e">
        <f>VLOOKUP(F1792,Munka1!A:A,1,0)</f>
        <v>#N/A</v>
      </c>
    </row>
    <row r="1793" spans="10:11" x14ac:dyDescent="0.3">
      <c r="J1793" s="2" t="str">
        <f t="shared" si="13"/>
        <v>NO</v>
      </c>
      <c r="K1793" s="2" t="e">
        <f>VLOOKUP(F1793,Munka1!A:A,1,0)</f>
        <v>#N/A</v>
      </c>
    </row>
    <row r="1794" spans="10:11" x14ac:dyDescent="0.3">
      <c r="J1794" s="2" t="str">
        <f t="shared" si="13"/>
        <v>NO</v>
      </c>
      <c r="K1794" s="2" t="e">
        <f>VLOOKUP(F1794,Munka1!A:A,1,0)</f>
        <v>#N/A</v>
      </c>
    </row>
    <row r="1795" spans="10:11" x14ac:dyDescent="0.3">
      <c r="J1795" s="2" t="str">
        <f t="shared" ref="J1795:J1858" si="14">IF(OR(F1795="",F1795="_",LEFT(F1795,5)="SPARE",F1795="N/A"),"NO","YES")</f>
        <v>NO</v>
      </c>
      <c r="K1795" s="2" t="e">
        <f>VLOOKUP(F1795,Munka1!A:A,1,0)</f>
        <v>#N/A</v>
      </c>
    </row>
    <row r="1796" spans="10:11" x14ac:dyDescent="0.3">
      <c r="J1796" s="2" t="str">
        <f t="shared" si="14"/>
        <v>NO</v>
      </c>
      <c r="K1796" s="2" t="e">
        <f>VLOOKUP(F1796,Munka1!A:A,1,0)</f>
        <v>#N/A</v>
      </c>
    </row>
    <row r="1797" spans="10:11" x14ac:dyDescent="0.3">
      <c r="J1797" s="2" t="str">
        <f t="shared" si="14"/>
        <v>NO</v>
      </c>
      <c r="K1797" s="2" t="e">
        <f>VLOOKUP(F1797,Munka1!A:A,1,0)</f>
        <v>#N/A</v>
      </c>
    </row>
    <row r="1798" spans="10:11" x14ac:dyDescent="0.3">
      <c r="J1798" s="2" t="str">
        <f t="shared" si="14"/>
        <v>NO</v>
      </c>
      <c r="K1798" s="2" t="e">
        <f>VLOOKUP(F1798,Munka1!A:A,1,0)</f>
        <v>#N/A</v>
      </c>
    </row>
    <row r="1799" spans="10:11" x14ac:dyDescent="0.3">
      <c r="J1799" s="2" t="str">
        <f t="shared" si="14"/>
        <v>NO</v>
      </c>
      <c r="K1799" s="2" t="e">
        <f>VLOOKUP(F1799,Munka1!A:A,1,0)</f>
        <v>#N/A</v>
      </c>
    </row>
    <row r="1800" spans="10:11" x14ac:dyDescent="0.3">
      <c r="J1800" s="2" t="str">
        <f t="shared" si="14"/>
        <v>NO</v>
      </c>
      <c r="K1800" s="2" t="e">
        <f>VLOOKUP(F1800,Munka1!A:A,1,0)</f>
        <v>#N/A</v>
      </c>
    </row>
    <row r="1801" spans="10:11" x14ac:dyDescent="0.3">
      <c r="J1801" s="2" t="str">
        <f t="shared" si="14"/>
        <v>NO</v>
      </c>
      <c r="K1801" s="2" t="e">
        <f>VLOOKUP(F1801,Munka1!A:A,1,0)</f>
        <v>#N/A</v>
      </c>
    </row>
    <row r="1802" spans="10:11" x14ac:dyDescent="0.3">
      <c r="J1802" s="2" t="str">
        <f t="shared" si="14"/>
        <v>NO</v>
      </c>
      <c r="K1802" s="2" t="e">
        <f>VLOOKUP(F1802,Munka1!A:A,1,0)</f>
        <v>#N/A</v>
      </c>
    </row>
    <row r="1803" spans="10:11" x14ac:dyDescent="0.3">
      <c r="J1803" s="2" t="str">
        <f t="shared" si="14"/>
        <v>NO</v>
      </c>
      <c r="K1803" s="2" t="e">
        <f>VLOOKUP(F1803,Munka1!A:A,1,0)</f>
        <v>#N/A</v>
      </c>
    </row>
    <row r="1804" spans="10:11" x14ac:dyDescent="0.3">
      <c r="J1804" s="2" t="str">
        <f t="shared" si="14"/>
        <v>NO</v>
      </c>
      <c r="K1804" s="2" t="e">
        <f>VLOOKUP(F1804,Munka1!A:A,1,0)</f>
        <v>#N/A</v>
      </c>
    </row>
    <row r="1805" spans="10:11" x14ac:dyDescent="0.3">
      <c r="J1805" s="2" t="str">
        <f t="shared" si="14"/>
        <v>NO</v>
      </c>
      <c r="K1805" s="2" t="e">
        <f>VLOOKUP(F1805,Munka1!A:A,1,0)</f>
        <v>#N/A</v>
      </c>
    </row>
    <row r="1806" spans="10:11" x14ac:dyDescent="0.3">
      <c r="J1806" s="2" t="str">
        <f t="shared" si="14"/>
        <v>NO</v>
      </c>
      <c r="K1806" s="2" t="e">
        <f>VLOOKUP(F1806,Munka1!A:A,1,0)</f>
        <v>#N/A</v>
      </c>
    </row>
    <row r="1807" spans="10:11" x14ac:dyDescent="0.3">
      <c r="J1807" s="2" t="str">
        <f t="shared" si="14"/>
        <v>NO</v>
      </c>
      <c r="K1807" s="2" t="e">
        <f>VLOOKUP(F1807,Munka1!A:A,1,0)</f>
        <v>#N/A</v>
      </c>
    </row>
    <row r="1808" spans="10:11" x14ac:dyDescent="0.3">
      <c r="J1808" s="2" t="str">
        <f t="shared" si="14"/>
        <v>NO</v>
      </c>
      <c r="K1808" s="2" t="e">
        <f>VLOOKUP(F1808,Munka1!A:A,1,0)</f>
        <v>#N/A</v>
      </c>
    </row>
    <row r="1809" spans="10:11" x14ac:dyDescent="0.3">
      <c r="J1809" s="2" t="str">
        <f t="shared" si="14"/>
        <v>NO</v>
      </c>
      <c r="K1809" s="2" t="e">
        <f>VLOOKUP(F1809,Munka1!A:A,1,0)</f>
        <v>#N/A</v>
      </c>
    </row>
    <row r="1810" spans="10:11" x14ac:dyDescent="0.3">
      <c r="J1810" s="2" t="str">
        <f t="shared" si="14"/>
        <v>NO</v>
      </c>
      <c r="K1810" s="2" t="e">
        <f>VLOOKUP(F1810,Munka1!A:A,1,0)</f>
        <v>#N/A</v>
      </c>
    </row>
    <row r="1811" spans="10:11" x14ac:dyDescent="0.3">
      <c r="J1811" s="2" t="str">
        <f t="shared" si="14"/>
        <v>NO</v>
      </c>
      <c r="K1811" s="2" t="e">
        <f>VLOOKUP(F1811,Munka1!A:A,1,0)</f>
        <v>#N/A</v>
      </c>
    </row>
    <row r="1812" spans="10:11" x14ac:dyDescent="0.3">
      <c r="J1812" s="2" t="str">
        <f t="shared" si="14"/>
        <v>NO</v>
      </c>
      <c r="K1812" s="2" t="e">
        <f>VLOOKUP(F1812,Munka1!A:A,1,0)</f>
        <v>#N/A</v>
      </c>
    </row>
    <row r="1813" spans="10:11" x14ac:dyDescent="0.3">
      <c r="J1813" s="2" t="str">
        <f t="shared" si="14"/>
        <v>NO</v>
      </c>
      <c r="K1813" s="2" t="e">
        <f>VLOOKUP(F1813,Munka1!A:A,1,0)</f>
        <v>#N/A</v>
      </c>
    </row>
    <row r="1814" spans="10:11" x14ac:dyDescent="0.3">
      <c r="J1814" s="2" t="str">
        <f t="shared" si="14"/>
        <v>NO</v>
      </c>
      <c r="K1814" s="2" t="e">
        <f>VLOOKUP(F1814,Munka1!A:A,1,0)</f>
        <v>#N/A</v>
      </c>
    </row>
    <row r="1815" spans="10:11" x14ac:dyDescent="0.3">
      <c r="J1815" s="2" t="str">
        <f t="shared" si="14"/>
        <v>NO</v>
      </c>
      <c r="K1815" s="2" t="e">
        <f>VLOOKUP(F1815,Munka1!A:A,1,0)</f>
        <v>#N/A</v>
      </c>
    </row>
    <row r="1816" spans="10:11" x14ac:dyDescent="0.3">
      <c r="J1816" s="2" t="str">
        <f t="shared" si="14"/>
        <v>NO</v>
      </c>
      <c r="K1816" s="2" t="e">
        <f>VLOOKUP(F1816,Munka1!A:A,1,0)</f>
        <v>#N/A</v>
      </c>
    </row>
    <row r="1817" spans="10:11" x14ac:dyDescent="0.3">
      <c r="J1817" s="2" t="str">
        <f t="shared" si="14"/>
        <v>NO</v>
      </c>
      <c r="K1817" s="2" t="e">
        <f>VLOOKUP(F1817,Munka1!A:A,1,0)</f>
        <v>#N/A</v>
      </c>
    </row>
    <row r="1818" spans="10:11" x14ac:dyDescent="0.3">
      <c r="J1818" s="2" t="str">
        <f t="shared" si="14"/>
        <v>NO</v>
      </c>
      <c r="K1818" s="2" t="e">
        <f>VLOOKUP(F1818,Munka1!A:A,1,0)</f>
        <v>#N/A</v>
      </c>
    </row>
    <row r="1819" spans="10:11" x14ac:dyDescent="0.3">
      <c r="J1819" s="2" t="str">
        <f t="shared" si="14"/>
        <v>NO</v>
      </c>
      <c r="K1819" s="2" t="e">
        <f>VLOOKUP(F1819,Munka1!A:A,1,0)</f>
        <v>#N/A</v>
      </c>
    </row>
    <row r="1820" spans="10:11" x14ac:dyDescent="0.3">
      <c r="J1820" s="2" t="str">
        <f t="shared" si="14"/>
        <v>NO</v>
      </c>
      <c r="K1820" s="2" t="e">
        <f>VLOOKUP(F1820,Munka1!A:A,1,0)</f>
        <v>#N/A</v>
      </c>
    </row>
    <row r="1821" spans="10:11" x14ac:dyDescent="0.3">
      <c r="J1821" s="2" t="str">
        <f t="shared" si="14"/>
        <v>NO</v>
      </c>
      <c r="K1821" s="2" t="e">
        <f>VLOOKUP(F1821,Munka1!A:A,1,0)</f>
        <v>#N/A</v>
      </c>
    </row>
    <row r="1822" spans="10:11" x14ac:dyDescent="0.3">
      <c r="J1822" s="2" t="str">
        <f t="shared" si="14"/>
        <v>NO</v>
      </c>
      <c r="K1822" s="2" t="e">
        <f>VLOOKUP(F1822,Munka1!A:A,1,0)</f>
        <v>#N/A</v>
      </c>
    </row>
    <row r="1823" spans="10:11" x14ac:dyDescent="0.3">
      <c r="J1823" s="2" t="str">
        <f t="shared" si="14"/>
        <v>NO</v>
      </c>
      <c r="K1823" s="2" t="e">
        <f>VLOOKUP(F1823,Munka1!A:A,1,0)</f>
        <v>#N/A</v>
      </c>
    </row>
    <row r="1824" spans="10:11" x14ac:dyDescent="0.3">
      <c r="J1824" s="2" t="str">
        <f t="shared" si="14"/>
        <v>NO</v>
      </c>
      <c r="K1824" s="2" t="e">
        <f>VLOOKUP(F1824,Munka1!A:A,1,0)</f>
        <v>#N/A</v>
      </c>
    </row>
    <row r="1825" spans="10:11" x14ac:dyDescent="0.3">
      <c r="J1825" s="2" t="str">
        <f t="shared" si="14"/>
        <v>NO</v>
      </c>
      <c r="K1825" s="2" t="e">
        <f>VLOOKUP(F1825,Munka1!A:A,1,0)</f>
        <v>#N/A</v>
      </c>
    </row>
    <row r="1826" spans="10:11" x14ac:dyDescent="0.3">
      <c r="J1826" s="2" t="str">
        <f t="shared" si="14"/>
        <v>NO</v>
      </c>
      <c r="K1826" s="2" t="e">
        <f>VLOOKUP(F1826,Munka1!A:A,1,0)</f>
        <v>#N/A</v>
      </c>
    </row>
    <row r="1827" spans="10:11" x14ac:dyDescent="0.3">
      <c r="J1827" s="2" t="str">
        <f t="shared" si="14"/>
        <v>NO</v>
      </c>
      <c r="K1827" s="2" t="e">
        <f>VLOOKUP(F1827,Munka1!A:A,1,0)</f>
        <v>#N/A</v>
      </c>
    </row>
    <row r="1828" spans="10:11" x14ac:dyDescent="0.3">
      <c r="J1828" s="2" t="str">
        <f t="shared" si="14"/>
        <v>NO</v>
      </c>
      <c r="K1828" s="2" t="e">
        <f>VLOOKUP(F1828,Munka1!A:A,1,0)</f>
        <v>#N/A</v>
      </c>
    </row>
    <row r="1829" spans="10:11" x14ac:dyDescent="0.3">
      <c r="J1829" s="2" t="str">
        <f t="shared" si="14"/>
        <v>NO</v>
      </c>
      <c r="K1829" s="2" t="e">
        <f>VLOOKUP(F1829,Munka1!A:A,1,0)</f>
        <v>#N/A</v>
      </c>
    </row>
    <row r="1830" spans="10:11" x14ac:dyDescent="0.3">
      <c r="J1830" s="2" t="str">
        <f t="shared" si="14"/>
        <v>NO</v>
      </c>
      <c r="K1830" s="2" t="e">
        <f>VLOOKUP(F1830,Munka1!A:A,1,0)</f>
        <v>#N/A</v>
      </c>
    </row>
    <row r="1831" spans="10:11" x14ac:dyDescent="0.3">
      <c r="J1831" s="2" t="str">
        <f t="shared" si="14"/>
        <v>NO</v>
      </c>
      <c r="K1831" s="2" t="e">
        <f>VLOOKUP(F1831,Munka1!A:A,1,0)</f>
        <v>#N/A</v>
      </c>
    </row>
    <row r="1832" spans="10:11" x14ac:dyDescent="0.3">
      <c r="J1832" s="2" t="str">
        <f t="shared" si="14"/>
        <v>NO</v>
      </c>
      <c r="K1832" s="2" t="e">
        <f>VLOOKUP(F1832,Munka1!A:A,1,0)</f>
        <v>#N/A</v>
      </c>
    </row>
    <row r="1833" spans="10:11" x14ac:dyDescent="0.3">
      <c r="J1833" s="2" t="str">
        <f t="shared" si="14"/>
        <v>NO</v>
      </c>
      <c r="K1833" s="2" t="e">
        <f>VLOOKUP(F1833,Munka1!A:A,1,0)</f>
        <v>#N/A</v>
      </c>
    </row>
    <row r="1834" spans="10:11" x14ac:dyDescent="0.3">
      <c r="J1834" s="2" t="str">
        <f t="shared" si="14"/>
        <v>NO</v>
      </c>
      <c r="K1834" s="2" t="e">
        <f>VLOOKUP(F1834,Munka1!A:A,1,0)</f>
        <v>#N/A</v>
      </c>
    </row>
    <row r="1835" spans="10:11" x14ac:dyDescent="0.3">
      <c r="J1835" s="2" t="str">
        <f t="shared" si="14"/>
        <v>NO</v>
      </c>
      <c r="K1835" s="2" t="e">
        <f>VLOOKUP(F1835,Munka1!A:A,1,0)</f>
        <v>#N/A</v>
      </c>
    </row>
    <row r="1836" spans="10:11" x14ac:dyDescent="0.3">
      <c r="J1836" s="2" t="str">
        <f t="shared" si="14"/>
        <v>NO</v>
      </c>
      <c r="K1836" s="2" t="e">
        <f>VLOOKUP(F1836,Munka1!A:A,1,0)</f>
        <v>#N/A</v>
      </c>
    </row>
    <row r="1837" spans="10:11" x14ac:dyDescent="0.3">
      <c r="J1837" s="2" t="str">
        <f t="shared" si="14"/>
        <v>NO</v>
      </c>
      <c r="K1837" s="2" t="e">
        <f>VLOOKUP(F1837,Munka1!A:A,1,0)</f>
        <v>#N/A</v>
      </c>
    </row>
    <row r="1838" spans="10:11" x14ac:dyDescent="0.3">
      <c r="J1838" s="2" t="str">
        <f t="shared" si="14"/>
        <v>NO</v>
      </c>
      <c r="K1838" s="2" t="e">
        <f>VLOOKUP(F1838,Munka1!A:A,1,0)</f>
        <v>#N/A</v>
      </c>
    </row>
    <row r="1839" spans="10:11" x14ac:dyDescent="0.3">
      <c r="J1839" s="2" t="str">
        <f t="shared" si="14"/>
        <v>NO</v>
      </c>
      <c r="K1839" s="2" t="e">
        <f>VLOOKUP(F1839,Munka1!A:A,1,0)</f>
        <v>#N/A</v>
      </c>
    </row>
    <row r="1840" spans="10:11" x14ac:dyDescent="0.3">
      <c r="J1840" s="2" t="str">
        <f t="shared" si="14"/>
        <v>NO</v>
      </c>
      <c r="K1840" s="2" t="e">
        <f>VLOOKUP(F1840,Munka1!A:A,1,0)</f>
        <v>#N/A</v>
      </c>
    </row>
    <row r="1841" spans="10:11" x14ac:dyDescent="0.3">
      <c r="J1841" s="2" t="str">
        <f t="shared" si="14"/>
        <v>NO</v>
      </c>
      <c r="K1841" s="2" t="e">
        <f>VLOOKUP(F1841,Munka1!A:A,1,0)</f>
        <v>#N/A</v>
      </c>
    </row>
    <row r="1842" spans="10:11" x14ac:dyDescent="0.3">
      <c r="J1842" s="2" t="str">
        <f t="shared" si="14"/>
        <v>NO</v>
      </c>
      <c r="K1842" s="2" t="e">
        <f>VLOOKUP(F1842,Munka1!A:A,1,0)</f>
        <v>#N/A</v>
      </c>
    </row>
    <row r="1843" spans="10:11" x14ac:dyDescent="0.3">
      <c r="J1843" s="2" t="str">
        <f t="shared" si="14"/>
        <v>NO</v>
      </c>
      <c r="K1843" s="2" t="e">
        <f>VLOOKUP(F1843,Munka1!A:A,1,0)</f>
        <v>#N/A</v>
      </c>
    </row>
    <row r="1844" spans="10:11" x14ac:dyDescent="0.3">
      <c r="J1844" s="2" t="str">
        <f t="shared" si="14"/>
        <v>NO</v>
      </c>
      <c r="K1844" s="2" t="e">
        <f>VLOOKUP(F1844,Munka1!A:A,1,0)</f>
        <v>#N/A</v>
      </c>
    </row>
    <row r="1845" spans="10:11" x14ac:dyDescent="0.3">
      <c r="J1845" s="2" t="str">
        <f t="shared" si="14"/>
        <v>NO</v>
      </c>
      <c r="K1845" s="2" t="e">
        <f>VLOOKUP(F1845,Munka1!A:A,1,0)</f>
        <v>#N/A</v>
      </c>
    </row>
    <row r="1846" spans="10:11" x14ac:dyDescent="0.3">
      <c r="J1846" s="2" t="str">
        <f t="shared" si="14"/>
        <v>NO</v>
      </c>
      <c r="K1846" s="2" t="e">
        <f>VLOOKUP(F1846,Munka1!A:A,1,0)</f>
        <v>#N/A</v>
      </c>
    </row>
    <row r="1847" spans="10:11" x14ac:dyDescent="0.3">
      <c r="J1847" s="2" t="str">
        <f t="shared" si="14"/>
        <v>NO</v>
      </c>
      <c r="K1847" s="2" t="e">
        <f>VLOOKUP(F1847,Munka1!A:A,1,0)</f>
        <v>#N/A</v>
      </c>
    </row>
    <row r="1848" spans="10:11" x14ac:dyDescent="0.3">
      <c r="J1848" s="2" t="str">
        <f t="shared" si="14"/>
        <v>NO</v>
      </c>
      <c r="K1848" s="2" t="e">
        <f>VLOOKUP(F1848,Munka1!A:A,1,0)</f>
        <v>#N/A</v>
      </c>
    </row>
    <row r="1849" spans="10:11" x14ac:dyDescent="0.3">
      <c r="J1849" s="2" t="str">
        <f t="shared" si="14"/>
        <v>NO</v>
      </c>
      <c r="K1849" s="2" t="e">
        <f>VLOOKUP(F1849,Munka1!A:A,1,0)</f>
        <v>#N/A</v>
      </c>
    </row>
    <row r="1850" spans="10:11" x14ac:dyDescent="0.3">
      <c r="J1850" s="2" t="str">
        <f t="shared" si="14"/>
        <v>NO</v>
      </c>
      <c r="K1850" s="2" t="e">
        <f>VLOOKUP(F1850,Munka1!A:A,1,0)</f>
        <v>#N/A</v>
      </c>
    </row>
    <row r="1851" spans="10:11" x14ac:dyDescent="0.3">
      <c r="J1851" s="2" t="str">
        <f t="shared" si="14"/>
        <v>NO</v>
      </c>
      <c r="K1851" s="2" t="e">
        <f>VLOOKUP(F1851,Munka1!A:A,1,0)</f>
        <v>#N/A</v>
      </c>
    </row>
    <row r="1852" spans="10:11" x14ac:dyDescent="0.3">
      <c r="J1852" s="2" t="str">
        <f t="shared" si="14"/>
        <v>NO</v>
      </c>
      <c r="K1852" s="2" t="e">
        <f>VLOOKUP(F1852,Munka1!A:A,1,0)</f>
        <v>#N/A</v>
      </c>
    </row>
    <row r="1853" spans="10:11" x14ac:dyDescent="0.3">
      <c r="J1853" s="2" t="str">
        <f t="shared" si="14"/>
        <v>NO</v>
      </c>
      <c r="K1853" s="2" t="e">
        <f>VLOOKUP(F1853,Munka1!A:A,1,0)</f>
        <v>#N/A</v>
      </c>
    </row>
    <row r="1854" spans="10:11" x14ac:dyDescent="0.3">
      <c r="J1854" s="2" t="str">
        <f t="shared" si="14"/>
        <v>NO</v>
      </c>
      <c r="K1854" s="2" t="e">
        <f>VLOOKUP(F1854,Munka1!A:A,1,0)</f>
        <v>#N/A</v>
      </c>
    </row>
    <row r="1855" spans="10:11" x14ac:dyDescent="0.3">
      <c r="J1855" s="2" t="str">
        <f t="shared" si="14"/>
        <v>NO</v>
      </c>
      <c r="K1855" s="2" t="e">
        <f>VLOOKUP(F1855,Munka1!A:A,1,0)</f>
        <v>#N/A</v>
      </c>
    </row>
    <row r="1856" spans="10:11" x14ac:dyDescent="0.3">
      <c r="J1856" s="2" t="str">
        <f t="shared" si="14"/>
        <v>NO</v>
      </c>
      <c r="K1856" s="2" t="e">
        <f>VLOOKUP(F1856,Munka1!A:A,1,0)</f>
        <v>#N/A</v>
      </c>
    </row>
    <row r="1857" spans="10:11" x14ac:dyDescent="0.3">
      <c r="J1857" s="2" t="str">
        <f t="shared" si="14"/>
        <v>NO</v>
      </c>
      <c r="K1857" s="2" t="e">
        <f>VLOOKUP(F1857,Munka1!A:A,1,0)</f>
        <v>#N/A</v>
      </c>
    </row>
    <row r="1858" spans="10:11" x14ac:dyDescent="0.3">
      <c r="J1858" s="2" t="str">
        <f t="shared" si="14"/>
        <v>NO</v>
      </c>
      <c r="K1858" s="2" t="e">
        <f>VLOOKUP(F1858,Munka1!A:A,1,0)</f>
        <v>#N/A</v>
      </c>
    </row>
    <row r="1859" spans="10:11" x14ac:dyDescent="0.3">
      <c r="J1859" s="2" t="str">
        <f t="shared" ref="J1859:J1922" si="15">IF(OR(F1859="",F1859="_",LEFT(F1859,5)="SPARE",F1859="N/A"),"NO","YES")</f>
        <v>NO</v>
      </c>
      <c r="K1859" s="2" t="e">
        <f>VLOOKUP(F1859,Munka1!A:A,1,0)</f>
        <v>#N/A</v>
      </c>
    </row>
    <row r="1860" spans="10:11" x14ac:dyDescent="0.3">
      <c r="J1860" s="2" t="str">
        <f t="shared" si="15"/>
        <v>NO</v>
      </c>
      <c r="K1860" s="2" t="e">
        <f>VLOOKUP(F1860,Munka1!A:A,1,0)</f>
        <v>#N/A</v>
      </c>
    </row>
    <row r="1861" spans="10:11" x14ac:dyDescent="0.3">
      <c r="J1861" s="2" t="str">
        <f t="shared" si="15"/>
        <v>NO</v>
      </c>
      <c r="K1861" s="2" t="e">
        <f>VLOOKUP(F1861,Munka1!A:A,1,0)</f>
        <v>#N/A</v>
      </c>
    </row>
    <row r="1862" spans="10:11" x14ac:dyDescent="0.3">
      <c r="J1862" s="2" t="str">
        <f t="shared" si="15"/>
        <v>NO</v>
      </c>
      <c r="K1862" s="2" t="e">
        <f>VLOOKUP(F1862,Munka1!A:A,1,0)</f>
        <v>#N/A</v>
      </c>
    </row>
    <row r="1863" spans="10:11" x14ac:dyDescent="0.3">
      <c r="J1863" s="2" t="str">
        <f t="shared" si="15"/>
        <v>NO</v>
      </c>
      <c r="K1863" s="2" t="e">
        <f>VLOOKUP(F1863,Munka1!A:A,1,0)</f>
        <v>#N/A</v>
      </c>
    </row>
    <row r="1864" spans="10:11" x14ac:dyDescent="0.3">
      <c r="J1864" s="2" t="str">
        <f t="shared" si="15"/>
        <v>NO</v>
      </c>
      <c r="K1864" s="2" t="e">
        <f>VLOOKUP(F1864,Munka1!A:A,1,0)</f>
        <v>#N/A</v>
      </c>
    </row>
    <row r="1865" spans="10:11" x14ac:dyDescent="0.3">
      <c r="J1865" s="2" t="str">
        <f t="shared" si="15"/>
        <v>NO</v>
      </c>
      <c r="K1865" s="2" t="e">
        <f>VLOOKUP(F1865,Munka1!A:A,1,0)</f>
        <v>#N/A</v>
      </c>
    </row>
    <row r="1866" spans="10:11" x14ac:dyDescent="0.3">
      <c r="J1866" s="2" t="str">
        <f t="shared" si="15"/>
        <v>NO</v>
      </c>
      <c r="K1866" s="2" t="e">
        <f>VLOOKUP(F1866,Munka1!A:A,1,0)</f>
        <v>#N/A</v>
      </c>
    </row>
    <row r="1867" spans="10:11" x14ac:dyDescent="0.3">
      <c r="J1867" s="2" t="str">
        <f t="shared" si="15"/>
        <v>NO</v>
      </c>
      <c r="K1867" s="2" t="e">
        <f>VLOOKUP(F1867,Munka1!A:A,1,0)</f>
        <v>#N/A</v>
      </c>
    </row>
    <row r="1868" spans="10:11" x14ac:dyDescent="0.3">
      <c r="J1868" s="2" t="str">
        <f t="shared" si="15"/>
        <v>NO</v>
      </c>
      <c r="K1868" s="2" t="e">
        <f>VLOOKUP(F1868,Munka1!A:A,1,0)</f>
        <v>#N/A</v>
      </c>
    </row>
    <row r="1869" spans="10:11" x14ac:dyDescent="0.3">
      <c r="J1869" s="2" t="str">
        <f t="shared" si="15"/>
        <v>NO</v>
      </c>
      <c r="K1869" s="2" t="e">
        <f>VLOOKUP(F1869,Munka1!A:A,1,0)</f>
        <v>#N/A</v>
      </c>
    </row>
    <row r="1870" spans="10:11" x14ac:dyDescent="0.3">
      <c r="J1870" s="2" t="str">
        <f t="shared" si="15"/>
        <v>NO</v>
      </c>
      <c r="K1870" s="2" t="e">
        <f>VLOOKUP(F1870,Munka1!A:A,1,0)</f>
        <v>#N/A</v>
      </c>
    </row>
    <row r="1871" spans="10:11" x14ac:dyDescent="0.3">
      <c r="J1871" s="2" t="str">
        <f t="shared" si="15"/>
        <v>NO</v>
      </c>
      <c r="K1871" s="2" t="e">
        <f>VLOOKUP(F1871,Munka1!A:A,1,0)</f>
        <v>#N/A</v>
      </c>
    </row>
    <row r="1872" spans="10:11" x14ac:dyDescent="0.3">
      <c r="J1872" s="2" t="str">
        <f t="shared" si="15"/>
        <v>NO</v>
      </c>
      <c r="K1872" s="2" t="e">
        <f>VLOOKUP(F1872,Munka1!A:A,1,0)</f>
        <v>#N/A</v>
      </c>
    </row>
    <row r="1873" spans="10:11" x14ac:dyDescent="0.3">
      <c r="J1873" s="2" t="str">
        <f t="shared" si="15"/>
        <v>NO</v>
      </c>
      <c r="K1873" s="2" t="e">
        <f>VLOOKUP(F1873,Munka1!A:A,1,0)</f>
        <v>#N/A</v>
      </c>
    </row>
    <row r="1874" spans="10:11" x14ac:dyDescent="0.3">
      <c r="J1874" s="2" t="str">
        <f t="shared" si="15"/>
        <v>NO</v>
      </c>
      <c r="K1874" s="2" t="e">
        <f>VLOOKUP(F1874,Munka1!A:A,1,0)</f>
        <v>#N/A</v>
      </c>
    </row>
    <row r="1875" spans="10:11" x14ac:dyDescent="0.3">
      <c r="J1875" s="2" t="str">
        <f t="shared" si="15"/>
        <v>NO</v>
      </c>
      <c r="K1875" s="2" t="e">
        <f>VLOOKUP(F1875,Munka1!A:A,1,0)</f>
        <v>#N/A</v>
      </c>
    </row>
    <row r="1876" spans="10:11" x14ac:dyDescent="0.3">
      <c r="J1876" s="2" t="str">
        <f t="shared" si="15"/>
        <v>NO</v>
      </c>
      <c r="K1876" s="2" t="e">
        <f>VLOOKUP(F1876,Munka1!A:A,1,0)</f>
        <v>#N/A</v>
      </c>
    </row>
    <row r="1877" spans="10:11" x14ac:dyDescent="0.3">
      <c r="J1877" s="2" t="str">
        <f t="shared" si="15"/>
        <v>NO</v>
      </c>
      <c r="K1877" s="2" t="e">
        <f>VLOOKUP(F1877,Munka1!A:A,1,0)</f>
        <v>#N/A</v>
      </c>
    </row>
    <row r="1878" spans="10:11" x14ac:dyDescent="0.3">
      <c r="J1878" s="2" t="str">
        <f t="shared" si="15"/>
        <v>NO</v>
      </c>
      <c r="K1878" s="2" t="e">
        <f>VLOOKUP(F1878,Munka1!A:A,1,0)</f>
        <v>#N/A</v>
      </c>
    </row>
    <row r="1879" spans="10:11" x14ac:dyDescent="0.3">
      <c r="J1879" s="2" t="str">
        <f t="shared" si="15"/>
        <v>NO</v>
      </c>
      <c r="K1879" s="2" t="e">
        <f>VLOOKUP(F1879,Munka1!A:A,1,0)</f>
        <v>#N/A</v>
      </c>
    </row>
    <row r="1880" spans="10:11" x14ac:dyDescent="0.3">
      <c r="J1880" s="2" t="str">
        <f t="shared" si="15"/>
        <v>NO</v>
      </c>
      <c r="K1880" s="2" t="e">
        <f>VLOOKUP(F1880,Munka1!A:A,1,0)</f>
        <v>#N/A</v>
      </c>
    </row>
    <row r="1881" spans="10:11" x14ac:dyDescent="0.3">
      <c r="J1881" s="2" t="str">
        <f t="shared" si="15"/>
        <v>NO</v>
      </c>
      <c r="K1881" s="2" t="e">
        <f>VLOOKUP(F1881,Munka1!A:A,1,0)</f>
        <v>#N/A</v>
      </c>
    </row>
    <row r="1882" spans="10:11" x14ac:dyDescent="0.3">
      <c r="J1882" s="2" t="str">
        <f t="shared" si="15"/>
        <v>NO</v>
      </c>
      <c r="K1882" s="2" t="e">
        <f>VLOOKUP(F1882,Munka1!A:A,1,0)</f>
        <v>#N/A</v>
      </c>
    </row>
    <row r="1883" spans="10:11" x14ac:dyDescent="0.3">
      <c r="J1883" s="2" t="str">
        <f t="shared" si="15"/>
        <v>NO</v>
      </c>
      <c r="K1883" s="2" t="e">
        <f>VLOOKUP(F1883,Munka1!A:A,1,0)</f>
        <v>#N/A</v>
      </c>
    </row>
    <row r="1884" spans="10:11" x14ac:dyDescent="0.3">
      <c r="J1884" s="2" t="str">
        <f t="shared" si="15"/>
        <v>NO</v>
      </c>
      <c r="K1884" s="2" t="e">
        <f>VLOOKUP(F1884,Munka1!A:A,1,0)</f>
        <v>#N/A</v>
      </c>
    </row>
    <row r="1885" spans="10:11" x14ac:dyDescent="0.3">
      <c r="J1885" s="2" t="str">
        <f t="shared" si="15"/>
        <v>NO</v>
      </c>
      <c r="K1885" s="2" t="e">
        <f>VLOOKUP(F1885,Munka1!A:A,1,0)</f>
        <v>#N/A</v>
      </c>
    </row>
    <row r="1886" spans="10:11" x14ac:dyDescent="0.3">
      <c r="J1886" s="2" t="str">
        <f t="shared" si="15"/>
        <v>NO</v>
      </c>
      <c r="K1886" s="2" t="e">
        <f>VLOOKUP(F1886,Munka1!A:A,1,0)</f>
        <v>#N/A</v>
      </c>
    </row>
    <row r="1887" spans="10:11" x14ac:dyDescent="0.3">
      <c r="J1887" s="2" t="str">
        <f t="shared" si="15"/>
        <v>NO</v>
      </c>
      <c r="K1887" s="2" t="e">
        <f>VLOOKUP(F1887,Munka1!A:A,1,0)</f>
        <v>#N/A</v>
      </c>
    </row>
    <row r="1888" spans="10:11" x14ac:dyDescent="0.3">
      <c r="J1888" s="2" t="str">
        <f t="shared" si="15"/>
        <v>NO</v>
      </c>
      <c r="K1888" s="2" t="e">
        <f>VLOOKUP(F1888,Munka1!A:A,1,0)</f>
        <v>#N/A</v>
      </c>
    </row>
    <row r="1889" spans="10:11" x14ac:dyDescent="0.3">
      <c r="J1889" s="2" t="str">
        <f t="shared" si="15"/>
        <v>NO</v>
      </c>
      <c r="K1889" s="2" t="e">
        <f>VLOOKUP(F1889,Munka1!A:A,1,0)</f>
        <v>#N/A</v>
      </c>
    </row>
    <row r="1890" spans="10:11" x14ac:dyDescent="0.3">
      <c r="J1890" s="2" t="str">
        <f t="shared" si="15"/>
        <v>NO</v>
      </c>
      <c r="K1890" s="2" t="e">
        <f>VLOOKUP(F1890,Munka1!A:A,1,0)</f>
        <v>#N/A</v>
      </c>
    </row>
    <row r="1891" spans="10:11" x14ac:dyDescent="0.3">
      <c r="J1891" s="2" t="str">
        <f t="shared" si="15"/>
        <v>NO</v>
      </c>
      <c r="K1891" s="2" t="e">
        <f>VLOOKUP(F1891,Munka1!A:A,1,0)</f>
        <v>#N/A</v>
      </c>
    </row>
    <row r="1892" spans="10:11" x14ac:dyDescent="0.3">
      <c r="J1892" s="2" t="str">
        <f t="shared" si="15"/>
        <v>NO</v>
      </c>
      <c r="K1892" s="2" t="e">
        <f>VLOOKUP(F1892,Munka1!A:A,1,0)</f>
        <v>#N/A</v>
      </c>
    </row>
    <row r="1893" spans="10:11" x14ac:dyDescent="0.3">
      <c r="J1893" s="2" t="str">
        <f t="shared" si="15"/>
        <v>NO</v>
      </c>
      <c r="K1893" s="2" t="e">
        <f>VLOOKUP(F1893,Munka1!A:A,1,0)</f>
        <v>#N/A</v>
      </c>
    </row>
    <row r="1894" spans="10:11" x14ac:dyDescent="0.3">
      <c r="J1894" s="2" t="str">
        <f t="shared" si="15"/>
        <v>NO</v>
      </c>
      <c r="K1894" s="2" t="e">
        <f>VLOOKUP(F1894,Munka1!A:A,1,0)</f>
        <v>#N/A</v>
      </c>
    </row>
    <row r="1895" spans="10:11" x14ac:dyDescent="0.3">
      <c r="J1895" s="2" t="str">
        <f t="shared" si="15"/>
        <v>NO</v>
      </c>
      <c r="K1895" s="2" t="e">
        <f>VLOOKUP(F1895,Munka1!A:A,1,0)</f>
        <v>#N/A</v>
      </c>
    </row>
    <row r="1896" spans="10:11" x14ac:dyDescent="0.3">
      <c r="J1896" s="2" t="str">
        <f t="shared" si="15"/>
        <v>NO</v>
      </c>
      <c r="K1896" s="2" t="e">
        <f>VLOOKUP(F1896,Munka1!A:A,1,0)</f>
        <v>#N/A</v>
      </c>
    </row>
    <row r="1897" spans="10:11" x14ac:dyDescent="0.3">
      <c r="J1897" s="2" t="str">
        <f t="shared" si="15"/>
        <v>NO</v>
      </c>
      <c r="K1897" s="2" t="e">
        <f>VLOOKUP(F1897,Munka1!A:A,1,0)</f>
        <v>#N/A</v>
      </c>
    </row>
    <row r="1898" spans="10:11" x14ac:dyDescent="0.3">
      <c r="J1898" s="2" t="str">
        <f t="shared" si="15"/>
        <v>NO</v>
      </c>
      <c r="K1898" s="2" t="e">
        <f>VLOOKUP(F1898,Munka1!A:A,1,0)</f>
        <v>#N/A</v>
      </c>
    </row>
    <row r="1899" spans="10:11" x14ac:dyDescent="0.3">
      <c r="J1899" s="2" t="str">
        <f t="shared" si="15"/>
        <v>NO</v>
      </c>
      <c r="K1899" s="2" t="e">
        <f>VLOOKUP(F1899,Munka1!A:A,1,0)</f>
        <v>#N/A</v>
      </c>
    </row>
    <row r="1900" spans="10:11" x14ac:dyDescent="0.3">
      <c r="J1900" s="2" t="str">
        <f t="shared" si="15"/>
        <v>NO</v>
      </c>
      <c r="K1900" s="2" t="e">
        <f>VLOOKUP(F1900,Munka1!A:A,1,0)</f>
        <v>#N/A</v>
      </c>
    </row>
    <row r="1901" spans="10:11" x14ac:dyDescent="0.3">
      <c r="J1901" s="2" t="str">
        <f t="shared" si="15"/>
        <v>NO</v>
      </c>
      <c r="K1901" s="2" t="e">
        <f>VLOOKUP(F1901,Munka1!A:A,1,0)</f>
        <v>#N/A</v>
      </c>
    </row>
    <row r="1902" spans="10:11" x14ac:dyDescent="0.3">
      <c r="J1902" s="2" t="str">
        <f t="shared" si="15"/>
        <v>NO</v>
      </c>
      <c r="K1902" s="2" t="e">
        <f>VLOOKUP(F1902,Munka1!A:A,1,0)</f>
        <v>#N/A</v>
      </c>
    </row>
    <row r="1903" spans="10:11" x14ac:dyDescent="0.3">
      <c r="J1903" s="2" t="str">
        <f t="shared" si="15"/>
        <v>NO</v>
      </c>
      <c r="K1903" s="2" t="e">
        <f>VLOOKUP(F1903,Munka1!A:A,1,0)</f>
        <v>#N/A</v>
      </c>
    </row>
    <row r="1904" spans="10:11" x14ac:dyDescent="0.3">
      <c r="J1904" s="2" t="str">
        <f t="shared" si="15"/>
        <v>NO</v>
      </c>
      <c r="K1904" s="2" t="e">
        <f>VLOOKUP(F1904,Munka1!A:A,1,0)</f>
        <v>#N/A</v>
      </c>
    </row>
    <row r="1905" spans="10:11" x14ac:dyDescent="0.3">
      <c r="J1905" s="2" t="str">
        <f t="shared" si="15"/>
        <v>NO</v>
      </c>
      <c r="K1905" s="2" t="e">
        <f>VLOOKUP(F1905,Munka1!A:A,1,0)</f>
        <v>#N/A</v>
      </c>
    </row>
    <row r="1906" spans="10:11" x14ac:dyDescent="0.3">
      <c r="J1906" s="2" t="str">
        <f t="shared" si="15"/>
        <v>NO</v>
      </c>
      <c r="K1906" s="2" t="e">
        <f>VLOOKUP(F1906,Munka1!A:A,1,0)</f>
        <v>#N/A</v>
      </c>
    </row>
    <row r="1907" spans="10:11" x14ac:dyDescent="0.3">
      <c r="J1907" s="2" t="str">
        <f t="shared" si="15"/>
        <v>NO</v>
      </c>
      <c r="K1907" s="2" t="e">
        <f>VLOOKUP(F1907,Munka1!A:A,1,0)</f>
        <v>#N/A</v>
      </c>
    </row>
    <row r="1908" spans="10:11" x14ac:dyDescent="0.3">
      <c r="J1908" s="2" t="str">
        <f t="shared" si="15"/>
        <v>NO</v>
      </c>
      <c r="K1908" s="2" t="e">
        <f>VLOOKUP(F1908,Munka1!A:A,1,0)</f>
        <v>#N/A</v>
      </c>
    </row>
    <row r="1909" spans="10:11" x14ac:dyDescent="0.3">
      <c r="J1909" s="2" t="str">
        <f t="shared" si="15"/>
        <v>NO</v>
      </c>
      <c r="K1909" s="2" t="e">
        <f>VLOOKUP(F1909,Munka1!A:A,1,0)</f>
        <v>#N/A</v>
      </c>
    </row>
    <row r="1910" spans="10:11" x14ac:dyDescent="0.3">
      <c r="J1910" s="2" t="str">
        <f t="shared" si="15"/>
        <v>NO</v>
      </c>
      <c r="K1910" s="2" t="e">
        <f>VLOOKUP(F1910,Munka1!A:A,1,0)</f>
        <v>#N/A</v>
      </c>
    </row>
    <row r="1911" spans="10:11" x14ac:dyDescent="0.3">
      <c r="J1911" s="2" t="str">
        <f t="shared" si="15"/>
        <v>NO</v>
      </c>
      <c r="K1911" s="2" t="e">
        <f>VLOOKUP(F1911,Munka1!A:A,1,0)</f>
        <v>#N/A</v>
      </c>
    </row>
    <row r="1912" spans="10:11" x14ac:dyDescent="0.3">
      <c r="J1912" s="2" t="str">
        <f t="shared" si="15"/>
        <v>NO</v>
      </c>
      <c r="K1912" s="2" t="e">
        <f>VLOOKUP(F1912,Munka1!A:A,1,0)</f>
        <v>#N/A</v>
      </c>
    </row>
    <row r="1913" spans="10:11" x14ac:dyDescent="0.3">
      <c r="J1913" s="2" t="str">
        <f t="shared" si="15"/>
        <v>NO</v>
      </c>
      <c r="K1913" s="2" t="e">
        <f>VLOOKUP(F1913,Munka1!A:A,1,0)</f>
        <v>#N/A</v>
      </c>
    </row>
    <row r="1914" spans="10:11" x14ac:dyDescent="0.3">
      <c r="J1914" s="2" t="str">
        <f t="shared" si="15"/>
        <v>NO</v>
      </c>
      <c r="K1914" s="2" t="e">
        <f>VLOOKUP(F1914,Munka1!A:A,1,0)</f>
        <v>#N/A</v>
      </c>
    </row>
    <row r="1915" spans="10:11" x14ac:dyDescent="0.3">
      <c r="J1915" s="2" t="str">
        <f t="shared" si="15"/>
        <v>NO</v>
      </c>
      <c r="K1915" s="2" t="e">
        <f>VLOOKUP(F1915,Munka1!A:A,1,0)</f>
        <v>#N/A</v>
      </c>
    </row>
    <row r="1916" spans="10:11" x14ac:dyDescent="0.3">
      <c r="J1916" s="2" t="str">
        <f t="shared" si="15"/>
        <v>NO</v>
      </c>
      <c r="K1916" s="2" t="e">
        <f>VLOOKUP(F1916,Munka1!A:A,1,0)</f>
        <v>#N/A</v>
      </c>
    </row>
    <row r="1917" spans="10:11" x14ac:dyDescent="0.3">
      <c r="J1917" s="2" t="str">
        <f t="shared" si="15"/>
        <v>NO</v>
      </c>
      <c r="K1917" s="2" t="e">
        <f>VLOOKUP(F1917,Munka1!A:A,1,0)</f>
        <v>#N/A</v>
      </c>
    </row>
    <row r="1918" spans="10:11" x14ac:dyDescent="0.3">
      <c r="J1918" s="2" t="str">
        <f t="shared" si="15"/>
        <v>NO</v>
      </c>
      <c r="K1918" s="2" t="e">
        <f>VLOOKUP(F1918,Munka1!A:A,1,0)</f>
        <v>#N/A</v>
      </c>
    </row>
    <row r="1919" spans="10:11" x14ac:dyDescent="0.3">
      <c r="J1919" s="2" t="str">
        <f t="shared" si="15"/>
        <v>NO</v>
      </c>
      <c r="K1919" s="2" t="e">
        <f>VLOOKUP(F1919,Munka1!A:A,1,0)</f>
        <v>#N/A</v>
      </c>
    </row>
    <row r="1920" spans="10:11" x14ac:dyDescent="0.3">
      <c r="J1920" s="2" t="str">
        <f t="shared" si="15"/>
        <v>NO</v>
      </c>
      <c r="K1920" s="2" t="e">
        <f>VLOOKUP(F1920,Munka1!A:A,1,0)</f>
        <v>#N/A</v>
      </c>
    </row>
    <row r="1921" spans="10:11" x14ac:dyDescent="0.3">
      <c r="J1921" s="2" t="str">
        <f t="shared" si="15"/>
        <v>NO</v>
      </c>
      <c r="K1921" s="2" t="e">
        <f>VLOOKUP(F1921,Munka1!A:A,1,0)</f>
        <v>#N/A</v>
      </c>
    </row>
    <row r="1922" spans="10:11" x14ac:dyDescent="0.3">
      <c r="J1922" s="2" t="str">
        <f t="shared" si="15"/>
        <v>NO</v>
      </c>
      <c r="K1922" s="2" t="e">
        <f>VLOOKUP(F1922,Munka1!A:A,1,0)</f>
        <v>#N/A</v>
      </c>
    </row>
    <row r="1923" spans="10:11" x14ac:dyDescent="0.3">
      <c r="J1923" s="2" t="str">
        <f t="shared" ref="J1923:J1986" si="16">IF(OR(F1923="",F1923="_",LEFT(F1923,5)="SPARE",F1923="N/A"),"NO","YES")</f>
        <v>NO</v>
      </c>
      <c r="K1923" s="2" t="e">
        <f>VLOOKUP(F1923,Munka1!A:A,1,0)</f>
        <v>#N/A</v>
      </c>
    </row>
    <row r="1924" spans="10:11" x14ac:dyDescent="0.3">
      <c r="J1924" s="2" t="str">
        <f t="shared" si="16"/>
        <v>NO</v>
      </c>
      <c r="K1924" s="2" t="e">
        <f>VLOOKUP(F1924,Munka1!A:A,1,0)</f>
        <v>#N/A</v>
      </c>
    </row>
    <row r="1925" spans="10:11" x14ac:dyDescent="0.3">
      <c r="J1925" s="2" t="str">
        <f t="shared" si="16"/>
        <v>NO</v>
      </c>
      <c r="K1925" s="2" t="e">
        <f>VLOOKUP(F1925,Munka1!A:A,1,0)</f>
        <v>#N/A</v>
      </c>
    </row>
    <row r="1926" spans="10:11" x14ac:dyDescent="0.3">
      <c r="J1926" s="2" t="str">
        <f t="shared" si="16"/>
        <v>NO</v>
      </c>
      <c r="K1926" s="2" t="e">
        <f>VLOOKUP(F1926,Munka1!A:A,1,0)</f>
        <v>#N/A</v>
      </c>
    </row>
    <row r="1927" spans="10:11" x14ac:dyDescent="0.3">
      <c r="J1927" s="2" t="str">
        <f t="shared" si="16"/>
        <v>NO</v>
      </c>
      <c r="K1927" s="2" t="e">
        <f>VLOOKUP(F1927,Munka1!A:A,1,0)</f>
        <v>#N/A</v>
      </c>
    </row>
    <row r="1928" spans="10:11" x14ac:dyDescent="0.3">
      <c r="J1928" s="2" t="str">
        <f t="shared" si="16"/>
        <v>NO</v>
      </c>
      <c r="K1928" s="2" t="e">
        <f>VLOOKUP(F1928,Munka1!A:A,1,0)</f>
        <v>#N/A</v>
      </c>
    </row>
    <row r="1929" spans="10:11" x14ac:dyDescent="0.3">
      <c r="J1929" s="2" t="str">
        <f t="shared" si="16"/>
        <v>NO</v>
      </c>
      <c r="K1929" s="2" t="e">
        <f>VLOOKUP(F1929,Munka1!A:A,1,0)</f>
        <v>#N/A</v>
      </c>
    </row>
    <row r="1930" spans="10:11" x14ac:dyDescent="0.3">
      <c r="J1930" s="2" t="str">
        <f t="shared" si="16"/>
        <v>NO</v>
      </c>
      <c r="K1930" s="2" t="e">
        <f>VLOOKUP(F1930,Munka1!A:A,1,0)</f>
        <v>#N/A</v>
      </c>
    </row>
    <row r="1931" spans="10:11" x14ac:dyDescent="0.3">
      <c r="J1931" s="2" t="str">
        <f t="shared" si="16"/>
        <v>NO</v>
      </c>
      <c r="K1931" s="2" t="e">
        <f>VLOOKUP(F1931,Munka1!A:A,1,0)</f>
        <v>#N/A</v>
      </c>
    </row>
    <row r="1932" spans="10:11" x14ac:dyDescent="0.3">
      <c r="J1932" s="2" t="str">
        <f t="shared" si="16"/>
        <v>NO</v>
      </c>
      <c r="K1932" s="2" t="e">
        <f>VLOOKUP(F1932,Munka1!A:A,1,0)</f>
        <v>#N/A</v>
      </c>
    </row>
    <row r="1933" spans="10:11" x14ac:dyDescent="0.3">
      <c r="J1933" s="2" t="str">
        <f t="shared" si="16"/>
        <v>NO</v>
      </c>
      <c r="K1933" s="2" t="e">
        <f>VLOOKUP(F1933,Munka1!A:A,1,0)</f>
        <v>#N/A</v>
      </c>
    </row>
    <row r="1934" spans="10:11" x14ac:dyDescent="0.3">
      <c r="J1934" s="2" t="str">
        <f t="shared" si="16"/>
        <v>NO</v>
      </c>
      <c r="K1934" s="2" t="e">
        <f>VLOOKUP(F1934,Munka1!A:A,1,0)</f>
        <v>#N/A</v>
      </c>
    </row>
    <row r="1935" spans="10:11" x14ac:dyDescent="0.3">
      <c r="J1935" s="2" t="str">
        <f t="shared" si="16"/>
        <v>NO</v>
      </c>
      <c r="K1935" s="2" t="e">
        <f>VLOOKUP(F1935,Munka1!A:A,1,0)</f>
        <v>#N/A</v>
      </c>
    </row>
    <row r="1936" spans="10:11" x14ac:dyDescent="0.3">
      <c r="J1936" s="2" t="str">
        <f t="shared" si="16"/>
        <v>NO</v>
      </c>
      <c r="K1936" s="2" t="e">
        <f>VLOOKUP(F1936,Munka1!A:A,1,0)</f>
        <v>#N/A</v>
      </c>
    </row>
    <row r="1937" spans="10:11" x14ac:dyDescent="0.3">
      <c r="J1937" s="2" t="str">
        <f t="shared" si="16"/>
        <v>NO</v>
      </c>
      <c r="K1937" s="2" t="e">
        <f>VLOOKUP(F1937,Munka1!A:A,1,0)</f>
        <v>#N/A</v>
      </c>
    </row>
    <row r="1938" spans="10:11" x14ac:dyDescent="0.3">
      <c r="J1938" s="2" t="str">
        <f t="shared" si="16"/>
        <v>NO</v>
      </c>
      <c r="K1938" s="2" t="e">
        <f>VLOOKUP(F1938,Munka1!A:A,1,0)</f>
        <v>#N/A</v>
      </c>
    </row>
    <row r="1939" spans="10:11" x14ac:dyDescent="0.3">
      <c r="J1939" s="2" t="str">
        <f t="shared" si="16"/>
        <v>NO</v>
      </c>
      <c r="K1939" s="2" t="e">
        <f>VLOOKUP(F1939,Munka1!A:A,1,0)</f>
        <v>#N/A</v>
      </c>
    </row>
    <row r="1940" spans="10:11" x14ac:dyDescent="0.3">
      <c r="J1940" s="2" t="str">
        <f t="shared" si="16"/>
        <v>NO</v>
      </c>
      <c r="K1940" s="2" t="e">
        <f>VLOOKUP(F1940,Munka1!A:A,1,0)</f>
        <v>#N/A</v>
      </c>
    </row>
    <row r="1941" spans="10:11" x14ac:dyDescent="0.3">
      <c r="J1941" s="2" t="str">
        <f t="shared" si="16"/>
        <v>NO</v>
      </c>
      <c r="K1941" s="2" t="e">
        <f>VLOOKUP(F1941,Munka1!A:A,1,0)</f>
        <v>#N/A</v>
      </c>
    </row>
    <row r="1942" spans="10:11" x14ac:dyDescent="0.3">
      <c r="J1942" s="2" t="str">
        <f t="shared" si="16"/>
        <v>NO</v>
      </c>
      <c r="K1942" s="2" t="e">
        <f>VLOOKUP(F1942,Munka1!A:A,1,0)</f>
        <v>#N/A</v>
      </c>
    </row>
    <row r="1943" spans="10:11" x14ac:dyDescent="0.3">
      <c r="J1943" s="2" t="str">
        <f t="shared" si="16"/>
        <v>NO</v>
      </c>
      <c r="K1943" s="2" t="e">
        <f>VLOOKUP(F1943,Munka1!A:A,1,0)</f>
        <v>#N/A</v>
      </c>
    </row>
    <row r="1944" spans="10:11" x14ac:dyDescent="0.3">
      <c r="J1944" s="2" t="str">
        <f t="shared" si="16"/>
        <v>NO</v>
      </c>
      <c r="K1944" s="2" t="e">
        <f>VLOOKUP(F1944,Munka1!A:A,1,0)</f>
        <v>#N/A</v>
      </c>
    </row>
    <row r="1945" spans="10:11" x14ac:dyDescent="0.3">
      <c r="J1945" s="2" t="str">
        <f t="shared" si="16"/>
        <v>NO</v>
      </c>
      <c r="K1945" s="2" t="e">
        <f>VLOOKUP(F1945,Munka1!A:A,1,0)</f>
        <v>#N/A</v>
      </c>
    </row>
    <row r="1946" spans="10:11" x14ac:dyDescent="0.3">
      <c r="J1946" s="2" t="str">
        <f t="shared" si="16"/>
        <v>NO</v>
      </c>
      <c r="K1946" s="2" t="e">
        <f>VLOOKUP(F1946,Munka1!A:A,1,0)</f>
        <v>#N/A</v>
      </c>
    </row>
    <row r="1947" spans="10:11" x14ac:dyDescent="0.3">
      <c r="J1947" s="2" t="str">
        <f t="shared" si="16"/>
        <v>NO</v>
      </c>
      <c r="K1947" s="2" t="e">
        <f>VLOOKUP(F1947,Munka1!A:A,1,0)</f>
        <v>#N/A</v>
      </c>
    </row>
    <row r="1948" spans="10:11" x14ac:dyDescent="0.3">
      <c r="J1948" s="2" t="str">
        <f t="shared" si="16"/>
        <v>NO</v>
      </c>
      <c r="K1948" s="2" t="e">
        <f>VLOOKUP(F1948,Munka1!A:A,1,0)</f>
        <v>#N/A</v>
      </c>
    </row>
    <row r="1949" spans="10:11" x14ac:dyDescent="0.3">
      <c r="J1949" s="2" t="str">
        <f t="shared" si="16"/>
        <v>NO</v>
      </c>
      <c r="K1949" s="2" t="e">
        <f>VLOOKUP(F1949,Munka1!A:A,1,0)</f>
        <v>#N/A</v>
      </c>
    </row>
    <row r="1950" spans="10:11" x14ac:dyDescent="0.3">
      <c r="J1950" s="2" t="str">
        <f t="shared" si="16"/>
        <v>NO</v>
      </c>
      <c r="K1950" s="2" t="e">
        <f>VLOOKUP(F1950,Munka1!A:A,1,0)</f>
        <v>#N/A</v>
      </c>
    </row>
    <row r="1951" spans="10:11" x14ac:dyDescent="0.3">
      <c r="J1951" s="2" t="str">
        <f t="shared" si="16"/>
        <v>NO</v>
      </c>
      <c r="K1951" s="2" t="e">
        <f>VLOOKUP(F1951,Munka1!A:A,1,0)</f>
        <v>#N/A</v>
      </c>
    </row>
    <row r="1952" spans="10:11" x14ac:dyDescent="0.3">
      <c r="J1952" s="2" t="str">
        <f t="shared" si="16"/>
        <v>NO</v>
      </c>
      <c r="K1952" s="2" t="e">
        <f>VLOOKUP(F1952,Munka1!A:A,1,0)</f>
        <v>#N/A</v>
      </c>
    </row>
    <row r="1953" spans="10:11" x14ac:dyDescent="0.3">
      <c r="J1953" s="2" t="str">
        <f t="shared" si="16"/>
        <v>NO</v>
      </c>
      <c r="K1953" s="2" t="e">
        <f>VLOOKUP(F1953,Munka1!A:A,1,0)</f>
        <v>#N/A</v>
      </c>
    </row>
    <row r="1954" spans="10:11" x14ac:dyDescent="0.3">
      <c r="J1954" s="2" t="str">
        <f t="shared" si="16"/>
        <v>NO</v>
      </c>
      <c r="K1954" s="2" t="e">
        <f>VLOOKUP(F1954,Munka1!A:A,1,0)</f>
        <v>#N/A</v>
      </c>
    </row>
    <row r="1955" spans="10:11" x14ac:dyDescent="0.3">
      <c r="J1955" s="2" t="str">
        <f t="shared" si="16"/>
        <v>NO</v>
      </c>
      <c r="K1955" s="2" t="e">
        <f>VLOOKUP(F1955,Munka1!A:A,1,0)</f>
        <v>#N/A</v>
      </c>
    </row>
    <row r="1956" spans="10:11" x14ac:dyDescent="0.3">
      <c r="J1956" s="2" t="str">
        <f t="shared" si="16"/>
        <v>NO</v>
      </c>
      <c r="K1956" s="2" t="e">
        <f>VLOOKUP(F1956,Munka1!A:A,1,0)</f>
        <v>#N/A</v>
      </c>
    </row>
    <row r="1957" spans="10:11" x14ac:dyDescent="0.3">
      <c r="J1957" s="2" t="str">
        <f t="shared" si="16"/>
        <v>NO</v>
      </c>
      <c r="K1957" s="2" t="e">
        <f>VLOOKUP(F1957,Munka1!A:A,1,0)</f>
        <v>#N/A</v>
      </c>
    </row>
    <row r="1958" spans="10:11" x14ac:dyDescent="0.3">
      <c r="J1958" s="2" t="str">
        <f t="shared" si="16"/>
        <v>NO</v>
      </c>
      <c r="K1958" s="2" t="e">
        <f>VLOOKUP(F1958,Munka1!A:A,1,0)</f>
        <v>#N/A</v>
      </c>
    </row>
    <row r="1959" spans="10:11" x14ac:dyDescent="0.3">
      <c r="J1959" s="2" t="str">
        <f t="shared" si="16"/>
        <v>NO</v>
      </c>
      <c r="K1959" s="2" t="e">
        <f>VLOOKUP(F1959,Munka1!A:A,1,0)</f>
        <v>#N/A</v>
      </c>
    </row>
    <row r="1960" spans="10:11" x14ac:dyDescent="0.3">
      <c r="J1960" s="2" t="str">
        <f t="shared" si="16"/>
        <v>NO</v>
      </c>
      <c r="K1960" s="2" t="e">
        <f>VLOOKUP(F1960,Munka1!A:A,1,0)</f>
        <v>#N/A</v>
      </c>
    </row>
    <row r="1961" spans="10:11" x14ac:dyDescent="0.3">
      <c r="J1961" s="2" t="str">
        <f t="shared" si="16"/>
        <v>NO</v>
      </c>
      <c r="K1961" s="2" t="e">
        <f>VLOOKUP(F1961,Munka1!A:A,1,0)</f>
        <v>#N/A</v>
      </c>
    </row>
    <row r="1962" spans="10:11" x14ac:dyDescent="0.3">
      <c r="J1962" s="2" t="str">
        <f t="shared" si="16"/>
        <v>NO</v>
      </c>
      <c r="K1962" s="2" t="e">
        <f>VLOOKUP(F1962,Munka1!A:A,1,0)</f>
        <v>#N/A</v>
      </c>
    </row>
    <row r="1963" spans="10:11" x14ac:dyDescent="0.3">
      <c r="J1963" s="2" t="str">
        <f t="shared" si="16"/>
        <v>NO</v>
      </c>
      <c r="K1963" s="2" t="e">
        <f>VLOOKUP(F1963,Munka1!A:A,1,0)</f>
        <v>#N/A</v>
      </c>
    </row>
    <row r="1964" spans="10:11" x14ac:dyDescent="0.3">
      <c r="J1964" s="2" t="str">
        <f t="shared" si="16"/>
        <v>NO</v>
      </c>
      <c r="K1964" s="2" t="e">
        <f>VLOOKUP(F1964,Munka1!A:A,1,0)</f>
        <v>#N/A</v>
      </c>
    </row>
    <row r="1965" spans="10:11" x14ac:dyDescent="0.3">
      <c r="J1965" s="2" t="str">
        <f t="shared" si="16"/>
        <v>NO</v>
      </c>
      <c r="K1965" s="2" t="e">
        <f>VLOOKUP(F1965,Munka1!A:A,1,0)</f>
        <v>#N/A</v>
      </c>
    </row>
    <row r="1966" spans="10:11" x14ac:dyDescent="0.3">
      <c r="J1966" s="2" t="str">
        <f t="shared" si="16"/>
        <v>NO</v>
      </c>
      <c r="K1966" s="2" t="e">
        <f>VLOOKUP(F1966,Munka1!A:A,1,0)</f>
        <v>#N/A</v>
      </c>
    </row>
    <row r="1967" spans="10:11" x14ac:dyDescent="0.3">
      <c r="J1967" s="2" t="str">
        <f t="shared" si="16"/>
        <v>NO</v>
      </c>
      <c r="K1967" s="2" t="e">
        <f>VLOOKUP(F1967,Munka1!A:A,1,0)</f>
        <v>#N/A</v>
      </c>
    </row>
    <row r="1968" spans="10:11" x14ac:dyDescent="0.3">
      <c r="J1968" s="2" t="str">
        <f t="shared" si="16"/>
        <v>NO</v>
      </c>
      <c r="K1968" s="2" t="e">
        <f>VLOOKUP(F1968,Munka1!A:A,1,0)</f>
        <v>#N/A</v>
      </c>
    </row>
    <row r="1969" spans="10:11" x14ac:dyDescent="0.3">
      <c r="J1969" s="2" t="str">
        <f t="shared" si="16"/>
        <v>NO</v>
      </c>
      <c r="K1969" s="2" t="e">
        <f>VLOOKUP(F1969,Munka1!A:A,1,0)</f>
        <v>#N/A</v>
      </c>
    </row>
    <row r="1970" spans="10:11" x14ac:dyDescent="0.3">
      <c r="J1970" s="2" t="str">
        <f t="shared" si="16"/>
        <v>NO</v>
      </c>
      <c r="K1970" s="2" t="e">
        <f>VLOOKUP(F1970,Munka1!A:A,1,0)</f>
        <v>#N/A</v>
      </c>
    </row>
    <row r="1971" spans="10:11" x14ac:dyDescent="0.3">
      <c r="J1971" s="2" t="str">
        <f t="shared" si="16"/>
        <v>NO</v>
      </c>
      <c r="K1971" s="2" t="e">
        <f>VLOOKUP(F1971,Munka1!A:A,1,0)</f>
        <v>#N/A</v>
      </c>
    </row>
    <row r="1972" spans="10:11" x14ac:dyDescent="0.3">
      <c r="J1972" s="2" t="str">
        <f t="shared" si="16"/>
        <v>NO</v>
      </c>
      <c r="K1972" s="2" t="e">
        <f>VLOOKUP(F1972,Munka1!A:A,1,0)</f>
        <v>#N/A</v>
      </c>
    </row>
    <row r="1973" spans="10:11" x14ac:dyDescent="0.3">
      <c r="J1973" s="2" t="str">
        <f t="shared" si="16"/>
        <v>NO</v>
      </c>
      <c r="K1973" s="2" t="e">
        <f>VLOOKUP(F1973,Munka1!A:A,1,0)</f>
        <v>#N/A</v>
      </c>
    </row>
    <row r="1974" spans="10:11" x14ac:dyDescent="0.3">
      <c r="J1974" s="2" t="str">
        <f t="shared" si="16"/>
        <v>NO</v>
      </c>
      <c r="K1974" s="2" t="e">
        <f>VLOOKUP(F1974,Munka1!A:A,1,0)</f>
        <v>#N/A</v>
      </c>
    </row>
    <row r="1975" spans="10:11" x14ac:dyDescent="0.3">
      <c r="J1975" s="2" t="str">
        <f t="shared" si="16"/>
        <v>NO</v>
      </c>
      <c r="K1975" s="2" t="e">
        <f>VLOOKUP(F1975,Munka1!A:A,1,0)</f>
        <v>#N/A</v>
      </c>
    </row>
    <row r="1976" spans="10:11" x14ac:dyDescent="0.3">
      <c r="J1976" s="2" t="str">
        <f t="shared" si="16"/>
        <v>NO</v>
      </c>
      <c r="K1976" s="2" t="e">
        <f>VLOOKUP(F1976,Munka1!A:A,1,0)</f>
        <v>#N/A</v>
      </c>
    </row>
    <row r="1977" spans="10:11" x14ac:dyDescent="0.3">
      <c r="J1977" s="2" t="str">
        <f t="shared" si="16"/>
        <v>NO</v>
      </c>
      <c r="K1977" s="2" t="e">
        <f>VLOOKUP(F1977,Munka1!A:A,1,0)</f>
        <v>#N/A</v>
      </c>
    </row>
    <row r="1978" spans="10:11" x14ac:dyDescent="0.3">
      <c r="J1978" s="2" t="str">
        <f t="shared" si="16"/>
        <v>NO</v>
      </c>
      <c r="K1978" s="2" t="e">
        <f>VLOOKUP(F1978,Munka1!A:A,1,0)</f>
        <v>#N/A</v>
      </c>
    </row>
    <row r="1979" spans="10:11" x14ac:dyDescent="0.3">
      <c r="J1979" s="2" t="str">
        <f t="shared" si="16"/>
        <v>NO</v>
      </c>
      <c r="K1979" s="2" t="e">
        <f>VLOOKUP(F1979,Munka1!A:A,1,0)</f>
        <v>#N/A</v>
      </c>
    </row>
    <row r="1980" spans="10:11" x14ac:dyDescent="0.3">
      <c r="J1980" s="2" t="str">
        <f t="shared" si="16"/>
        <v>NO</v>
      </c>
      <c r="K1980" s="2" t="e">
        <f>VLOOKUP(F1980,Munka1!A:A,1,0)</f>
        <v>#N/A</v>
      </c>
    </row>
    <row r="1981" spans="10:11" x14ac:dyDescent="0.3">
      <c r="J1981" s="2" t="str">
        <f t="shared" si="16"/>
        <v>NO</v>
      </c>
      <c r="K1981" s="2" t="e">
        <f>VLOOKUP(F1981,Munka1!A:A,1,0)</f>
        <v>#N/A</v>
      </c>
    </row>
    <row r="1982" spans="10:11" x14ac:dyDescent="0.3">
      <c r="J1982" s="2" t="str">
        <f t="shared" si="16"/>
        <v>NO</v>
      </c>
      <c r="K1982" s="2" t="e">
        <f>VLOOKUP(F1982,Munka1!A:A,1,0)</f>
        <v>#N/A</v>
      </c>
    </row>
    <row r="1983" spans="10:11" x14ac:dyDescent="0.3">
      <c r="J1983" s="2" t="str">
        <f t="shared" si="16"/>
        <v>NO</v>
      </c>
      <c r="K1983" s="2" t="e">
        <f>VLOOKUP(F1983,Munka1!A:A,1,0)</f>
        <v>#N/A</v>
      </c>
    </row>
    <row r="1984" spans="10:11" x14ac:dyDescent="0.3">
      <c r="J1984" s="2" t="str">
        <f t="shared" si="16"/>
        <v>NO</v>
      </c>
      <c r="K1984" s="2" t="e">
        <f>VLOOKUP(F1984,Munka1!A:A,1,0)</f>
        <v>#N/A</v>
      </c>
    </row>
    <row r="1985" spans="10:11" x14ac:dyDescent="0.3">
      <c r="J1985" s="2" t="str">
        <f t="shared" si="16"/>
        <v>NO</v>
      </c>
      <c r="K1985" s="2" t="e">
        <f>VLOOKUP(F1985,Munka1!A:A,1,0)</f>
        <v>#N/A</v>
      </c>
    </row>
    <row r="1986" spans="10:11" x14ac:dyDescent="0.3">
      <c r="J1986" s="2" t="str">
        <f t="shared" si="16"/>
        <v>NO</v>
      </c>
      <c r="K1986" s="2" t="e">
        <f>VLOOKUP(F1986,Munka1!A:A,1,0)</f>
        <v>#N/A</v>
      </c>
    </row>
    <row r="1987" spans="10:11" x14ac:dyDescent="0.3">
      <c r="J1987" s="2" t="str">
        <f t="shared" ref="J1987:J2050" si="17">IF(OR(F1987="",F1987="_",LEFT(F1987,5)="SPARE",F1987="N/A"),"NO","YES")</f>
        <v>NO</v>
      </c>
      <c r="K1987" s="2" t="e">
        <f>VLOOKUP(F1987,Munka1!A:A,1,0)</f>
        <v>#N/A</v>
      </c>
    </row>
    <row r="1988" spans="10:11" x14ac:dyDescent="0.3">
      <c r="J1988" s="2" t="str">
        <f t="shared" si="17"/>
        <v>NO</v>
      </c>
      <c r="K1988" s="2" t="e">
        <f>VLOOKUP(F1988,Munka1!A:A,1,0)</f>
        <v>#N/A</v>
      </c>
    </row>
    <row r="1989" spans="10:11" x14ac:dyDescent="0.3">
      <c r="J1989" s="2" t="str">
        <f t="shared" si="17"/>
        <v>NO</v>
      </c>
      <c r="K1989" s="2" t="e">
        <f>VLOOKUP(F1989,Munka1!A:A,1,0)</f>
        <v>#N/A</v>
      </c>
    </row>
    <row r="1990" spans="10:11" x14ac:dyDescent="0.3">
      <c r="J1990" s="2" t="str">
        <f t="shared" si="17"/>
        <v>NO</v>
      </c>
      <c r="K1990" s="2" t="e">
        <f>VLOOKUP(F1990,Munka1!A:A,1,0)</f>
        <v>#N/A</v>
      </c>
    </row>
    <row r="1991" spans="10:11" x14ac:dyDescent="0.3">
      <c r="J1991" s="2" t="str">
        <f t="shared" si="17"/>
        <v>NO</v>
      </c>
      <c r="K1991" s="2" t="e">
        <f>VLOOKUP(F1991,Munka1!A:A,1,0)</f>
        <v>#N/A</v>
      </c>
    </row>
    <row r="1992" spans="10:11" x14ac:dyDescent="0.3">
      <c r="J1992" s="2" t="str">
        <f t="shared" si="17"/>
        <v>NO</v>
      </c>
      <c r="K1992" s="2" t="e">
        <f>VLOOKUP(F1992,Munka1!A:A,1,0)</f>
        <v>#N/A</v>
      </c>
    </row>
    <row r="1993" spans="10:11" x14ac:dyDescent="0.3">
      <c r="J1993" s="2" t="str">
        <f t="shared" si="17"/>
        <v>NO</v>
      </c>
      <c r="K1993" s="2" t="e">
        <f>VLOOKUP(F1993,Munka1!A:A,1,0)</f>
        <v>#N/A</v>
      </c>
    </row>
    <row r="1994" spans="10:11" x14ac:dyDescent="0.3">
      <c r="J1994" s="2" t="str">
        <f t="shared" si="17"/>
        <v>NO</v>
      </c>
      <c r="K1994" s="2" t="e">
        <f>VLOOKUP(F1994,Munka1!A:A,1,0)</f>
        <v>#N/A</v>
      </c>
    </row>
    <row r="1995" spans="10:11" x14ac:dyDescent="0.3">
      <c r="J1995" s="2" t="str">
        <f t="shared" si="17"/>
        <v>NO</v>
      </c>
      <c r="K1995" s="2" t="e">
        <f>VLOOKUP(F1995,Munka1!A:A,1,0)</f>
        <v>#N/A</v>
      </c>
    </row>
    <row r="1996" spans="10:11" x14ac:dyDescent="0.3">
      <c r="J1996" s="2" t="str">
        <f t="shared" si="17"/>
        <v>NO</v>
      </c>
      <c r="K1996" s="2" t="e">
        <f>VLOOKUP(F1996,Munka1!A:A,1,0)</f>
        <v>#N/A</v>
      </c>
    </row>
    <row r="1997" spans="10:11" x14ac:dyDescent="0.3">
      <c r="J1997" s="2" t="str">
        <f t="shared" si="17"/>
        <v>NO</v>
      </c>
      <c r="K1997" s="2" t="e">
        <f>VLOOKUP(F1997,Munka1!A:A,1,0)</f>
        <v>#N/A</v>
      </c>
    </row>
    <row r="1998" spans="10:11" x14ac:dyDescent="0.3">
      <c r="J1998" s="2" t="str">
        <f t="shared" si="17"/>
        <v>NO</v>
      </c>
      <c r="K1998" s="2" t="e">
        <f>VLOOKUP(F1998,Munka1!A:A,1,0)</f>
        <v>#N/A</v>
      </c>
    </row>
    <row r="1999" spans="10:11" x14ac:dyDescent="0.3">
      <c r="J1999" s="2" t="str">
        <f t="shared" si="17"/>
        <v>NO</v>
      </c>
      <c r="K1999" s="2" t="e">
        <f>VLOOKUP(F1999,Munka1!A:A,1,0)</f>
        <v>#N/A</v>
      </c>
    </row>
    <row r="2000" spans="10:11" x14ac:dyDescent="0.3">
      <c r="J2000" s="2" t="str">
        <f t="shared" si="17"/>
        <v>NO</v>
      </c>
      <c r="K2000" s="2" t="e">
        <f>VLOOKUP(F2000,Munka1!A:A,1,0)</f>
        <v>#N/A</v>
      </c>
    </row>
    <row r="2001" spans="10:11" x14ac:dyDescent="0.3">
      <c r="J2001" s="2" t="str">
        <f t="shared" si="17"/>
        <v>NO</v>
      </c>
      <c r="K2001" s="2" t="e">
        <f>VLOOKUP(F2001,Munka1!A:A,1,0)</f>
        <v>#N/A</v>
      </c>
    </row>
    <row r="2002" spans="10:11" x14ac:dyDescent="0.3">
      <c r="J2002" s="2" t="str">
        <f t="shared" si="17"/>
        <v>NO</v>
      </c>
      <c r="K2002" s="2" t="e">
        <f>VLOOKUP(F2002,Munka1!A:A,1,0)</f>
        <v>#N/A</v>
      </c>
    </row>
    <row r="2003" spans="10:11" x14ac:dyDescent="0.3">
      <c r="J2003" s="2" t="str">
        <f t="shared" si="17"/>
        <v>NO</v>
      </c>
      <c r="K2003" s="2" t="e">
        <f>VLOOKUP(F2003,Munka1!A:A,1,0)</f>
        <v>#N/A</v>
      </c>
    </row>
    <row r="2004" spans="10:11" x14ac:dyDescent="0.3">
      <c r="J2004" s="2" t="str">
        <f t="shared" si="17"/>
        <v>NO</v>
      </c>
      <c r="K2004" s="2" t="e">
        <f>VLOOKUP(F2004,Munka1!A:A,1,0)</f>
        <v>#N/A</v>
      </c>
    </row>
    <row r="2005" spans="10:11" x14ac:dyDescent="0.3">
      <c r="J2005" s="2" t="str">
        <f t="shared" si="17"/>
        <v>NO</v>
      </c>
      <c r="K2005" s="2" t="e">
        <f>VLOOKUP(F2005,Munka1!A:A,1,0)</f>
        <v>#N/A</v>
      </c>
    </row>
    <row r="2006" spans="10:11" x14ac:dyDescent="0.3">
      <c r="J2006" s="2" t="str">
        <f t="shared" si="17"/>
        <v>NO</v>
      </c>
      <c r="K2006" s="2" t="e">
        <f>VLOOKUP(F2006,Munka1!A:A,1,0)</f>
        <v>#N/A</v>
      </c>
    </row>
    <row r="2007" spans="10:11" x14ac:dyDescent="0.3">
      <c r="J2007" s="2" t="str">
        <f t="shared" si="17"/>
        <v>NO</v>
      </c>
      <c r="K2007" s="2" t="e">
        <f>VLOOKUP(F2007,Munka1!A:A,1,0)</f>
        <v>#N/A</v>
      </c>
    </row>
    <row r="2008" spans="10:11" x14ac:dyDescent="0.3">
      <c r="J2008" s="2" t="str">
        <f t="shared" si="17"/>
        <v>NO</v>
      </c>
      <c r="K2008" s="2" t="e">
        <f>VLOOKUP(F2008,Munka1!A:A,1,0)</f>
        <v>#N/A</v>
      </c>
    </row>
    <row r="2009" spans="10:11" x14ac:dyDescent="0.3">
      <c r="J2009" s="2" t="str">
        <f t="shared" si="17"/>
        <v>NO</v>
      </c>
      <c r="K2009" s="2" t="e">
        <f>VLOOKUP(F2009,Munka1!A:A,1,0)</f>
        <v>#N/A</v>
      </c>
    </row>
    <row r="2010" spans="10:11" x14ac:dyDescent="0.3">
      <c r="J2010" s="2" t="str">
        <f t="shared" si="17"/>
        <v>NO</v>
      </c>
      <c r="K2010" s="2" t="e">
        <f>VLOOKUP(F2010,Munka1!A:A,1,0)</f>
        <v>#N/A</v>
      </c>
    </row>
    <row r="2011" spans="10:11" x14ac:dyDescent="0.3">
      <c r="J2011" s="2" t="str">
        <f t="shared" si="17"/>
        <v>NO</v>
      </c>
      <c r="K2011" s="2" t="e">
        <f>VLOOKUP(F2011,Munka1!A:A,1,0)</f>
        <v>#N/A</v>
      </c>
    </row>
    <row r="2012" spans="10:11" x14ac:dyDescent="0.3">
      <c r="J2012" s="2" t="str">
        <f t="shared" si="17"/>
        <v>NO</v>
      </c>
      <c r="K2012" s="2" t="e">
        <f>VLOOKUP(F2012,Munka1!A:A,1,0)</f>
        <v>#N/A</v>
      </c>
    </row>
    <row r="2013" spans="10:11" x14ac:dyDescent="0.3">
      <c r="J2013" s="2" t="str">
        <f t="shared" si="17"/>
        <v>NO</v>
      </c>
      <c r="K2013" s="2" t="e">
        <f>VLOOKUP(F2013,Munka1!A:A,1,0)</f>
        <v>#N/A</v>
      </c>
    </row>
    <row r="2014" spans="10:11" x14ac:dyDescent="0.3">
      <c r="J2014" s="2" t="str">
        <f t="shared" si="17"/>
        <v>NO</v>
      </c>
      <c r="K2014" s="2" t="e">
        <f>VLOOKUP(F2014,Munka1!A:A,1,0)</f>
        <v>#N/A</v>
      </c>
    </row>
    <row r="2015" spans="10:11" x14ac:dyDescent="0.3">
      <c r="J2015" s="2" t="str">
        <f t="shared" si="17"/>
        <v>NO</v>
      </c>
      <c r="K2015" s="2" t="e">
        <f>VLOOKUP(F2015,Munka1!A:A,1,0)</f>
        <v>#N/A</v>
      </c>
    </row>
    <row r="2016" spans="10:11" x14ac:dyDescent="0.3">
      <c r="J2016" s="2" t="str">
        <f t="shared" si="17"/>
        <v>NO</v>
      </c>
      <c r="K2016" s="2" t="e">
        <f>VLOOKUP(F2016,Munka1!A:A,1,0)</f>
        <v>#N/A</v>
      </c>
    </row>
    <row r="2017" spans="10:11" x14ac:dyDescent="0.3">
      <c r="J2017" s="2" t="str">
        <f t="shared" si="17"/>
        <v>NO</v>
      </c>
      <c r="K2017" s="2" t="e">
        <f>VLOOKUP(F2017,Munka1!A:A,1,0)</f>
        <v>#N/A</v>
      </c>
    </row>
    <row r="2018" spans="10:11" x14ac:dyDescent="0.3">
      <c r="J2018" s="2" t="str">
        <f t="shared" si="17"/>
        <v>NO</v>
      </c>
      <c r="K2018" s="2" t="e">
        <f>VLOOKUP(F2018,Munka1!A:A,1,0)</f>
        <v>#N/A</v>
      </c>
    </row>
    <row r="2019" spans="10:11" x14ac:dyDescent="0.3">
      <c r="J2019" s="2" t="str">
        <f t="shared" si="17"/>
        <v>NO</v>
      </c>
      <c r="K2019" s="2" t="e">
        <f>VLOOKUP(F2019,Munka1!A:A,1,0)</f>
        <v>#N/A</v>
      </c>
    </row>
    <row r="2020" spans="10:11" x14ac:dyDescent="0.3">
      <c r="J2020" s="2" t="str">
        <f t="shared" si="17"/>
        <v>NO</v>
      </c>
      <c r="K2020" s="2" t="e">
        <f>VLOOKUP(F2020,Munka1!A:A,1,0)</f>
        <v>#N/A</v>
      </c>
    </row>
    <row r="2021" spans="10:11" x14ac:dyDescent="0.3">
      <c r="J2021" s="2" t="str">
        <f t="shared" si="17"/>
        <v>NO</v>
      </c>
      <c r="K2021" s="2" t="e">
        <f>VLOOKUP(F2021,Munka1!A:A,1,0)</f>
        <v>#N/A</v>
      </c>
    </row>
    <row r="2022" spans="10:11" x14ac:dyDescent="0.3">
      <c r="J2022" s="2" t="str">
        <f t="shared" si="17"/>
        <v>NO</v>
      </c>
      <c r="K2022" s="2" t="e">
        <f>VLOOKUP(F2022,Munka1!A:A,1,0)</f>
        <v>#N/A</v>
      </c>
    </row>
    <row r="2023" spans="10:11" x14ac:dyDescent="0.3">
      <c r="J2023" s="2" t="str">
        <f t="shared" si="17"/>
        <v>NO</v>
      </c>
      <c r="K2023" s="2" t="e">
        <f>VLOOKUP(F2023,Munka1!A:A,1,0)</f>
        <v>#N/A</v>
      </c>
    </row>
    <row r="2024" spans="10:11" x14ac:dyDescent="0.3">
      <c r="J2024" s="2" t="str">
        <f t="shared" si="17"/>
        <v>NO</v>
      </c>
      <c r="K2024" s="2" t="e">
        <f>VLOOKUP(F2024,Munka1!A:A,1,0)</f>
        <v>#N/A</v>
      </c>
    </row>
    <row r="2025" spans="10:11" x14ac:dyDescent="0.3">
      <c r="J2025" s="2" t="str">
        <f t="shared" si="17"/>
        <v>NO</v>
      </c>
      <c r="K2025" s="2" t="e">
        <f>VLOOKUP(F2025,Munka1!A:A,1,0)</f>
        <v>#N/A</v>
      </c>
    </row>
    <row r="2026" spans="10:11" x14ac:dyDescent="0.3">
      <c r="J2026" s="2" t="str">
        <f t="shared" si="17"/>
        <v>NO</v>
      </c>
      <c r="K2026" s="2" t="e">
        <f>VLOOKUP(F2026,Munka1!A:A,1,0)</f>
        <v>#N/A</v>
      </c>
    </row>
    <row r="2027" spans="10:11" x14ac:dyDescent="0.3">
      <c r="J2027" s="2" t="str">
        <f t="shared" si="17"/>
        <v>NO</v>
      </c>
      <c r="K2027" s="2" t="e">
        <f>VLOOKUP(F2027,Munka1!A:A,1,0)</f>
        <v>#N/A</v>
      </c>
    </row>
    <row r="2028" spans="10:11" x14ac:dyDescent="0.3">
      <c r="J2028" s="2" t="str">
        <f t="shared" si="17"/>
        <v>NO</v>
      </c>
      <c r="K2028" s="2" t="e">
        <f>VLOOKUP(F2028,Munka1!A:A,1,0)</f>
        <v>#N/A</v>
      </c>
    </row>
    <row r="2029" spans="10:11" x14ac:dyDescent="0.3">
      <c r="J2029" s="2" t="str">
        <f t="shared" si="17"/>
        <v>NO</v>
      </c>
      <c r="K2029" s="2" t="e">
        <f>VLOOKUP(F2029,Munka1!A:A,1,0)</f>
        <v>#N/A</v>
      </c>
    </row>
    <row r="2030" spans="10:11" x14ac:dyDescent="0.3">
      <c r="J2030" s="2" t="str">
        <f t="shared" si="17"/>
        <v>NO</v>
      </c>
      <c r="K2030" s="2" t="e">
        <f>VLOOKUP(F2030,Munka1!A:A,1,0)</f>
        <v>#N/A</v>
      </c>
    </row>
    <row r="2031" spans="10:11" x14ac:dyDescent="0.3">
      <c r="J2031" s="2" t="str">
        <f t="shared" si="17"/>
        <v>NO</v>
      </c>
      <c r="K2031" s="2" t="e">
        <f>VLOOKUP(F2031,Munka1!A:A,1,0)</f>
        <v>#N/A</v>
      </c>
    </row>
    <row r="2032" spans="10:11" x14ac:dyDescent="0.3">
      <c r="J2032" s="2" t="str">
        <f t="shared" si="17"/>
        <v>NO</v>
      </c>
      <c r="K2032" s="2" t="e">
        <f>VLOOKUP(F2032,Munka1!A:A,1,0)</f>
        <v>#N/A</v>
      </c>
    </row>
    <row r="2033" spans="10:11" x14ac:dyDescent="0.3">
      <c r="J2033" s="2" t="str">
        <f t="shared" si="17"/>
        <v>NO</v>
      </c>
      <c r="K2033" s="2" t="e">
        <f>VLOOKUP(F2033,Munka1!A:A,1,0)</f>
        <v>#N/A</v>
      </c>
    </row>
    <row r="2034" spans="10:11" x14ac:dyDescent="0.3">
      <c r="J2034" s="2" t="str">
        <f t="shared" si="17"/>
        <v>NO</v>
      </c>
      <c r="K2034" s="2" t="e">
        <f>VLOOKUP(F2034,Munka1!A:A,1,0)</f>
        <v>#N/A</v>
      </c>
    </row>
    <row r="2035" spans="10:11" x14ac:dyDescent="0.3">
      <c r="J2035" s="2" t="str">
        <f t="shared" si="17"/>
        <v>NO</v>
      </c>
      <c r="K2035" s="2" t="e">
        <f>VLOOKUP(F2035,Munka1!A:A,1,0)</f>
        <v>#N/A</v>
      </c>
    </row>
    <row r="2036" spans="10:11" x14ac:dyDescent="0.3">
      <c r="J2036" s="2" t="str">
        <f t="shared" si="17"/>
        <v>NO</v>
      </c>
      <c r="K2036" s="2" t="e">
        <f>VLOOKUP(F2036,Munka1!A:A,1,0)</f>
        <v>#N/A</v>
      </c>
    </row>
    <row r="2037" spans="10:11" x14ac:dyDescent="0.3">
      <c r="J2037" s="2" t="str">
        <f t="shared" si="17"/>
        <v>NO</v>
      </c>
      <c r="K2037" s="2" t="e">
        <f>VLOOKUP(F2037,Munka1!A:A,1,0)</f>
        <v>#N/A</v>
      </c>
    </row>
    <row r="2038" spans="10:11" x14ac:dyDescent="0.3">
      <c r="J2038" s="2" t="str">
        <f t="shared" si="17"/>
        <v>NO</v>
      </c>
      <c r="K2038" s="2" t="e">
        <f>VLOOKUP(F2038,Munka1!A:A,1,0)</f>
        <v>#N/A</v>
      </c>
    </row>
    <row r="2039" spans="10:11" x14ac:dyDescent="0.3">
      <c r="J2039" s="2" t="str">
        <f t="shared" si="17"/>
        <v>NO</v>
      </c>
      <c r="K2039" s="2" t="e">
        <f>VLOOKUP(F2039,Munka1!A:A,1,0)</f>
        <v>#N/A</v>
      </c>
    </row>
    <row r="2040" spans="10:11" x14ac:dyDescent="0.3">
      <c r="J2040" s="2" t="str">
        <f t="shared" si="17"/>
        <v>NO</v>
      </c>
      <c r="K2040" s="2" t="e">
        <f>VLOOKUP(F2040,Munka1!A:A,1,0)</f>
        <v>#N/A</v>
      </c>
    </row>
    <row r="2041" spans="10:11" x14ac:dyDescent="0.3">
      <c r="J2041" s="2" t="str">
        <f t="shared" si="17"/>
        <v>NO</v>
      </c>
      <c r="K2041" s="2" t="e">
        <f>VLOOKUP(F2041,Munka1!A:A,1,0)</f>
        <v>#N/A</v>
      </c>
    </row>
    <row r="2042" spans="10:11" x14ac:dyDescent="0.3">
      <c r="J2042" s="2" t="str">
        <f t="shared" si="17"/>
        <v>NO</v>
      </c>
      <c r="K2042" s="2" t="e">
        <f>VLOOKUP(F2042,Munka1!A:A,1,0)</f>
        <v>#N/A</v>
      </c>
    </row>
    <row r="2043" spans="10:11" x14ac:dyDescent="0.3">
      <c r="J2043" s="2" t="str">
        <f t="shared" si="17"/>
        <v>NO</v>
      </c>
      <c r="K2043" s="2" t="e">
        <f>VLOOKUP(F2043,Munka1!A:A,1,0)</f>
        <v>#N/A</v>
      </c>
    </row>
    <row r="2044" spans="10:11" x14ac:dyDescent="0.3">
      <c r="J2044" s="2" t="str">
        <f t="shared" si="17"/>
        <v>NO</v>
      </c>
      <c r="K2044" s="2" t="e">
        <f>VLOOKUP(F2044,Munka1!A:A,1,0)</f>
        <v>#N/A</v>
      </c>
    </row>
    <row r="2045" spans="10:11" x14ac:dyDescent="0.3">
      <c r="J2045" s="2" t="str">
        <f t="shared" si="17"/>
        <v>NO</v>
      </c>
      <c r="K2045" s="2" t="e">
        <f>VLOOKUP(F2045,Munka1!A:A,1,0)</f>
        <v>#N/A</v>
      </c>
    </row>
    <row r="2046" spans="10:11" x14ac:dyDescent="0.3">
      <c r="J2046" s="2" t="str">
        <f t="shared" si="17"/>
        <v>NO</v>
      </c>
      <c r="K2046" s="2" t="e">
        <f>VLOOKUP(F2046,Munka1!A:A,1,0)</f>
        <v>#N/A</v>
      </c>
    </row>
    <row r="2047" spans="10:11" x14ac:dyDescent="0.3">
      <c r="J2047" s="2" t="str">
        <f t="shared" si="17"/>
        <v>NO</v>
      </c>
      <c r="K2047" s="2" t="e">
        <f>VLOOKUP(F2047,Munka1!A:A,1,0)</f>
        <v>#N/A</v>
      </c>
    </row>
    <row r="2048" spans="10:11" x14ac:dyDescent="0.3">
      <c r="J2048" s="2" t="str">
        <f t="shared" si="17"/>
        <v>NO</v>
      </c>
      <c r="K2048" s="2" t="e">
        <f>VLOOKUP(F2048,Munka1!A:A,1,0)</f>
        <v>#N/A</v>
      </c>
    </row>
    <row r="2049" spans="10:11" x14ac:dyDescent="0.3">
      <c r="J2049" s="2" t="str">
        <f t="shared" si="17"/>
        <v>NO</v>
      </c>
      <c r="K2049" s="2" t="e">
        <f>VLOOKUP(F2049,Munka1!A:A,1,0)</f>
        <v>#N/A</v>
      </c>
    </row>
    <row r="2050" spans="10:11" x14ac:dyDescent="0.3">
      <c r="J2050" s="2" t="str">
        <f t="shared" si="17"/>
        <v>NO</v>
      </c>
      <c r="K2050" s="2" t="e">
        <f>VLOOKUP(F2050,Munka1!A:A,1,0)</f>
        <v>#N/A</v>
      </c>
    </row>
    <row r="2051" spans="10:11" x14ac:dyDescent="0.3">
      <c r="J2051" s="2" t="str">
        <f t="shared" ref="J2051:J2114" si="18">IF(OR(F2051="",F2051="_",LEFT(F2051,5)="SPARE",F2051="N/A"),"NO","YES")</f>
        <v>NO</v>
      </c>
      <c r="K2051" s="2" t="e">
        <f>VLOOKUP(F2051,Munka1!A:A,1,0)</f>
        <v>#N/A</v>
      </c>
    </row>
    <row r="2052" spans="10:11" x14ac:dyDescent="0.3">
      <c r="J2052" s="2" t="str">
        <f t="shared" si="18"/>
        <v>NO</v>
      </c>
      <c r="K2052" s="2" t="e">
        <f>VLOOKUP(F2052,Munka1!A:A,1,0)</f>
        <v>#N/A</v>
      </c>
    </row>
    <row r="2053" spans="10:11" x14ac:dyDescent="0.3">
      <c r="J2053" s="2" t="str">
        <f t="shared" si="18"/>
        <v>NO</v>
      </c>
      <c r="K2053" s="2" t="e">
        <f>VLOOKUP(F2053,Munka1!A:A,1,0)</f>
        <v>#N/A</v>
      </c>
    </row>
    <row r="2054" spans="10:11" x14ac:dyDescent="0.3">
      <c r="J2054" s="2" t="str">
        <f t="shared" si="18"/>
        <v>NO</v>
      </c>
      <c r="K2054" s="2" t="e">
        <f>VLOOKUP(F2054,Munka1!A:A,1,0)</f>
        <v>#N/A</v>
      </c>
    </row>
    <row r="2055" spans="10:11" x14ac:dyDescent="0.3">
      <c r="J2055" s="2" t="str">
        <f t="shared" si="18"/>
        <v>NO</v>
      </c>
      <c r="K2055" s="2" t="e">
        <f>VLOOKUP(F2055,Munka1!A:A,1,0)</f>
        <v>#N/A</v>
      </c>
    </row>
    <row r="2056" spans="10:11" x14ac:dyDescent="0.3">
      <c r="J2056" s="2" t="str">
        <f t="shared" si="18"/>
        <v>NO</v>
      </c>
      <c r="K2056" s="2" t="e">
        <f>VLOOKUP(F2056,Munka1!A:A,1,0)</f>
        <v>#N/A</v>
      </c>
    </row>
    <row r="2057" spans="10:11" x14ac:dyDescent="0.3">
      <c r="J2057" s="2" t="str">
        <f t="shared" si="18"/>
        <v>NO</v>
      </c>
      <c r="K2057" s="2" t="e">
        <f>VLOOKUP(F2057,Munka1!A:A,1,0)</f>
        <v>#N/A</v>
      </c>
    </row>
    <row r="2058" spans="10:11" x14ac:dyDescent="0.3">
      <c r="J2058" s="2" t="str">
        <f t="shared" si="18"/>
        <v>NO</v>
      </c>
      <c r="K2058" s="2" t="e">
        <f>VLOOKUP(F2058,Munka1!A:A,1,0)</f>
        <v>#N/A</v>
      </c>
    </row>
    <row r="2059" spans="10:11" x14ac:dyDescent="0.3">
      <c r="J2059" s="2" t="str">
        <f t="shared" si="18"/>
        <v>NO</v>
      </c>
      <c r="K2059" s="2" t="e">
        <f>VLOOKUP(F2059,Munka1!A:A,1,0)</f>
        <v>#N/A</v>
      </c>
    </row>
    <row r="2060" spans="10:11" x14ac:dyDescent="0.3">
      <c r="J2060" s="2" t="str">
        <f t="shared" si="18"/>
        <v>NO</v>
      </c>
      <c r="K2060" s="2" t="e">
        <f>VLOOKUP(F2060,Munka1!A:A,1,0)</f>
        <v>#N/A</v>
      </c>
    </row>
    <row r="2061" spans="10:11" x14ac:dyDescent="0.3">
      <c r="J2061" s="2" t="str">
        <f t="shared" si="18"/>
        <v>NO</v>
      </c>
      <c r="K2061" s="2" t="e">
        <f>VLOOKUP(F2061,Munka1!A:A,1,0)</f>
        <v>#N/A</v>
      </c>
    </row>
    <row r="2062" spans="10:11" x14ac:dyDescent="0.3">
      <c r="J2062" s="2" t="str">
        <f t="shared" si="18"/>
        <v>NO</v>
      </c>
      <c r="K2062" s="2" t="e">
        <f>VLOOKUP(F2062,Munka1!A:A,1,0)</f>
        <v>#N/A</v>
      </c>
    </row>
    <row r="2063" spans="10:11" x14ac:dyDescent="0.3">
      <c r="J2063" s="2" t="str">
        <f t="shared" si="18"/>
        <v>NO</v>
      </c>
      <c r="K2063" s="2" t="e">
        <f>VLOOKUP(F2063,Munka1!A:A,1,0)</f>
        <v>#N/A</v>
      </c>
    </row>
    <row r="2064" spans="10:11" x14ac:dyDescent="0.3">
      <c r="J2064" s="2" t="str">
        <f t="shared" si="18"/>
        <v>NO</v>
      </c>
      <c r="K2064" s="2" t="e">
        <f>VLOOKUP(F2064,Munka1!A:A,1,0)</f>
        <v>#N/A</v>
      </c>
    </row>
    <row r="2065" spans="10:11" x14ac:dyDescent="0.3">
      <c r="J2065" s="2" t="str">
        <f t="shared" si="18"/>
        <v>NO</v>
      </c>
      <c r="K2065" s="2" t="e">
        <f>VLOOKUP(F2065,Munka1!A:A,1,0)</f>
        <v>#N/A</v>
      </c>
    </row>
    <row r="2066" spans="10:11" x14ac:dyDescent="0.3">
      <c r="J2066" s="2" t="str">
        <f t="shared" si="18"/>
        <v>NO</v>
      </c>
      <c r="K2066" s="2" t="e">
        <f>VLOOKUP(F2066,Munka1!A:A,1,0)</f>
        <v>#N/A</v>
      </c>
    </row>
    <row r="2067" spans="10:11" x14ac:dyDescent="0.3">
      <c r="J2067" s="2" t="str">
        <f t="shared" si="18"/>
        <v>NO</v>
      </c>
      <c r="K2067" s="2" t="e">
        <f>VLOOKUP(F2067,Munka1!A:A,1,0)</f>
        <v>#N/A</v>
      </c>
    </row>
    <row r="2068" spans="10:11" x14ac:dyDescent="0.3">
      <c r="J2068" s="2" t="str">
        <f t="shared" si="18"/>
        <v>NO</v>
      </c>
      <c r="K2068" s="2" t="e">
        <f>VLOOKUP(F2068,Munka1!A:A,1,0)</f>
        <v>#N/A</v>
      </c>
    </row>
    <row r="2069" spans="10:11" x14ac:dyDescent="0.3">
      <c r="J2069" s="2" t="str">
        <f t="shared" si="18"/>
        <v>NO</v>
      </c>
      <c r="K2069" s="2" t="e">
        <f>VLOOKUP(F2069,Munka1!A:A,1,0)</f>
        <v>#N/A</v>
      </c>
    </row>
    <row r="2070" spans="10:11" x14ac:dyDescent="0.3">
      <c r="J2070" s="2" t="str">
        <f t="shared" si="18"/>
        <v>NO</v>
      </c>
      <c r="K2070" s="2" t="e">
        <f>VLOOKUP(F2070,Munka1!A:A,1,0)</f>
        <v>#N/A</v>
      </c>
    </row>
    <row r="2071" spans="10:11" x14ac:dyDescent="0.3">
      <c r="J2071" s="2" t="str">
        <f t="shared" si="18"/>
        <v>NO</v>
      </c>
      <c r="K2071" s="2" t="e">
        <f>VLOOKUP(F2071,Munka1!A:A,1,0)</f>
        <v>#N/A</v>
      </c>
    </row>
    <row r="2072" spans="10:11" x14ac:dyDescent="0.3">
      <c r="J2072" s="2" t="str">
        <f t="shared" si="18"/>
        <v>NO</v>
      </c>
      <c r="K2072" s="2" t="e">
        <f>VLOOKUP(F2072,Munka1!A:A,1,0)</f>
        <v>#N/A</v>
      </c>
    </row>
    <row r="2073" spans="10:11" x14ac:dyDescent="0.3">
      <c r="J2073" s="2" t="str">
        <f t="shared" si="18"/>
        <v>NO</v>
      </c>
      <c r="K2073" s="2" t="e">
        <f>VLOOKUP(F2073,Munka1!A:A,1,0)</f>
        <v>#N/A</v>
      </c>
    </row>
    <row r="2074" spans="10:11" x14ac:dyDescent="0.3">
      <c r="J2074" s="2" t="str">
        <f t="shared" si="18"/>
        <v>NO</v>
      </c>
      <c r="K2074" s="2" t="e">
        <f>VLOOKUP(F2074,Munka1!A:A,1,0)</f>
        <v>#N/A</v>
      </c>
    </row>
    <row r="2075" spans="10:11" x14ac:dyDescent="0.3">
      <c r="J2075" s="2" t="str">
        <f t="shared" si="18"/>
        <v>NO</v>
      </c>
      <c r="K2075" s="2" t="e">
        <f>VLOOKUP(F2075,Munka1!A:A,1,0)</f>
        <v>#N/A</v>
      </c>
    </row>
    <row r="2076" spans="10:11" x14ac:dyDescent="0.3">
      <c r="J2076" s="2" t="str">
        <f t="shared" si="18"/>
        <v>NO</v>
      </c>
      <c r="K2076" s="2" t="e">
        <f>VLOOKUP(F2076,Munka1!A:A,1,0)</f>
        <v>#N/A</v>
      </c>
    </row>
    <row r="2077" spans="10:11" x14ac:dyDescent="0.3">
      <c r="J2077" s="2" t="str">
        <f t="shared" si="18"/>
        <v>NO</v>
      </c>
      <c r="K2077" s="2" t="e">
        <f>VLOOKUP(F2077,Munka1!A:A,1,0)</f>
        <v>#N/A</v>
      </c>
    </row>
    <row r="2078" spans="10:11" x14ac:dyDescent="0.3">
      <c r="J2078" s="2" t="str">
        <f t="shared" si="18"/>
        <v>NO</v>
      </c>
      <c r="K2078" s="2" t="e">
        <f>VLOOKUP(F2078,Munka1!A:A,1,0)</f>
        <v>#N/A</v>
      </c>
    </row>
    <row r="2079" spans="10:11" x14ac:dyDescent="0.3">
      <c r="J2079" s="2" t="str">
        <f t="shared" si="18"/>
        <v>NO</v>
      </c>
      <c r="K2079" s="2" t="e">
        <f>VLOOKUP(F2079,Munka1!A:A,1,0)</f>
        <v>#N/A</v>
      </c>
    </row>
    <row r="2080" spans="10:11" x14ac:dyDescent="0.3">
      <c r="J2080" s="2" t="str">
        <f t="shared" si="18"/>
        <v>NO</v>
      </c>
      <c r="K2080" s="2" t="e">
        <f>VLOOKUP(F2080,Munka1!A:A,1,0)</f>
        <v>#N/A</v>
      </c>
    </row>
    <row r="2081" spans="10:11" x14ac:dyDescent="0.3">
      <c r="J2081" s="2" t="str">
        <f t="shared" si="18"/>
        <v>NO</v>
      </c>
      <c r="K2081" s="2" t="e">
        <f>VLOOKUP(F2081,Munka1!A:A,1,0)</f>
        <v>#N/A</v>
      </c>
    </row>
    <row r="2082" spans="10:11" x14ac:dyDescent="0.3">
      <c r="J2082" s="2" t="str">
        <f t="shared" si="18"/>
        <v>NO</v>
      </c>
      <c r="K2082" s="2" t="e">
        <f>VLOOKUP(F2082,Munka1!A:A,1,0)</f>
        <v>#N/A</v>
      </c>
    </row>
    <row r="2083" spans="10:11" x14ac:dyDescent="0.3">
      <c r="J2083" s="2" t="str">
        <f t="shared" si="18"/>
        <v>NO</v>
      </c>
      <c r="K2083" s="2" t="e">
        <f>VLOOKUP(F2083,Munka1!A:A,1,0)</f>
        <v>#N/A</v>
      </c>
    </row>
    <row r="2084" spans="10:11" x14ac:dyDescent="0.3">
      <c r="J2084" s="2" t="str">
        <f t="shared" si="18"/>
        <v>NO</v>
      </c>
      <c r="K2084" s="2" t="e">
        <f>VLOOKUP(F2084,Munka1!A:A,1,0)</f>
        <v>#N/A</v>
      </c>
    </row>
    <row r="2085" spans="10:11" x14ac:dyDescent="0.3">
      <c r="J2085" s="2" t="str">
        <f t="shared" si="18"/>
        <v>NO</v>
      </c>
      <c r="K2085" s="2" t="e">
        <f>VLOOKUP(F2085,Munka1!A:A,1,0)</f>
        <v>#N/A</v>
      </c>
    </row>
    <row r="2086" spans="10:11" x14ac:dyDescent="0.3">
      <c r="J2086" s="2" t="str">
        <f t="shared" si="18"/>
        <v>NO</v>
      </c>
      <c r="K2086" s="2" t="e">
        <f>VLOOKUP(F2086,Munka1!A:A,1,0)</f>
        <v>#N/A</v>
      </c>
    </row>
    <row r="2087" spans="10:11" x14ac:dyDescent="0.3">
      <c r="J2087" s="2" t="str">
        <f t="shared" si="18"/>
        <v>NO</v>
      </c>
      <c r="K2087" s="2" t="e">
        <f>VLOOKUP(F2087,Munka1!A:A,1,0)</f>
        <v>#N/A</v>
      </c>
    </row>
    <row r="2088" spans="10:11" x14ac:dyDescent="0.3">
      <c r="J2088" s="2" t="str">
        <f t="shared" si="18"/>
        <v>NO</v>
      </c>
      <c r="K2088" s="2" t="e">
        <f>VLOOKUP(F2088,Munka1!A:A,1,0)</f>
        <v>#N/A</v>
      </c>
    </row>
    <row r="2089" spans="10:11" x14ac:dyDescent="0.3">
      <c r="J2089" s="2" t="str">
        <f t="shared" si="18"/>
        <v>NO</v>
      </c>
      <c r="K2089" s="2" t="e">
        <f>VLOOKUP(F2089,Munka1!A:A,1,0)</f>
        <v>#N/A</v>
      </c>
    </row>
    <row r="2090" spans="10:11" x14ac:dyDescent="0.3">
      <c r="J2090" s="2" t="str">
        <f t="shared" si="18"/>
        <v>NO</v>
      </c>
      <c r="K2090" s="2" t="e">
        <f>VLOOKUP(F2090,Munka1!A:A,1,0)</f>
        <v>#N/A</v>
      </c>
    </row>
    <row r="2091" spans="10:11" x14ac:dyDescent="0.3">
      <c r="J2091" s="2" t="str">
        <f t="shared" si="18"/>
        <v>NO</v>
      </c>
      <c r="K2091" s="2" t="e">
        <f>VLOOKUP(F2091,Munka1!A:A,1,0)</f>
        <v>#N/A</v>
      </c>
    </row>
    <row r="2092" spans="10:11" x14ac:dyDescent="0.3">
      <c r="J2092" s="2" t="str">
        <f t="shared" si="18"/>
        <v>NO</v>
      </c>
      <c r="K2092" s="2" t="e">
        <f>VLOOKUP(F2092,Munka1!A:A,1,0)</f>
        <v>#N/A</v>
      </c>
    </row>
    <row r="2093" spans="10:11" x14ac:dyDescent="0.3">
      <c r="J2093" s="2" t="str">
        <f t="shared" si="18"/>
        <v>NO</v>
      </c>
      <c r="K2093" s="2" t="e">
        <f>VLOOKUP(F2093,Munka1!A:A,1,0)</f>
        <v>#N/A</v>
      </c>
    </row>
    <row r="2094" spans="10:11" x14ac:dyDescent="0.3">
      <c r="J2094" s="2" t="str">
        <f t="shared" si="18"/>
        <v>NO</v>
      </c>
      <c r="K2094" s="2" t="e">
        <f>VLOOKUP(F2094,Munka1!A:A,1,0)</f>
        <v>#N/A</v>
      </c>
    </row>
    <row r="2095" spans="10:11" x14ac:dyDescent="0.3">
      <c r="J2095" s="2" t="str">
        <f t="shared" si="18"/>
        <v>NO</v>
      </c>
      <c r="K2095" s="2" t="e">
        <f>VLOOKUP(F2095,Munka1!A:A,1,0)</f>
        <v>#N/A</v>
      </c>
    </row>
    <row r="2096" spans="10:11" x14ac:dyDescent="0.3">
      <c r="J2096" s="2" t="str">
        <f t="shared" si="18"/>
        <v>NO</v>
      </c>
      <c r="K2096" s="2" t="e">
        <f>VLOOKUP(F2096,Munka1!A:A,1,0)</f>
        <v>#N/A</v>
      </c>
    </row>
    <row r="2097" spans="10:11" x14ac:dyDescent="0.3">
      <c r="J2097" s="2" t="str">
        <f t="shared" si="18"/>
        <v>NO</v>
      </c>
      <c r="K2097" s="2" t="e">
        <f>VLOOKUP(F2097,Munka1!A:A,1,0)</f>
        <v>#N/A</v>
      </c>
    </row>
    <row r="2098" spans="10:11" x14ac:dyDescent="0.3">
      <c r="J2098" s="2" t="str">
        <f t="shared" si="18"/>
        <v>NO</v>
      </c>
      <c r="K2098" s="2" t="e">
        <f>VLOOKUP(F2098,Munka1!A:A,1,0)</f>
        <v>#N/A</v>
      </c>
    </row>
    <row r="2099" spans="10:11" x14ac:dyDescent="0.3">
      <c r="J2099" s="2" t="str">
        <f t="shared" si="18"/>
        <v>NO</v>
      </c>
      <c r="K2099" s="2" t="e">
        <f>VLOOKUP(F2099,Munka1!A:A,1,0)</f>
        <v>#N/A</v>
      </c>
    </row>
    <row r="2100" spans="10:11" x14ac:dyDescent="0.3">
      <c r="J2100" s="2" t="str">
        <f t="shared" si="18"/>
        <v>NO</v>
      </c>
      <c r="K2100" s="2" t="e">
        <f>VLOOKUP(F2100,Munka1!A:A,1,0)</f>
        <v>#N/A</v>
      </c>
    </row>
    <row r="2101" spans="10:11" x14ac:dyDescent="0.3">
      <c r="J2101" s="2" t="str">
        <f t="shared" si="18"/>
        <v>NO</v>
      </c>
      <c r="K2101" s="2" t="e">
        <f>VLOOKUP(F2101,Munka1!A:A,1,0)</f>
        <v>#N/A</v>
      </c>
    </row>
    <row r="2102" spans="10:11" x14ac:dyDescent="0.3">
      <c r="J2102" s="2" t="str">
        <f t="shared" si="18"/>
        <v>NO</v>
      </c>
      <c r="K2102" s="2" t="e">
        <f>VLOOKUP(F2102,Munka1!A:A,1,0)</f>
        <v>#N/A</v>
      </c>
    </row>
    <row r="2103" spans="10:11" x14ac:dyDescent="0.3">
      <c r="J2103" s="2" t="str">
        <f t="shared" si="18"/>
        <v>NO</v>
      </c>
      <c r="K2103" s="2" t="e">
        <f>VLOOKUP(F2103,Munka1!A:A,1,0)</f>
        <v>#N/A</v>
      </c>
    </row>
    <row r="2104" spans="10:11" x14ac:dyDescent="0.3">
      <c r="J2104" s="2" t="str">
        <f t="shared" si="18"/>
        <v>NO</v>
      </c>
      <c r="K2104" s="2" t="e">
        <f>VLOOKUP(F2104,Munka1!A:A,1,0)</f>
        <v>#N/A</v>
      </c>
    </row>
    <row r="2105" spans="10:11" x14ac:dyDescent="0.3">
      <c r="J2105" s="2" t="str">
        <f t="shared" si="18"/>
        <v>NO</v>
      </c>
      <c r="K2105" s="2" t="e">
        <f>VLOOKUP(F2105,Munka1!A:A,1,0)</f>
        <v>#N/A</v>
      </c>
    </row>
    <row r="2106" spans="10:11" x14ac:dyDescent="0.3">
      <c r="J2106" s="2" t="str">
        <f t="shared" si="18"/>
        <v>NO</v>
      </c>
      <c r="K2106" s="2" t="e">
        <f>VLOOKUP(F2106,Munka1!A:A,1,0)</f>
        <v>#N/A</v>
      </c>
    </row>
    <row r="2107" spans="10:11" x14ac:dyDescent="0.3">
      <c r="J2107" s="2" t="str">
        <f t="shared" si="18"/>
        <v>NO</v>
      </c>
      <c r="K2107" s="2" t="e">
        <f>VLOOKUP(F2107,Munka1!A:A,1,0)</f>
        <v>#N/A</v>
      </c>
    </row>
    <row r="2108" spans="10:11" x14ac:dyDescent="0.3">
      <c r="J2108" s="2" t="str">
        <f t="shared" si="18"/>
        <v>NO</v>
      </c>
      <c r="K2108" s="2" t="e">
        <f>VLOOKUP(F2108,Munka1!A:A,1,0)</f>
        <v>#N/A</v>
      </c>
    </row>
    <row r="2109" spans="10:11" x14ac:dyDescent="0.3">
      <c r="J2109" s="2" t="str">
        <f t="shared" si="18"/>
        <v>NO</v>
      </c>
      <c r="K2109" s="2" t="e">
        <f>VLOOKUP(F2109,Munka1!A:A,1,0)</f>
        <v>#N/A</v>
      </c>
    </row>
    <row r="2110" spans="10:11" x14ac:dyDescent="0.3">
      <c r="J2110" s="2" t="str">
        <f t="shared" si="18"/>
        <v>NO</v>
      </c>
      <c r="K2110" s="2" t="e">
        <f>VLOOKUP(F2110,Munka1!A:A,1,0)</f>
        <v>#N/A</v>
      </c>
    </row>
    <row r="2111" spans="10:11" x14ac:dyDescent="0.3">
      <c r="J2111" s="2" t="str">
        <f t="shared" si="18"/>
        <v>NO</v>
      </c>
      <c r="K2111" s="2" t="e">
        <f>VLOOKUP(F2111,Munka1!A:A,1,0)</f>
        <v>#N/A</v>
      </c>
    </row>
    <row r="2112" spans="10:11" x14ac:dyDescent="0.3">
      <c r="J2112" s="2" t="str">
        <f t="shared" si="18"/>
        <v>NO</v>
      </c>
      <c r="K2112" s="2" t="e">
        <f>VLOOKUP(F2112,Munka1!A:A,1,0)</f>
        <v>#N/A</v>
      </c>
    </row>
    <row r="2113" spans="1:11" x14ac:dyDescent="0.3">
      <c r="J2113" s="2" t="str">
        <f t="shared" si="18"/>
        <v>NO</v>
      </c>
      <c r="K2113" s="2" t="e">
        <f>VLOOKUP(F2113,Munka1!A:A,1,0)</f>
        <v>#N/A</v>
      </c>
    </row>
    <row r="2114" spans="1:11" x14ac:dyDescent="0.3">
      <c r="J2114" s="2" t="str">
        <f t="shared" si="18"/>
        <v>NO</v>
      </c>
      <c r="K2114" s="2" t="e">
        <f>VLOOKUP(F2114,Munka1!A:A,1,0)</f>
        <v>#N/A</v>
      </c>
    </row>
    <row r="2115" spans="1:11" x14ac:dyDescent="0.3">
      <c r="J2115" s="2" t="str">
        <f t="shared" ref="J2115:J2134" si="19">IF(OR(F2115="",F2115="_",LEFT(F2115,5)="SPARE",F2115="N/A"),"NO","YES")</f>
        <v>NO</v>
      </c>
      <c r="K2115" s="2" t="e">
        <f>VLOOKUP(F2115,Munka1!A:A,1,0)</f>
        <v>#N/A</v>
      </c>
    </row>
    <row r="2116" spans="1:11" x14ac:dyDescent="0.3">
      <c r="J2116" s="2" t="str">
        <f t="shared" si="19"/>
        <v>NO</v>
      </c>
      <c r="K2116" s="2" t="e">
        <f>VLOOKUP(F2116,Munka1!A:A,1,0)</f>
        <v>#N/A</v>
      </c>
    </row>
    <row r="2117" spans="1:11" x14ac:dyDescent="0.3">
      <c r="J2117" s="2" t="str">
        <f t="shared" si="19"/>
        <v>NO</v>
      </c>
      <c r="K2117" s="2" t="e">
        <f>VLOOKUP(F2117,Munka1!A:A,1,0)</f>
        <v>#N/A</v>
      </c>
    </row>
    <row r="2118" spans="1:11" x14ac:dyDescent="0.3">
      <c r="J2118" s="2" t="str">
        <f t="shared" si="19"/>
        <v>NO</v>
      </c>
      <c r="K2118" s="2" t="e">
        <f>VLOOKUP(F2118,Munka1!A:A,1,0)</f>
        <v>#N/A</v>
      </c>
    </row>
    <row r="2119" spans="1:11" x14ac:dyDescent="0.3">
      <c r="J2119" s="2" t="str">
        <f t="shared" si="19"/>
        <v>NO</v>
      </c>
      <c r="K2119" s="2" t="e">
        <f>VLOOKUP(F2119,Munka1!A:A,1,0)</f>
        <v>#N/A</v>
      </c>
    </row>
    <row r="2120" spans="1:11" x14ac:dyDescent="0.3">
      <c r="J2120" s="2" t="str">
        <f t="shared" si="19"/>
        <v>NO</v>
      </c>
      <c r="K2120" s="2" t="e">
        <f>VLOOKUP(F2120,Munka1!A:A,1,0)</f>
        <v>#N/A</v>
      </c>
    </row>
    <row r="2121" spans="1:11" x14ac:dyDescent="0.3">
      <c r="J2121" s="2" t="str">
        <f t="shared" si="19"/>
        <v>NO</v>
      </c>
      <c r="K2121" s="2" t="e">
        <f>VLOOKUP(F2121,Munka1!A:A,1,0)</f>
        <v>#N/A</v>
      </c>
    </row>
    <row r="2122" spans="1:11" x14ac:dyDescent="0.3">
      <c r="J2122" s="2" t="str">
        <f t="shared" si="19"/>
        <v>NO</v>
      </c>
      <c r="K2122" s="2" t="e">
        <f>VLOOKUP(F2122,Munka1!A:A,1,0)</f>
        <v>#N/A</v>
      </c>
    </row>
    <row r="2123" spans="1:11" x14ac:dyDescent="0.3">
      <c r="J2123" s="2" t="str">
        <f t="shared" si="19"/>
        <v>NO</v>
      </c>
      <c r="K2123" s="2" t="e">
        <f>VLOOKUP(F2123,Munka1!A:A,1,0)</f>
        <v>#N/A</v>
      </c>
    </row>
    <row r="2124" spans="1:11" x14ac:dyDescent="0.3">
      <c r="A2124" s="2" t="s">
        <v>242</v>
      </c>
      <c r="B2124" s="26" t="s">
        <v>1022</v>
      </c>
      <c r="C2124" t="s">
        <v>1023</v>
      </c>
      <c r="D2124" t="s">
        <v>64</v>
      </c>
      <c r="E2124" t="s">
        <v>11</v>
      </c>
      <c r="F2124" s="4" t="s">
        <v>1021</v>
      </c>
      <c r="G2124">
        <v>1</v>
      </c>
      <c r="H2124"/>
      <c r="I2124" t="s">
        <v>392</v>
      </c>
      <c r="J2124" s="2" t="str">
        <f t="shared" si="19"/>
        <v>YES</v>
      </c>
      <c r="K2124" s="2" t="s">
        <v>1021</v>
      </c>
    </row>
    <row r="2125" spans="1:11" x14ac:dyDescent="0.3">
      <c r="A2125" s="2" t="s">
        <v>242</v>
      </c>
      <c r="B2125" s="26" t="s">
        <v>1022</v>
      </c>
      <c r="C2125" t="s">
        <v>1023</v>
      </c>
      <c r="D2125" t="s">
        <v>64</v>
      </c>
      <c r="E2125" t="s">
        <v>11</v>
      </c>
      <c r="F2125" s="4" t="s">
        <v>1025</v>
      </c>
      <c r="G2125">
        <v>1</v>
      </c>
      <c r="H2125"/>
      <c r="I2125" t="s">
        <v>427</v>
      </c>
      <c r="J2125" s="2" t="str">
        <f t="shared" si="19"/>
        <v>YES</v>
      </c>
      <c r="K2125" s="2" t="s">
        <v>1025</v>
      </c>
    </row>
    <row r="2126" spans="1:11" x14ac:dyDescent="0.3">
      <c r="A2126" s="2" t="s">
        <v>242</v>
      </c>
      <c r="B2126" s="26" t="s">
        <v>1022</v>
      </c>
      <c r="C2126" t="s">
        <v>1023</v>
      </c>
      <c r="D2126" t="s">
        <v>64</v>
      </c>
      <c r="E2126" t="s">
        <v>11</v>
      </c>
      <c r="F2126" s="4" t="s">
        <v>1026</v>
      </c>
      <c r="G2126">
        <v>1</v>
      </c>
      <c r="H2126"/>
      <c r="I2126" t="s">
        <v>418</v>
      </c>
      <c r="J2126" s="2" t="str">
        <f t="shared" si="19"/>
        <v>YES</v>
      </c>
      <c r="K2126" s="2" t="s">
        <v>1026</v>
      </c>
    </row>
    <row r="2127" spans="1:11" x14ac:dyDescent="0.3">
      <c r="A2127" s="2" t="s">
        <v>242</v>
      </c>
      <c r="B2127" s="26" t="s">
        <v>1022</v>
      </c>
      <c r="C2127" t="s">
        <v>1023</v>
      </c>
      <c r="D2127" t="s">
        <v>64</v>
      </c>
      <c r="E2127" t="s">
        <v>11</v>
      </c>
      <c r="F2127" s="4" t="s">
        <v>1028</v>
      </c>
      <c r="G2127">
        <v>1</v>
      </c>
      <c r="H2127"/>
      <c r="I2127" t="s">
        <v>437</v>
      </c>
      <c r="J2127" s="2" t="str">
        <f t="shared" si="19"/>
        <v>YES</v>
      </c>
      <c r="K2127" s="2" t="s">
        <v>1028</v>
      </c>
    </row>
    <row r="2128" spans="1:11" x14ac:dyDescent="0.3">
      <c r="A2128" s="2" t="s">
        <v>242</v>
      </c>
      <c r="B2128" s="26" t="s">
        <v>1022</v>
      </c>
      <c r="C2128" t="s">
        <v>1023</v>
      </c>
      <c r="D2128" t="s">
        <v>64</v>
      </c>
      <c r="E2128" t="s">
        <v>11</v>
      </c>
      <c r="F2128" s="4" t="s">
        <v>1029</v>
      </c>
      <c r="G2128">
        <v>1</v>
      </c>
      <c r="H2128"/>
      <c r="I2128" t="s">
        <v>446</v>
      </c>
      <c r="J2128" s="2" t="str">
        <f t="shared" si="19"/>
        <v>YES</v>
      </c>
      <c r="K2128" s="2" t="s">
        <v>1029</v>
      </c>
    </row>
    <row r="2129" spans="1:11" x14ac:dyDescent="0.3">
      <c r="A2129" s="2" t="s">
        <v>242</v>
      </c>
      <c r="B2129" s="26" t="s">
        <v>1022</v>
      </c>
      <c r="C2129" t="s">
        <v>1023</v>
      </c>
      <c r="D2129" t="s">
        <v>64</v>
      </c>
      <c r="E2129" t="s">
        <v>11</v>
      </c>
      <c r="F2129" s="4" t="s">
        <v>1030</v>
      </c>
      <c r="G2129">
        <v>1</v>
      </c>
      <c r="H2129"/>
      <c r="I2129" t="s">
        <v>456</v>
      </c>
      <c r="J2129" s="2" t="str">
        <f t="shared" si="19"/>
        <v>YES</v>
      </c>
      <c r="K2129" s="2" t="s">
        <v>1030</v>
      </c>
    </row>
    <row r="2130" spans="1:11" x14ac:dyDescent="0.3">
      <c r="A2130" s="2" t="s">
        <v>242</v>
      </c>
      <c r="B2130" s="26" t="s">
        <v>1022</v>
      </c>
      <c r="C2130" t="s">
        <v>1023</v>
      </c>
      <c r="D2130" t="s">
        <v>64</v>
      </c>
      <c r="E2130" t="s">
        <v>11</v>
      </c>
      <c r="F2130" s="4" t="s">
        <v>1031</v>
      </c>
      <c r="G2130">
        <v>1</v>
      </c>
      <c r="H2130"/>
      <c r="I2130" t="s">
        <v>465</v>
      </c>
      <c r="J2130" s="2" t="str">
        <f t="shared" si="19"/>
        <v>YES</v>
      </c>
      <c r="K2130" s="2" t="s">
        <v>1031</v>
      </c>
    </row>
    <row r="2131" spans="1:11" x14ac:dyDescent="0.3">
      <c r="A2131" s="2" t="s">
        <v>242</v>
      </c>
      <c r="B2131" s="26" t="s">
        <v>1022</v>
      </c>
      <c r="C2131" t="s">
        <v>1023</v>
      </c>
      <c r="D2131" t="s">
        <v>64</v>
      </c>
      <c r="E2131" t="s">
        <v>11</v>
      </c>
      <c r="F2131" s="4" t="s">
        <v>1032</v>
      </c>
      <c r="G2131">
        <v>1</v>
      </c>
      <c r="H2131"/>
      <c r="I2131" t="s">
        <v>475</v>
      </c>
      <c r="J2131" s="2" t="str">
        <f t="shared" si="19"/>
        <v>YES</v>
      </c>
      <c r="K2131" s="2" t="s">
        <v>1032</v>
      </c>
    </row>
    <row r="2132" spans="1:11" x14ac:dyDescent="0.3">
      <c r="A2132" s="2" t="s">
        <v>242</v>
      </c>
      <c r="B2132" s="26" t="s">
        <v>1022</v>
      </c>
      <c r="C2132" t="s">
        <v>1023</v>
      </c>
      <c r="D2132" t="s">
        <v>64</v>
      </c>
      <c r="E2132" t="s">
        <v>11</v>
      </c>
      <c r="F2132" s="4" t="s">
        <v>1033</v>
      </c>
      <c r="G2132">
        <v>1</v>
      </c>
      <c r="H2132"/>
      <c r="I2132" t="s">
        <v>484</v>
      </c>
      <c r="J2132" s="2" t="str">
        <f t="shared" si="19"/>
        <v>YES</v>
      </c>
      <c r="K2132" s="2" t="s">
        <v>1033</v>
      </c>
    </row>
    <row r="2133" spans="1:11" x14ac:dyDescent="0.3">
      <c r="A2133" s="2" t="s">
        <v>242</v>
      </c>
      <c r="B2133" s="26" t="s">
        <v>1022</v>
      </c>
      <c r="C2133" t="s">
        <v>1023</v>
      </c>
      <c r="D2133" t="s">
        <v>64</v>
      </c>
      <c r="E2133" t="s">
        <v>11</v>
      </c>
      <c r="F2133" s="4" t="s">
        <v>1034</v>
      </c>
      <c r="G2133">
        <v>1</v>
      </c>
      <c r="H2133"/>
      <c r="I2133" t="s">
        <v>1035</v>
      </c>
      <c r="J2133" s="2" t="str">
        <f t="shared" si="19"/>
        <v>YES</v>
      </c>
      <c r="K2133" s="2" t="s">
        <v>1034</v>
      </c>
    </row>
    <row r="2134" spans="1:11" x14ac:dyDescent="0.3">
      <c r="A2134" s="2" t="s">
        <v>242</v>
      </c>
      <c r="B2134" s="26" t="s">
        <v>1022</v>
      </c>
      <c r="C2134" t="s">
        <v>1023</v>
      </c>
      <c r="D2134" t="s">
        <v>64</v>
      </c>
      <c r="E2134" t="s">
        <v>11</v>
      </c>
      <c r="F2134" s="4" t="s">
        <v>1036</v>
      </c>
      <c r="G2134">
        <v>1</v>
      </c>
      <c r="H2134"/>
      <c r="I2134" t="s">
        <v>1035</v>
      </c>
      <c r="J2134" s="2" t="str">
        <f t="shared" si="19"/>
        <v>YES</v>
      </c>
      <c r="K2134" s="2" t="s">
        <v>1036</v>
      </c>
    </row>
  </sheetData>
  <autoFilter ref="A1:K2134"/>
  <conditionalFormatting sqref="F680">
    <cfRule type="duplicateValues" dxfId="62" priority="20"/>
  </conditionalFormatting>
  <conditionalFormatting sqref="F679">
    <cfRule type="duplicateValues" dxfId="61" priority="19"/>
  </conditionalFormatting>
  <conditionalFormatting sqref="F520">
    <cfRule type="duplicateValues" dxfId="60" priority="18"/>
  </conditionalFormatting>
  <conditionalFormatting sqref="F521">
    <cfRule type="duplicateValues" dxfId="59" priority="17"/>
  </conditionalFormatting>
  <conditionalFormatting sqref="F1:F2123 F2135:F1048576">
    <cfRule type="duplicateValues" dxfId="58" priority="16"/>
  </conditionalFormatting>
  <conditionalFormatting sqref="F2124">
    <cfRule type="duplicateValues" dxfId="57" priority="15"/>
  </conditionalFormatting>
  <conditionalFormatting sqref="F2125">
    <cfRule type="duplicateValues" dxfId="56" priority="14"/>
  </conditionalFormatting>
  <conditionalFormatting sqref="F2126">
    <cfRule type="duplicateValues" dxfId="55" priority="13"/>
  </conditionalFormatting>
  <conditionalFormatting sqref="F2127">
    <cfRule type="duplicateValues" dxfId="54" priority="12"/>
  </conditionalFormatting>
  <conditionalFormatting sqref="F2128">
    <cfRule type="duplicateValues" dxfId="53" priority="11"/>
  </conditionalFormatting>
  <conditionalFormatting sqref="F2129">
    <cfRule type="duplicateValues" dxfId="52" priority="10"/>
  </conditionalFormatting>
  <conditionalFormatting sqref="F2130">
    <cfRule type="duplicateValues" dxfId="51" priority="9"/>
  </conditionalFormatting>
  <conditionalFormatting sqref="F2131">
    <cfRule type="duplicateValues" dxfId="50" priority="8"/>
  </conditionalFormatting>
  <conditionalFormatting sqref="F2132">
    <cfRule type="duplicateValues" dxfId="49" priority="7"/>
  </conditionalFormatting>
  <conditionalFormatting sqref="F2133">
    <cfRule type="duplicateValues" dxfId="48" priority="6"/>
  </conditionalFormatting>
  <conditionalFormatting sqref="F2134">
    <cfRule type="duplicateValues" dxfId="47" priority="5"/>
  </conditionalFormatting>
  <conditionalFormatting sqref="K198:K199">
    <cfRule type="duplicateValues" dxfId="46" priority="4"/>
  </conditionalFormatting>
  <conditionalFormatting sqref="K98">
    <cfRule type="duplicateValues" dxfId="45" priority="3"/>
  </conditionalFormatting>
  <conditionalFormatting sqref="K242:K243">
    <cfRule type="duplicateValues" dxfId="44" priority="2"/>
  </conditionalFormatting>
  <conditionalFormatting sqref="K253">
    <cfRule type="duplicateValues" dxfId="4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 filterMode="1"/>
  <dimension ref="A1:K2134"/>
  <sheetViews>
    <sheetView zoomScale="85" zoomScaleNormal="85" workbookViewId="0">
      <pane ySplit="1" topLeftCell="A2" activePane="bottomLeft" state="frozen"/>
      <selection pane="bottomLeft" activeCell="F253" sqref="F253:F269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22.7773437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0" width="9.109375" style="2"/>
    <col min="11" max="11" width="14" style="2" bestFit="1" customWidth="1"/>
    <col min="12" max="16384" width="9.109375" style="2"/>
  </cols>
  <sheetData>
    <row r="1" spans="1:11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234</v>
      </c>
      <c r="K1" s="7" t="s">
        <v>959</v>
      </c>
    </row>
    <row r="2" spans="1:11" hidden="1" x14ac:dyDescent="0.3">
      <c r="A2" s="2" t="s">
        <v>242</v>
      </c>
      <c r="B2" s="2" t="s">
        <v>12</v>
      </c>
      <c r="C2" s="2" t="s">
        <v>13</v>
      </c>
      <c r="D2" s="2" t="s">
        <v>14</v>
      </c>
      <c r="E2" s="2" t="s">
        <v>15</v>
      </c>
      <c r="F2" s="6" t="s">
        <v>243</v>
      </c>
      <c r="G2" s="2">
        <v>1</v>
      </c>
      <c r="H2" s="2" t="s">
        <v>11</v>
      </c>
      <c r="I2" s="2" t="s">
        <v>244</v>
      </c>
      <c r="J2" s="2" t="str">
        <f>IF(OR(F2="",F2="_",LEFT(F2,5)="SPARE",F2="N/A"),"NO","YES")</f>
        <v>YES</v>
      </c>
      <c r="K2" s="2" t="s">
        <v>243</v>
      </c>
    </row>
    <row r="3" spans="1:11" hidden="1" x14ac:dyDescent="0.3">
      <c r="A3" s="2" t="s">
        <v>242</v>
      </c>
      <c r="B3" s="2" t="s">
        <v>17</v>
      </c>
      <c r="C3" s="2" t="s">
        <v>18</v>
      </c>
      <c r="D3" s="2" t="s">
        <v>14</v>
      </c>
      <c r="E3" s="2" t="s">
        <v>19</v>
      </c>
      <c r="F3" s="6" t="s">
        <v>245</v>
      </c>
      <c r="G3" s="2">
        <v>1</v>
      </c>
      <c r="H3" s="2" t="s">
        <v>11</v>
      </c>
      <c r="I3" s="2" t="s">
        <v>11</v>
      </c>
      <c r="J3" s="2" t="str">
        <f t="shared" ref="J3:J66" si="0">IF(OR(F3="",F3="_",LEFT(F3,5)="SPARE",F3="N/A"),"NO","YES")</f>
        <v>YES</v>
      </c>
      <c r="K3" s="2" t="s">
        <v>245</v>
      </c>
    </row>
    <row r="4" spans="1:11" hidden="1" x14ac:dyDescent="0.3">
      <c r="A4" s="2" t="s">
        <v>242</v>
      </c>
      <c r="B4" s="2" t="s">
        <v>17</v>
      </c>
      <c r="C4" s="2" t="s">
        <v>18</v>
      </c>
      <c r="D4" s="2" t="s">
        <v>14</v>
      </c>
      <c r="E4" s="2" t="s">
        <v>19</v>
      </c>
      <c r="F4" s="21" t="s">
        <v>957</v>
      </c>
      <c r="G4" s="2">
        <v>1</v>
      </c>
      <c r="H4" s="2" t="s">
        <v>11</v>
      </c>
      <c r="I4" s="2" t="s">
        <v>11</v>
      </c>
      <c r="J4" s="2" t="str">
        <f t="shared" si="0"/>
        <v>YES</v>
      </c>
      <c r="K4" s="2" t="s">
        <v>957</v>
      </c>
    </row>
    <row r="5" spans="1:11" hidden="1" x14ac:dyDescent="0.3">
      <c r="A5" s="2" t="s">
        <v>242</v>
      </c>
      <c r="B5" s="2" t="s">
        <v>20</v>
      </c>
      <c r="C5" s="2" t="s">
        <v>18</v>
      </c>
      <c r="D5" s="2" t="s">
        <v>14</v>
      </c>
      <c r="E5" s="2" t="s">
        <v>21</v>
      </c>
      <c r="F5" s="6" t="s">
        <v>246</v>
      </c>
      <c r="G5" s="2">
        <v>1</v>
      </c>
      <c r="H5" s="2" t="s">
        <v>11</v>
      </c>
      <c r="I5" s="2" t="s">
        <v>11</v>
      </c>
      <c r="J5" s="2" t="str">
        <f t="shared" si="0"/>
        <v>YES</v>
      </c>
      <c r="K5" s="2" t="s">
        <v>246</v>
      </c>
    </row>
    <row r="6" spans="1:11" hidden="1" x14ac:dyDescent="0.3">
      <c r="A6" s="2" t="s">
        <v>242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247</v>
      </c>
      <c r="G6" s="2">
        <v>1</v>
      </c>
      <c r="H6" s="2" t="s">
        <v>11</v>
      </c>
      <c r="I6" s="2" t="s">
        <v>11</v>
      </c>
      <c r="J6" s="2" t="str">
        <f t="shared" si="0"/>
        <v>YES</v>
      </c>
      <c r="K6" s="2" t="s">
        <v>247</v>
      </c>
    </row>
    <row r="7" spans="1:11" hidden="1" x14ac:dyDescent="0.3">
      <c r="A7" s="2" t="s">
        <v>242</v>
      </c>
      <c r="B7" s="2" t="s">
        <v>12</v>
      </c>
      <c r="C7" s="2" t="s">
        <v>13</v>
      </c>
      <c r="D7" s="2" t="s">
        <v>14</v>
      </c>
      <c r="E7" s="2" t="s">
        <v>15</v>
      </c>
      <c r="F7" s="6" t="s">
        <v>248</v>
      </c>
      <c r="G7" s="2">
        <v>1</v>
      </c>
      <c r="H7" s="2" t="s">
        <v>11</v>
      </c>
      <c r="I7" s="2" t="s">
        <v>249</v>
      </c>
      <c r="J7" s="2" t="str">
        <f t="shared" si="0"/>
        <v>YES</v>
      </c>
      <c r="K7" s="2" t="s">
        <v>248</v>
      </c>
    </row>
    <row r="8" spans="1:11" hidden="1" x14ac:dyDescent="0.3">
      <c r="A8" s="2" t="s">
        <v>242</v>
      </c>
      <c r="B8" s="2" t="s">
        <v>17</v>
      </c>
      <c r="C8" s="2" t="s">
        <v>18</v>
      </c>
      <c r="D8" s="2" t="s">
        <v>14</v>
      </c>
      <c r="E8" s="2" t="s">
        <v>19</v>
      </c>
      <c r="F8" s="21" t="s">
        <v>955</v>
      </c>
      <c r="G8" s="2">
        <v>1</v>
      </c>
      <c r="H8" s="2" t="s">
        <v>11</v>
      </c>
      <c r="I8" s="2" t="s">
        <v>11</v>
      </c>
      <c r="J8" s="2" t="str">
        <f t="shared" si="0"/>
        <v>YES</v>
      </c>
      <c r="K8" s="2" t="s">
        <v>955</v>
      </c>
    </row>
    <row r="9" spans="1:11" hidden="1" x14ac:dyDescent="0.3">
      <c r="A9" s="2" t="s">
        <v>242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251</v>
      </c>
      <c r="G9" s="2">
        <v>1</v>
      </c>
      <c r="H9" s="2" t="s">
        <v>11</v>
      </c>
      <c r="I9" s="2" t="s">
        <v>11</v>
      </c>
      <c r="J9" s="2" t="str">
        <f t="shared" si="0"/>
        <v>YES</v>
      </c>
      <c r="K9" s="2" t="s">
        <v>251</v>
      </c>
    </row>
    <row r="10" spans="1:11" hidden="1" x14ac:dyDescent="0.3">
      <c r="A10" s="2" t="s">
        <v>242</v>
      </c>
      <c r="B10" s="2" t="s">
        <v>20</v>
      </c>
      <c r="C10" s="2" t="s">
        <v>18</v>
      </c>
      <c r="D10" s="2" t="s">
        <v>14</v>
      </c>
      <c r="E10" s="2" t="s">
        <v>21</v>
      </c>
      <c r="F10" s="6" t="s">
        <v>252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  <c r="K10" s="2" t="s">
        <v>252</v>
      </c>
    </row>
    <row r="11" spans="1:11" hidden="1" x14ac:dyDescent="0.3">
      <c r="A11" s="2" t="s">
        <v>242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253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  <c r="K11" s="2" t="s">
        <v>253</v>
      </c>
    </row>
    <row r="12" spans="1:11" hidden="1" x14ac:dyDescent="0.3">
      <c r="A12" s="2" t="s">
        <v>242</v>
      </c>
      <c r="B12" s="2" t="s">
        <v>23</v>
      </c>
      <c r="C12" s="2" t="s">
        <v>24</v>
      </c>
      <c r="D12" s="2" t="s">
        <v>25</v>
      </c>
      <c r="E12" s="2" t="s">
        <v>26</v>
      </c>
      <c r="F12" s="6" t="s">
        <v>254</v>
      </c>
      <c r="G12" s="2">
        <v>1</v>
      </c>
      <c r="H12" s="2" t="s">
        <v>11</v>
      </c>
      <c r="I12" s="2" t="s">
        <v>255</v>
      </c>
      <c r="J12" s="2" t="str">
        <f t="shared" si="0"/>
        <v>YES</v>
      </c>
      <c r="K12" s="2" t="s">
        <v>254</v>
      </c>
    </row>
    <row r="13" spans="1:11" hidden="1" x14ac:dyDescent="0.3">
      <c r="A13" s="2" t="s">
        <v>242</v>
      </c>
      <c r="B13" s="2" t="s">
        <v>28</v>
      </c>
      <c r="C13" s="2" t="s">
        <v>18</v>
      </c>
      <c r="D13" s="2" t="s">
        <v>25</v>
      </c>
      <c r="E13" s="2" t="s">
        <v>29</v>
      </c>
      <c r="F13" s="6" t="s">
        <v>256</v>
      </c>
      <c r="G13" s="2">
        <v>1</v>
      </c>
      <c r="H13" s="2" t="s">
        <v>11</v>
      </c>
      <c r="I13" s="2" t="s">
        <v>11</v>
      </c>
      <c r="J13" s="2" t="str">
        <f t="shared" si="0"/>
        <v>YES</v>
      </c>
      <c r="K13" s="2" t="s">
        <v>256</v>
      </c>
    </row>
    <row r="14" spans="1:11" hidden="1" x14ac:dyDescent="0.3">
      <c r="A14" s="2" t="s">
        <v>242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257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  <c r="K14" s="2" t="s">
        <v>257</v>
      </c>
    </row>
    <row r="15" spans="1:11" hidden="1" x14ac:dyDescent="0.3">
      <c r="A15" s="2" t="s">
        <v>242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258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  <c r="K15" s="2" t="s">
        <v>258</v>
      </c>
    </row>
    <row r="16" spans="1:11" hidden="1" x14ac:dyDescent="0.3">
      <c r="A16" s="2" t="s">
        <v>242</v>
      </c>
      <c r="B16" s="2" t="s">
        <v>30</v>
      </c>
      <c r="C16" s="2" t="s">
        <v>18</v>
      </c>
      <c r="D16" s="2" t="s">
        <v>25</v>
      </c>
      <c r="E16" s="2" t="s">
        <v>31</v>
      </c>
      <c r="F16" s="6" t="s">
        <v>259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  <c r="K16" s="2" t="s">
        <v>259</v>
      </c>
    </row>
    <row r="17" spans="1:11" hidden="1" x14ac:dyDescent="0.3">
      <c r="A17" s="2" t="s">
        <v>242</v>
      </c>
      <c r="B17" s="2" t="s">
        <v>30</v>
      </c>
      <c r="C17" s="2" t="s">
        <v>18</v>
      </c>
      <c r="D17" s="2" t="s">
        <v>25</v>
      </c>
      <c r="E17" s="2" t="s">
        <v>31</v>
      </c>
      <c r="F17" s="6" t="s">
        <v>260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  <c r="K17" s="2" t="s">
        <v>260</v>
      </c>
    </row>
    <row r="18" spans="1:11" hidden="1" x14ac:dyDescent="0.3">
      <c r="A18" s="2" t="s">
        <v>242</v>
      </c>
      <c r="B18" s="2" t="s">
        <v>30</v>
      </c>
      <c r="C18" s="2" t="s">
        <v>18</v>
      </c>
      <c r="D18" s="2" t="s">
        <v>25</v>
      </c>
      <c r="E18" s="2" t="s">
        <v>31</v>
      </c>
      <c r="F18" s="6" t="s">
        <v>261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  <c r="K18" s="2" t="s">
        <v>261</v>
      </c>
    </row>
    <row r="19" spans="1:11" hidden="1" x14ac:dyDescent="0.3">
      <c r="A19" s="2" t="s">
        <v>242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262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  <c r="K19" s="2" t="s">
        <v>262</v>
      </c>
    </row>
    <row r="20" spans="1:11" hidden="1" x14ac:dyDescent="0.3">
      <c r="A20" s="2" t="s">
        <v>242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263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  <c r="K20" s="2" t="s">
        <v>263</v>
      </c>
    </row>
    <row r="21" spans="1:11" hidden="1" x14ac:dyDescent="0.3">
      <c r="A21" s="2" t="s">
        <v>242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264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  <c r="K21" s="2" t="s">
        <v>264</v>
      </c>
    </row>
    <row r="22" spans="1:11" hidden="1" x14ac:dyDescent="0.3">
      <c r="A22" s="2" t="s">
        <v>242</v>
      </c>
      <c r="B22" s="2" t="s">
        <v>32</v>
      </c>
      <c r="C22" s="2" t="s">
        <v>18</v>
      </c>
      <c r="D22" s="2" t="s">
        <v>25</v>
      </c>
      <c r="E22" s="2" t="s">
        <v>33</v>
      </c>
      <c r="F22" s="6" t="s">
        <v>265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  <c r="K22" s="2" t="s">
        <v>265</v>
      </c>
    </row>
    <row r="23" spans="1:11" hidden="1" x14ac:dyDescent="0.3">
      <c r="A23" s="2" t="s">
        <v>242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266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  <c r="K23" s="2" t="s">
        <v>266</v>
      </c>
    </row>
    <row r="24" spans="1:11" hidden="1" x14ac:dyDescent="0.3">
      <c r="A24" s="2" t="s">
        <v>242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267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  <c r="K24" s="2" t="s">
        <v>267</v>
      </c>
    </row>
    <row r="25" spans="1:11" hidden="1" x14ac:dyDescent="0.3">
      <c r="A25" s="2" t="s">
        <v>242</v>
      </c>
      <c r="B25" s="2" t="s">
        <v>23</v>
      </c>
      <c r="C25" s="2" t="s">
        <v>24</v>
      </c>
      <c r="D25" s="2" t="s">
        <v>25</v>
      </c>
      <c r="E25" s="2" t="s">
        <v>26</v>
      </c>
      <c r="F25" s="6" t="s">
        <v>268</v>
      </c>
      <c r="G25" s="2">
        <v>1</v>
      </c>
      <c r="H25" s="2" t="s">
        <v>11</v>
      </c>
      <c r="I25" s="2" t="s">
        <v>269</v>
      </c>
      <c r="J25" s="2" t="str">
        <f t="shared" si="0"/>
        <v>YES</v>
      </c>
      <c r="K25" s="2" t="s">
        <v>268</v>
      </c>
    </row>
    <row r="26" spans="1:11" hidden="1" x14ac:dyDescent="0.3">
      <c r="A26" s="2" t="s">
        <v>242</v>
      </c>
      <c r="B26" s="2" t="s">
        <v>28</v>
      </c>
      <c r="C26" s="2" t="s">
        <v>18</v>
      </c>
      <c r="D26" s="2" t="s">
        <v>25</v>
      </c>
      <c r="E26" s="2" t="s">
        <v>29</v>
      </c>
      <c r="F26" s="6" t="s">
        <v>270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  <c r="K26" s="2" t="s">
        <v>270</v>
      </c>
    </row>
    <row r="27" spans="1:11" hidden="1" x14ac:dyDescent="0.3">
      <c r="A27" s="2" t="s">
        <v>242</v>
      </c>
      <c r="B27" s="2" t="s">
        <v>28</v>
      </c>
      <c r="C27" s="2" t="s">
        <v>18</v>
      </c>
      <c r="D27" s="2" t="s">
        <v>25</v>
      </c>
      <c r="E27" s="2" t="s">
        <v>29</v>
      </c>
      <c r="F27" s="6" t="s">
        <v>271</v>
      </c>
      <c r="G27" s="2">
        <v>1</v>
      </c>
      <c r="H27" s="2" t="s">
        <v>11</v>
      </c>
      <c r="I27" s="2" t="s">
        <v>11</v>
      </c>
      <c r="J27" s="2" t="str">
        <f t="shared" si="0"/>
        <v>YES</v>
      </c>
      <c r="K27" s="2" t="s">
        <v>271</v>
      </c>
    </row>
    <row r="28" spans="1:11" hidden="1" x14ac:dyDescent="0.3">
      <c r="A28" s="2" t="s">
        <v>242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272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  <c r="K28" s="2" t="s">
        <v>272</v>
      </c>
    </row>
    <row r="29" spans="1:11" hidden="1" x14ac:dyDescent="0.3">
      <c r="A29" s="2" t="s">
        <v>242</v>
      </c>
      <c r="B29" s="2" t="s">
        <v>30</v>
      </c>
      <c r="C29" s="2" t="s">
        <v>18</v>
      </c>
      <c r="D29" s="2" t="s">
        <v>25</v>
      </c>
      <c r="E29" s="2" t="s">
        <v>31</v>
      </c>
      <c r="F29" s="6" t="s">
        <v>273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  <c r="K29" s="2" t="s">
        <v>273</v>
      </c>
    </row>
    <row r="30" spans="1:11" hidden="1" x14ac:dyDescent="0.3">
      <c r="A30" s="2" t="s">
        <v>242</v>
      </c>
      <c r="B30" s="2" t="s">
        <v>30</v>
      </c>
      <c r="C30" s="2" t="s">
        <v>18</v>
      </c>
      <c r="D30" s="2" t="s">
        <v>25</v>
      </c>
      <c r="E30" s="2" t="s">
        <v>31</v>
      </c>
      <c r="F30" s="6" t="s">
        <v>274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  <c r="K30" s="2" t="s">
        <v>274</v>
      </c>
    </row>
    <row r="31" spans="1:11" hidden="1" x14ac:dyDescent="0.3">
      <c r="A31" s="2" t="s">
        <v>242</v>
      </c>
      <c r="B31" s="2" t="s">
        <v>30</v>
      </c>
      <c r="C31" s="2" t="s">
        <v>18</v>
      </c>
      <c r="D31" s="2" t="s">
        <v>25</v>
      </c>
      <c r="E31" s="2" t="s">
        <v>31</v>
      </c>
      <c r="F31" s="6" t="s">
        <v>275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  <c r="K31" s="2" t="s">
        <v>275</v>
      </c>
    </row>
    <row r="32" spans="1:11" hidden="1" x14ac:dyDescent="0.3">
      <c r="A32" s="2" t="s">
        <v>242</v>
      </c>
      <c r="B32" s="2" t="s">
        <v>30</v>
      </c>
      <c r="C32" s="2" t="s">
        <v>18</v>
      </c>
      <c r="D32" s="2" t="s">
        <v>25</v>
      </c>
      <c r="E32" s="2" t="s">
        <v>31</v>
      </c>
      <c r="F32" s="6" t="s">
        <v>276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  <c r="K32" s="2" t="s">
        <v>276</v>
      </c>
    </row>
    <row r="33" spans="1:11" hidden="1" x14ac:dyDescent="0.3">
      <c r="A33" s="2" t="s">
        <v>242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277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  <c r="K33" s="2" t="s">
        <v>277</v>
      </c>
    </row>
    <row r="34" spans="1:11" hidden="1" x14ac:dyDescent="0.3">
      <c r="A34" s="2" t="s">
        <v>242</v>
      </c>
      <c r="B34" s="2" t="s">
        <v>32</v>
      </c>
      <c r="C34" s="2" t="s">
        <v>18</v>
      </c>
      <c r="D34" s="2" t="s">
        <v>25</v>
      </c>
      <c r="E34" s="2" t="s">
        <v>33</v>
      </c>
      <c r="F34" s="6" t="s">
        <v>278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  <c r="K34" s="2" t="s">
        <v>278</v>
      </c>
    </row>
    <row r="35" spans="1:11" hidden="1" x14ac:dyDescent="0.3">
      <c r="A35" s="2" t="s">
        <v>242</v>
      </c>
      <c r="B35" s="2" t="s">
        <v>32</v>
      </c>
      <c r="C35" s="2" t="s">
        <v>18</v>
      </c>
      <c r="D35" s="2" t="s">
        <v>25</v>
      </c>
      <c r="E35" s="2" t="s">
        <v>33</v>
      </c>
      <c r="F35" s="6" t="s">
        <v>279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  <c r="K35" s="2" t="s">
        <v>279</v>
      </c>
    </row>
    <row r="36" spans="1:11" hidden="1" x14ac:dyDescent="0.3">
      <c r="A36" s="2" t="s">
        <v>242</v>
      </c>
      <c r="B36" s="2" t="s">
        <v>32</v>
      </c>
      <c r="C36" s="2" t="s">
        <v>18</v>
      </c>
      <c r="D36" s="2" t="s">
        <v>25</v>
      </c>
      <c r="E36" s="2" t="s">
        <v>33</v>
      </c>
      <c r="F36" s="6" t="s">
        <v>280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  <c r="K36" s="2" t="s">
        <v>280</v>
      </c>
    </row>
    <row r="37" spans="1:11" hidden="1" x14ac:dyDescent="0.3">
      <c r="A37" s="2" t="s">
        <v>242</v>
      </c>
      <c r="B37" s="2" t="s">
        <v>40</v>
      </c>
      <c r="C37" s="2" t="s">
        <v>41</v>
      </c>
      <c r="D37" s="2" t="s">
        <v>14</v>
      </c>
      <c r="E37" s="2" t="s">
        <v>42</v>
      </c>
      <c r="F37" s="6" t="s">
        <v>281</v>
      </c>
      <c r="G37" s="2">
        <v>1</v>
      </c>
      <c r="H37" s="2" t="s">
        <v>11</v>
      </c>
      <c r="I37" s="2" t="s">
        <v>282</v>
      </c>
      <c r="J37" s="2" t="str">
        <f t="shared" si="0"/>
        <v>YES</v>
      </c>
      <c r="K37" s="2" t="s">
        <v>281</v>
      </c>
    </row>
    <row r="38" spans="1:11" hidden="1" x14ac:dyDescent="0.3">
      <c r="A38" s="2" t="s">
        <v>242</v>
      </c>
      <c r="B38" s="2" t="s">
        <v>44</v>
      </c>
      <c r="C38" s="2" t="s">
        <v>41</v>
      </c>
      <c r="D38" s="2" t="s">
        <v>14</v>
      </c>
      <c r="E38" s="2" t="s">
        <v>45</v>
      </c>
      <c r="F38" s="6" t="s">
        <v>283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  <c r="K38" s="2" t="s">
        <v>283</v>
      </c>
    </row>
    <row r="39" spans="1:11" hidden="1" x14ac:dyDescent="0.3">
      <c r="A39" s="2" t="s">
        <v>242</v>
      </c>
      <c r="B39" s="2" t="s">
        <v>44</v>
      </c>
      <c r="C39" s="2" t="s">
        <v>41</v>
      </c>
      <c r="D39" s="2" t="s">
        <v>14</v>
      </c>
      <c r="E39" s="2" t="s">
        <v>45</v>
      </c>
      <c r="F39" s="6" t="s">
        <v>284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  <c r="K39" s="2" t="s">
        <v>284</v>
      </c>
    </row>
    <row r="40" spans="1:11" hidden="1" x14ac:dyDescent="0.3">
      <c r="A40" s="2" t="s">
        <v>242</v>
      </c>
      <c r="B40" s="2" t="s">
        <v>46</v>
      </c>
      <c r="C40" s="2" t="s">
        <v>39</v>
      </c>
      <c r="D40" s="2" t="s">
        <v>14</v>
      </c>
      <c r="E40" s="2" t="s">
        <v>47</v>
      </c>
      <c r="F40" s="6" t="s">
        <v>285</v>
      </c>
      <c r="G40" s="2">
        <v>1</v>
      </c>
      <c r="H40" s="2" t="s">
        <v>286</v>
      </c>
      <c r="I40" s="2" t="s">
        <v>11</v>
      </c>
      <c r="J40" s="2" t="str">
        <f t="shared" si="0"/>
        <v>YES</v>
      </c>
      <c r="K40" s="2" t="s">
        <v>285</v>
      </c>
    </row>
    <row r="41" spans="1:11" hidden="1" x14ac:dyDescent="0.3">
      <c r="A41" s="2" t="s">
        <v>242</v>
      </c>
      <c r="B41" s="2" t="s">
        <v>46</v>
      </c>
      <c r="C41" s="2" t="s">
        <v>39</v>
      </c>
      <c r="D41" s="2" t="s">
        <v>14</v>
      </c>
      <c r="E41" s="2" t="s">
        <v>47</v>
      </c>
      <c r="F41" s="6" t="s">
        <v>287</v>
      </c>
      <c r="G41" s="2">
        <v>1</v>
      </c>
      <c r="H41" s="2" t="s">
        <v>288</v>
      </c>
      <c r="I41" s="2" t="s">
        <v>11</v>
      </c>
      <c r="J41" s="2" t="str">
        <f t="shared" si="0"/>
        <v>YES</v>
      </c>
      <c r="K41" s="2" t="s">
        <v>287</v>
      </c>
    </row>
    <row r="42" spans="1:11" hidden="1" x14ac:dyDescent="0.3">
      <c r="A42" s="2" t="s">
        <v>242</v>
      </c>
      <c r="B42" s="2" t="s">
        <v>46</v>
      </c>
      <c r="C42" s="2" t="s">
        <v>39</v>
      </c>
      <c r="D42" s="2" t="s">
        <v>14</v>
      </c>
      <c r="E42" s="2" t="s">
        <v>47</v>
      </c>
      <c r="F42" s="6" t="s">
        <v>289</v>
      </c>
      <c r="G42" s="2">
        <v>1</v>
      </c>
      <c r="H42" s="2" t="s">
        <v>290</v>
      </c>
      <c r="I42" s="2" t="s">
        <v>11</v>
      </c>
      <c r="J42" s="2" t="str">
        <f t="shared" si="0"/>
        <v>YES</v>
      </c>
      <c r="K42" s="2" t="s">
        <v>289</v>
      </c>
    </row>
    <row r="43" spans="1:11" hidden="1" x14ac:dyDescent="0.3">
      <c r="A43" s="2" t="s">
        <v>242</v>
      </c>
      <c r="B43" s="2" t="s">
        <v>46</v>
      </c>
      <c r="C43" s="2" t="s">
        <v>39</v>
      </c>
      <c r="D43" s="2" t="s">
        <v>14</v>
      </c>
      <c r="E43" s="2" t="s">
        <v>47</v>
      </c>
      <c r="F43" s="6" t="s">
        <v>291</v>
      </c>
      <c r="G43" s="2">
        <v>1</v>
      </c>
      <c r="H43" s="2" t="s">
        <v>292</v>
      </c>
      <c r="I43" s="2" t="s">
        <v>11</v>
      </c>
      <c r="J43" s="2" t="str">
        <f t="shared" si="0"/>
        <v>YES</v>
      </c>
      <c r="K43" s="2" t="s">
        <v>291</v>
      </c>
    </row>
    <row r="44" spans="1:11" hidden="1" x14ac:dyDescent="0.3">
      <c r="A44" s="2" t="s">
        <v>242</v>
      </c>
      <c r="B44" s="2" t="s">
        <v>46</v>
      </c>
      <c r="C44" s="2" t="s">
        <v>39</v>
      </c>
      <c r="D44" s="2" t="s">
        <v>14</v>
      </c>
      <c r="E44" s="2" t="s">
        <v>47</v>
      </c>
      <c r="F44" s="6" t="s">
        <v>293</v>
      </c>
      <c r="G44" s="2">
        <v>1</v>
      </c>
      <c r="H44" s="2" t="s">
        <v>294</v>
      </c>
      <c r="I44" s="2" t="s">
        <v>11</v>
      </c>
      <c r="J44" s="2" t="str">
        <f t="shared" si="0"/>
        <v>YES</v>
      </c>
      <c r="K44" s="2" t="s">
        <v>293</v>
      </c>
    </row>
    <row r="45" spans="1:11" hidden="1" x14ac:dyDescent="0.3">
      <c r="A45" s="2" t="s">
        <v>242</v>
      </c>
      <c r="B45" s="2" t="s">
        <v>46</v>
      </c>
      <c r="C45" s="2" t="s">
        <v>39</v>
      </c>
      <c r="D45" s="2" t="s">
        <v>14</v>
      </c>
      <c r="E45" s="2" t="s">
        <v>47</v>
      </c>
      <c r="F45" s="6" t="s">
        <v>295</v>
      </c>
      <c r="G45" s="2">
        <v>1</v>
      </c>
      <c r="H45" s="2" t="s">
        <v>296</v>
      </c>
      <c r="I45" s="2" t="s">
        <v>11</v>
      </c>
      <c r="J45" s="2" t="str">
        <f t="shared" si="0"/>
        <v>YES</v>
      </c>
      <c r="K45" s="2" t="s">
        <v>295</v>
      </c>
    </row>
    <row r="46" spans="1:11" hidden="1" x14ac:dyDescent="0.3">
      <c r="A46" s="2" t="s">
        <v>242</v>
      </c>
      <c r="B46" s="2" t="s">
        <v>46</v>
      </c>
      <c r="C46" s="2" t="s">
        <v>39</v>
      </c>
      <c r="D46" s="2" t="s">
        <v>14</v>
      </c>
      <c r="E46" s="2" t="s">
        <v>47</v>
      </c>
      <c r="F46" s="6" t="s">
        <v>297</v>
      </c>
      <c r="G46" s="2">
        <v>1</v>
      </c>
      <c r="H46" s="2" t="s">
        <v>298</v>
      </c>
      <c r="I46" s="2" t="s">
        <v>11</v>
      </c>
      <c r="J46" s="2" t="str">
        <f t="shared" si="0"/>
        <v>YES</v>
      </c>
      <c r="K46" s="2" t="s">
        <v>297</v>
      </c>
    </row>
    <row r="47" spans="1:11" hidden="1" x14ac:dyDescent="0.3">
      <c r="A47" s="2" t="s">
        <v>242</v>
      </c>
      <c r="B47" s="2" t="s">
        <v>46</v>
      </c>
      <c r="C47" s="2" t="s">
        <v>39</v>
      </c>
      <c r="D47" s="2" t="s">
        <v>14</v>
      </c>
      <c r="E47" s="2" t="s">
        <v>47</v>
      </c>
      <c r="F47" s="6" t="s">
        <v>299</v>
      </c>
      <c r="G47" s="2">
        <v>1</v>
      </c>
      <c r="H47" s="2" t="s">
        <v>300</v>
      </c>
      <c r="I47" s="2" t="s">
        <v>11</v>
      </c>
      <c r="J47" s="2" t="str">
        <f t="shared" si="0"/>
        <v>YES</v>
      </c>
      <c r="K47" s="2" t="s">
        <v>299</v>
      </c>
    </row>
    <row r="48" spans="1:11" hidden="1" x14ac:dyDescent="0.3">
      <c r="A48" s="2" t="s">
        <v>242</v>
      </c>
      <c r="B48" s="2" t="s">
        <v>46</v>
      </c>
      <c r="C48" s="2" t="s">
        <v>39</v>
      </c>
      <c r="D48" s="2" t="s">
        <v>14</v>
      </c>
      <c r="E48" s="2" t="s">
        <v>47</v>
      </c>
      <c r="F48" s="6" t="s">
        <v>301</v>
      </c>
      <c r="G48" s="2">
        <v>1</v>
      </c>
      <c r="H48" s="2" t="s">
        <v>302</v>
      </c>
      <c r="I48" s="2" t="s">
        <v>11</v>
      </c>
      <c r="J48" s="2" t="str">
        <f t="shared" si="0"/>
        <v>YES</v>
      </c>
      <c r="K48" s="2" t="s">
        <v>301</v>
      </c>
    </row>
    <row r="49" spans="1:11" hidden="1" x14ac:dyDescent="0.3">
      <c r="A49" s="2" t="s">
        <v>242</v>
      </c>
      <c r="B49" s="2" t="s">
        <v>46</v>
      </c>
      <c r="C49" s="2" t="s">
        <v>39</v>
      </c>
      <c r="D49" s="2" t="s">
        <v>14</v>
      </c>
      <c r="E49" s="2" t="s">
        <v>47</v>
      </c>
      <c r="F49" s="6" t="s">
        <v>303</v>
      </c>
      <c r="G49" s="2">
        <v>1</v>
      </c>
      <c r="H49" s="2" t="s">
        <v>304</v>
      </c>
      <c r="I49" s="2" t="s">
        <v>11</v>
      </c>
      <c r="J49" s="2" t="str">
        <f t="shared" si="0"/>
        <v>YES</v>
      </c>
      <c r="K49" s="2" t="s">
        <v>303</v>
      </c>
    </row>
    <row r="50" spans="1:11" hidden="1" x14ac:dyDescent="0.3">
      <c r="A50" s="2" t="s">
        <v>242</v>
      </c>
      <c r="B50" s="2" t="s">
        <v>46</v>
      </c>
      <c r="C50" s="2" t="s">
        <v>39</v>
      </c>
      <c r="D50" s="2" t="s">
        <v>14</v>
      </c>
      <c r="E50" s="2" t="s">
        <v>47</v>
      </c>
      <c r="F50" s="6" t="s">
        <v>305</v>
      </c>
      <c r="G50" s="2">
        <v>1</v>
      </c>
      <c r="H50" s="2" t="s">
        <v>306</v>
      </c>
      <c r="I50" s="2" t="s">
        <v>11</v>
      </c>
      <c r="J50" s="2" t="str">
        <f t="shared" si="0"/>
        <v>YES</v>
      </c>
      <c r="K50" s="2" t="s">
        <v>305</v>
      </c>
    </row>
    <row r="51" spans="1:11" hidden="1" x14ac:dyDescent="0.3">
      <c r="A51" s="2" t="s">
        <v>242</v>
      </c>
      <c r="B51" s="2" t="s">
        <v>46</v>
      </c>
      <c r="C51" s="2" t="s">
        <v>39</v>
      </c>
      <c r="D51" s="2" t="s">
        <v>14</v>
      </c>
      <c r="E51" s="2" t="s">
        <v>47</v>
      </c>
      <c r="F51" s="6" t="s">
        <v>307</v>
      </c>
      <c r="G51" s="2">
        <v>1</v>
      </c>
      <c r="H51" s="2" t="s">
        <v>308</v>
      </c>
      <c r="I51" s="2" t="s">
        <v>11</v>
      </c>
      <c r="J51" s="2" t="str">
        <f t="shared" si="0"/>
        <v>YES</v>
      </c>
      <c r="K51" s="2" t="s">
        <v>307</v>
      </c>
    </row>
    <row r="52" spans="1:11" hidden="1" x14ac:dyDescent="0.3">
      <c r="A52" s="2" t="s">
        <v>242</v>
      </c>
      <c r="B52" s="2" t="s">
        <v>48</v>
      </c>
      <c r="C52" s="2" t="s">
        <v>18</v>
      </c>
      <c r="D52" s="2" t="s">
        <v>14</v>
      </c>
      <c r="E52" s="2" t="s">
        <v>49</v>
      </c>
      <c r="F52" s="6" t="s">
        <v>309</v>
      </c>
      <c r="G52" s="2">
        <v>1</v>
      </c>
      <c r="H52" s="2" t="s">
        <v>11</v>
      </c>
      <c r="I52" s="2" t="s">
        <v>11</v>
      </c>
      <c r="J52" s="2" t="str">
        <f t="shared" si="0"/>
        <v>YES</v>
      </c>
      <c r="K52" s="2" t="s">
        <v>309</v>
      </c>
    </row>
    <row r="53" spans="1:11" hidden="1" x14ac:dyDescent="0.3">
      <c r="A53" s="2" t="s">
        <v>242</v>
      </c>
      <c r="B53" s="2" t="s">
        <v>48</v>
      </c>
      <c r="C53" s="2" t="s">
        <v>18</v>
      </c>
      <c r="D53" s="2" t="s">
        <v>14</v>
      </c>
      <c r="E53" s="2" t="s">
        <v>49</v>
      </c>
      <c r="F53" s="6" t="s">
        <v>310</v>
      </c>
      <c r="G53" s="2">
        <v>1</v>
      </c>
      <c r="H53" s="2" t="s">
        <v>11</v>
      </c>
      <c r="I53" s="2" t="s">
        <v>11</v>
      </c>
      <c r="J53" s="2" t="str">
        <f t="shared" si="0"/>
        <v>YES</v>
      </c>
      <c r="K53" s="2" t="s">
        <v>310</v>
      </c>
    </row>
    <row r="54" spans="1:11" hidden="1" x14ac:dyDescent="0.3">
      <c r="A54" s="2" t="s">
        <v>242</v>
      </c>
      <c r="B54" s="2" t="s">
        <v>48</v>
      </c>
      <c r="C54" s="2" t="s">
        <v>18</v>
      </c>
      <c r="D54" s="2" t="s">
        <v>14</v>
      </c>
      <c r="E54" s="2" t="s">
        <v>49</v>
      </c>
      <c r="F54" s="6" t="s">
        <v>311</v>
      </c>
      <c r="G54" s="2">
        <v>1</v>
      </c>
      <c r="H54" s="2" t="s">
        <v>11</v>
      </c>
      <c r="I54" s="2" t="s">
        <v>11</v>
      </c>
      <c r="J54" s="2" t="str">
        <f t="shared" si="0"/>
        <v>YES</v>
      </c>
      <c r="K54" s="2" t="s">
        <v>311</v>
      </c>
    </row>
    <row r="55" spans="1:11" hidden="1" x14ac:dyDescent="0.3">
      <c r="A55" s="2" t="s">
        <v>242</v>
      </c>
      <c r="B55" s="2" t="s">
        <v>48</v>
      </c>
      <c r="C55" s="2" t="s">
        <v>18</v>
      </c>
      <c r="D55" s="2" t="s">
        <v>14</v>
      </c>
      <c r="E55" s="2" t="s">
        <v>49</v>
      </c>
      <c r="F55" s="6" t="s">
        <v>312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  <c r="K55" s="2" t="s">
        <v>312</v>
      </c>
    </row>
    <row r="56" spans="1:11" hidden="1" x14ac:dyDescent="0.3">
      <c r="A56" s="2" t="s">
        <v>242</v>
      </c>
      <c r="B56" s="2" t="s">
        <v>48</v>
      </c>
      <c r="C56" s="2" t="s">
        <v>18</v>
      </c>
      <c r="D56" s="2" t="s">
        <v>14</v>
      </c>
      <c r="E56" s="2" t="s">
        <v>49</v>
      </c>
      <c r="F56" s="6" t="s">
        <v>313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  <c r="K56" s="2" t="s">
        <v>313</v>
      </c>
    </row>
    <row r="57" spans="1:11" hidden="1" x14ac:dyDescent="0.3">
      <c r="A57" s="2" t="s">
        <v>242</v>
      </c>
      <c r="B57" s="2" t="s">
        <v>48</v>
      </c>
      <c r="C57" s="2" t="s">
        <v>18</v>
      </c>
      <c r="D57" s="2" t="s">
        <v>14</v>
      </c>
      <c r="E57" s="2" t="s">
        <v>49</v>
      </c>
      <c r="F57" s="6" t="s">
        <v>314</v>
      </c>
      <c r="G57" s="2">
        <v>1</v>
      </c>
      <c r="H57" s="2" t="s">
        <v>11</v>
      </c>
      <c r="I57" s="2" t="s">
        <v>11</v>
      </c>
      <c r="J57" s="2" t="str">
        <f t="shared" si="0"/>
        <v>YES</v>
      </c>
      <c r="K57" s="2" t="s">
        <v>314</v>
      </c>
    </row>
    <row r="58" spans="1:11" hidden="1" x14ac:dyDescent="0.3">
      <c r="A58" s="2" t="s">
        <v>242</v>
      </c>
      <c r="B58" s="2" t="s">
        <v>48</v>
      </c>
      <c r="C58" s="2" t="s">
        <v>18</v>
      </c>
      <c r="D58" s="2" t="s">
        <v>14</v>
      </c>
      <c r="E58" s="2" t="s">
        <v>49</v>
      </c>
      <c r="F58" s="6" t="s">
        <v>315</v>
      </c>
      <c r="G58" s="2">
        <v>1</v>
      </c>
      <c r="H58" s="2" t="s">
        <v>11</v>
      </c>
      <c r="I58" s="2" t="s">
        <v>11</v>
      </c>
      <c r="J58" s="2" t="str">
        <f t="shared" si="0"/>
        <v>YES</v>
      </c>
      <c r="K58" s="2" t="s">
        <v>315</v>
      </c>
    </row>
    <row r="59" spans="1:11" hidden="1" x14ac:dyDescent="0.3">
      <c r="A59" s="2" t="s">
        <v>242</v>
      </c>
      <c r="B59" s="2" t="s">
        <v>48</v>
      </c>
      <c r="C59" s="2" t="s">
        <v>18</v>
      </c>
      <c r="D59" s="2" t="s">
        <v>14</v>
      </c>
      <c r="E59" s="2" t="s">
        <v>49</v>
      </c>
      <c r="F59" s="6" t="s">
        <v>316</v>
      </c>
      <c r="G59" s="2">
        <v>1</v>
      </c>
      <c r="H59" s="2" t="s">
        <v>11</v>
      </c>
      <c r="I59" s="2" t="s">
        <v>11</v>
      </c>
      <c r="J59" s="2" t="str">
        <f t="shared" si="0"/>
        <v>YES</v>
      </c>
      <c r="K59" s="2" t="s">
        <v>316</v>
      </c>
    </row>
    <row r="60" spans="1:11" hidden="1" x14ac:dyDescent="0.3">
      <c r="A60" s="2" t="s">
        <v>242</v>
      </c>
      <c r="B60" s="2" t="s">
        <v>226</v>
      </c>
      <c r="C60" s="2" t="s">
        <v>227</v>
      </c>
      <c r="D60" s="2" t="s">
        <v>14</v>
      </c>
      <c r="E60" s="2" t="s">
        <v>228</v>
      </c>
      <c r="F60" s="6" t="s">
        <v>317</v>
      </c>
      <c r="G60" s="2">
        <v>1</v>
      </c>
      <c r="H60" s="2" t="s">
        <v>11</v>
      </c>
      <c r="I60" s="2" t="s">
        <v>318</v>
      </c>
      <c r="J60" s="2" t="str">
        <f t="shared" si="0"/>
        <v>YES</v>
      </c>
      <c r="K60" s="2" t="s">
        <v>317</v>
      </c>
    </row>
    <row r="61" spans="1:11" hidden="1" x14ac:dyDescent="0.3">
      <c r="A61" s="2" t="s">
        <v>242</v>
      </c>
      <c r="B61" s="2" t="s">
        <v>229</v>
      </c>
      <c r="C61" s="2" t="s">
        <v>230</v>
      </c>
      <c r="D61" s="2" t="s">
        <v>14</v>
      </c>
      <c r="E61" s="2" t="s">
        <v>231</v>
      </c>
      <c r="F61" s="6" t="s">
        <v>319</v>
      </c>
      <c r="G61" s="2">
        <v>1</v>
      </c>
      <c r="H61" s="2" t="s">
        <v>11</v>
      </c>
      <c r="I61" s="2" t="s">
        <v>11</v>
      </c>
      <c r="J61" s="2" t="str">
        <f t="shared" si="0"/>
        <v>YES</v>
      </c>
      <c r="K61" s="2" t="s">
        <v>319</v>
      </c>
    </row>
    <row r="62" spans="1:11" hidden="1" x14ac:dyDescent="0.3">
      <c r="A62" s="2" t="s">
        <v>242</v>
      </c>
      <c r="B62" s="2" t="s">
        <v>229</v>
      </c>
      <c r="C62" s="2" t="s">
        <v>230</v>
      </c>
      <c r="D62" s="2" t="s">
        <v>14</v>
      </c>
      <c r="E62" s="2" t="s">
        <v>231</v>
      </c>
      <c r="F62" s="6" t="s">
        <v>320</v>
      </c>
      <c r="G62" s="2">
        <v>1</v>
      </c>
      <c r="H62" s="2" t="s">
        <v>11</v>
      </c>
      <c r="I62" s="2" t="s">
        <v>11</v>
      </c>
      <c r="J62" s="2" t="str">
        <f t="shared" si="0"/>
        <v>YES</v>
      </c>
      <c r="K62" s="2" t="s">
        <v>320</v>
      </c>
    </row>
    <row r="63" spans="1:11" hidden="1" x14ac:dyDescent="0.3">
      <c r="A63" s="2" t="s">
        <v>242</v>
      </c>
      <c r="B63" s="2" t="s">
        <v>46</v>
      </c>
      <c r="C63" s="2" t="s">
        <v>39</v>
      </c>
      <c r="D63" s="2" t="s">
        <v>14</v>
      </c>
      <c r="E63" s="2" t="s">
        <v>47</v>
      </c>
      <c r="F63" s="6" t="s">
        <v>321</v>
      </c>
      <c r="G63" s="2">
        <v>1</v>
      </c>
      <c r="H63" s="2" t="s">
        <v>322</v>
      </c>
      <c r="I63" s="2" t="s">
        <v>11</v>
      </c>
      <c r="J63" s="2" t="str">
        <f t="shared" si="0"/>
        <v>YES</v>
      </c>
      <c r="K63" s="2" t="s">
        <v>321</v>
      </c>
    </row>
    <row r="64" spans="1:11" hidden="1" x14ac:dyDescent="0.3">
      <c r="A64" s="2" t="s">
        <v>242</v>
      </c>
      <c r="B64" s="2" t="s">
        <v>46</v>
      </c>
      <c r="C64" s="2" t="s">
        <v>39</v>
      </c>
      <c r="D64" s="2" t="s">
        <v>14</v>
      </c>
      <c r="E64" s="2" t="s">
        <v>47</v>
      </c>
      <c r="F64" s="6" t="s">
        <v>323</v>
      </c>
      <c r="G64" s="2">
        <v>1</v>
      </c>
      <c r="H64" s="2" t="s">
        <v>324</v>
      </c>
      <c r="I64" s="2" t="s">
        <v>11</v>
      </c>
      <c r="J64" s="2" t="str">
        <f t="shared" si="0"/>
        <v>YES</v>
      </c>
      <c r="K64" s="2" t="s">
        <v>323</v>
      </c>
    </row>
    <row r="65" spans="1:11" hidden="1" x14ac:dyDescent="0.3">
      <c r="A65" s="2" t="s">
        <v>242</v>
      </c>
      <c r="B65" s="2" t="s">
        <v>46</v>
      </c>
      <c r="C65" s="2" t="s">
        <v>39</v>
      </c>
      <c r="D65" s="2" t="s">
        <v>14</v>
      </c>
      <c r="E65" s="2" t="s">
        <v>47</v>
      </c>
      <c r="F65" s="6" t="s">
        <v>325</v>
      </c>
      <c r="G65" s="2">
        <v>1</v>
      </c>
      <c r="H65" s="2" t="s">
        <v>326</v>
      </c>
      <c r="I65" s="2" t="s">
        <v>11</v>
      </c>
      <c r="J65" s="2" t="str">
        <f t="shared" si="0"/>
        <v>YES</v>
      </c>
      <c r="K65" s="2" t="s">
        <v>325</v>
      </c>
    </row>
    <row r="66" spans="1:11" hidden="1" x14ac:dyDescent="0.3">
      <c r="A66" s="2" t="s">
        <v>242</v>
      </c>
      <c r="B66" s="2" t="s">
        <v>46</v>
      </c>
      <c r="C66" s="2" t="s">
        <v>39</v>
      </c>
      <c r="D66" s="2" t="s">
        <v>14</v>
      </c>
      <c r="E66" s="2" t="s">
        <v>47</v>
      </c>
      <c r="F66" s="6" t="s">
        <v>327</v>
      </c>
      <c r="G66" s="2">
        <v>1</v>
      </c>
      <c r="H66" s="2" t="s">
        <v>328</v>
      </c>
      <c r="I66" s="2" t="s">
        <v>11</v>
      </c>
      <c r="J66" s="2" t="str">
        <f t="shared" si="0"/>
        <v>YES</v>
      </c>
      <c r="K66" s="2" t="s">
        <v>327</v>
      </c>
    </row>
    <row r="67" spans="1:11" hidden="1" x14ac:dyDescent="0.3">
      <c r="A67" s="2" t="s">
        <v>242</v>
      </c>
      <c r="B67" s="2" t="s">
        <v>46</v>
      </c>
      <c r="C67" s="2" t="s">
        <v>39</v>
      </c>
      <c r="D67" s="2" t="s">
        <v>14</v>
      </c>
      <c r="E67" s="2" t="s">
        <v>47</v>
      </c>
      <c r="F67" s="6" t="s">
        <v>329</v>
      </c>
      <c r="G67" s="2">
        <v>1</v>
      </c>
      <c r="H67" s="2" t="s">
        <v>330</v>
      </c>
      <c r="I67" s="2" t="s">
        <v>11</v>
      </c>
      <c r="J67" s="2" t="str">
        <f t="shared" ref="J67:J130" si="1">IF(OR(F67="",F67="_",LEFT(F67,5)="SPARE",F67="N/A"),"NO","YES")</f>
        <v>YES</v>
      </c>
      <c r="K67" s="2" t="s">
        <v>329</v>
      </c>
    </row>
    <row r="68" spans="1:11" hidden="1" x14ac:dyDescent="0.3">
      <c r="A68" s="2" t="s">
        <v>242</v>
      </c>
      <c r="B68" s="2" t="s">
        <v>46</v>
      </c>
      <c r="C68" s="2" t="s">
        <v>39</v>
      </c>
      <c r="D68" s="2" t="s">
        <v>14</v>
      </c>
      <c r="E68" s="2" t="s">
        <v>47</v>
      </c>
      <c r="F68" s="6" t="s">
        <v>331</v>
      </c>
      <c r="G68" s="2">
        <v>1</v>
      </c>
      <c r="H68" s="2" t="s">
        <v>332</v>
      </c>
      <c r="I68" s="2" t="s">
        <v>11</v>
      </c>
      <c r="J68" s="2" t="str">
        <f t="shared" si="1"/>
        <v>YES</v>
      </c>
      <c r="K68" s="2" t="s">
        <v>331</v>
      </c>
    </row>
    <row r="69" spans="1:11" hidden="1" x14ac:dyDescent="0.3">
      <c r="A69" s="2" t="s">
        <v>242</v>
      </c>
      <c r="B69" s="2" t="s">
        <v>46</v>
      </c>
      <c r="C69" s="2" t="s">
        <v>39</v>
      </c>
      <c r="D69" s="2" t="s">
        <v>14</v>
      </c>
      <c r="E69" s="2" t="s">
        <v>47</v>
      </c>
      <c r="F69" s="6" t="s">
        <v>333</v>
      </c>
      <c r="G69" s="2">
        <v>1</v>
      </c>
      <c r="H69" s="2" t="s">
        <v>334</v>
      </c>
      <c r="I69" s="2" t="s">
        <v>11</v>
      </c>
      <c r="J69" s="2" t="str">
        <f t="shared" si="1"/>
        <v>YES</v>
      </c>
      <c r="K69" s="2" t="s">
        <v>333</v>
      </c>
    </row>
    <row r="70" spans="1:11" hidden="1" x14ac:dyDescent="0.3">
      <c r="A70" s="2" t="s">
        <v>242</v>
      </c>
      <c r="B70" s="2" t="s">
        <v>46</v>
      </c>
      <c r="C70" s="2" t="s">
        <v>39</v>
      </c>
      <c r="D70" s="2" t="s">
        <v>14</v>
      </c>
      <c r="E70" s="2" t="s">
        <v>47</v>
      </c>
      <c r="F70" s="6" t="s">
        <v>335</v>
      </c>
      <c r="G70" s="2">
        <v>1</v>
      </c>
      <c r="H70" s="2" t="s">
        <v>336</v>
      </c>
      <c r="I70" s="2" t="s">
        <v>11</v>
      </c>
      <c r="J70" s="2" t="str">
        <f t="shared" si="1"/>
        <v>YES</v>
      </c>
      <c r="K70" s="2" t="s">
        <v>335</v>
      </c>
    </row>
    <row r="71" spans="1:11" hidden="1" x14ac:dyDescent="0.3">
      <c r="A71" s="2" t="s">
        <v>242</v>
      </c>
      <c r="B71" s="2" t="s">
        <v>46</v>
      </c>
      <c r="C71" s="2" t="s">
        <v>39</v>
      </c>
      <c r="D71" s="2" t="s">
        <v>14</v>
      </c>
      <c r="E71" s="2" t="s">
        <v>47</v>
      </c>
      <c r="F71" s="6" t="s">
        <v>337</v>
      </c>
      <c r="G71" s="2">
        <v>1</v>
      </c>
      <c r="H71" s="2" t="s">
        <v>338</v>
      </c>
      <c r="I71" s="2" t="s">
        <v>11</v>
      </c>
      <c r="J71" s="2" t="str">
        <f t="shared" si="1"/>
        <v>YES</v>
      </c>
      <c r="K71" s="2" t="s">
        <v>337</v>
      </c>
    </row>
    <row r="72" spans="1:11" hidden="1" x14ac:dyDescent="0.3">
      <c r="A72" s="2" t="s">
        <v>242</v>
      </c>
      <c r="B72" s="2" t="s">
        <v>46</v>
      </c>
      <c r="C72" s="2" t="s">
        <v>39</v>
      </c>
      <c r="D72" s="2" t="s">
        <v>14</v>
      </c>
      <c r="E72" s="2" t="s">
        <v>47</v>
      </c>
      <c r="F72" s="6" t="s">
        <v>339</v>
      </c>
      <c r="G72" s="2">
        <v>1</v>
      </c>
      <c r="H72" s="2" t="s">
        <v>340</v>
      </c>
      <c r="I72" s="2" t="s">
        <v>11</v>
      </c>
      <c r="J72" s="2" t="str">
        <f t="shared" si="1"/>
        <v>YES</v>
      </c>
      <c r="K72" s="2" t="s">
        <v>339</v>
      </c>
    </row>
    <row r="73" spans="1:11" hidden="1" x14ac:dyDescent="0.3">
      <c r="A73" s="2" t="s">
        <v>242</v>
      </c>
      <c r="B73" s="2" t="s">
        <v>46</v>
      </c>
      <c r="C73" s="2" t="s">
        <v>39</v>
      </c>
      <c r="D73" s="2" t="s">
        <v>14</v>
      </c>
      <c r="E73" s="2" t="s">
        <v>47</v>
      </c>
      <c r="F73" s="6" t="s">
        <v>341</v>
      </c>
      <c r="G73" s="2">
        <v>1</v>
      </c>
      <c r="H73" s="2" t="s">
        <v>342</v>
      </c>
      <c r="I73" s="2" t="s">
        <v>11</v>
      </c>
      <c r="J73" s="2" t="str">
        <f t="shared" si="1"/>
        <v>YES</v>
      </c>
      <c r="K73" s="2" t="s">
        <v>341</v>
      </c>
    </row>
    <row r="74" spans="1:11" hidden="1" x14ac:dyDescent="0.3">
      <c r="A74" s="2" t="s">
        <v>242</v>
      </c>
      <c r="B74" s="2" t="s">
        <v>46</v>
      </c>
      <c r="C74" s="2" t="s">
        <v>39</v>
      </c>
      <c r="D74" s="2" t="s">
        <v>14</v>
      </c>
      <c r="E74" s="2" t="s">
        <v>47</v>
      </c>
      <c r="F74" s="6" t="s">
        <v>343</v>
      </c>
      <c r="G74" s="2">
        <v>1</v>
      </c>
      <c r="H74" s="2" t="s">
        <v>344</v>
      </c>
      <c r="I74" s="2" t="s">
        <v>11</v>
      </c>
      <c r="J74" s="2" t="str">
        <f t="shared" si="1"/>
        <v>YES</v>
      </c>
      <c r="K74" s="2" t="s">
        <v>343</v>
      </c>
    </row>
    <row r="75" spans="1:11" hidden="1" x14ac:dyDescent="0.3">
      <c r="A75" s="2" t="s">
        <v>242</v>
      </c>
      <c r="B75" s="2" t="s">
        <v>232</v>
      </c>
      <c r="C75" s="2" t="s">
        <v>233</v>
      </c>
      <c r="D75" s="2" t="s">
        <v>14</v>
      </c>
      <c r="E75" s="2" t="s">
        <v>228</v>
      </c>
      <c r="F75" s="6" t="s">
        <v>345</v>
      </c>
      <c r="G75" s="2">
        <v>1</v>
      </c>
      <c r="H75" s="2" t="s">
        <v>11</v>
      </c>
      <c r="I75" s="2" t="s">
        <v>346</v>
      </c>
      <c r="J75" s="2" t="str">
        <f t="shared" si="1"/>
        <v>YES</v>
      </c>
      <c r="K75" s="2" t="s">
        <v>345</v>
      </c>
    </row>
    <row r="76" spans="1:11" hidden="1" x14ac:dyDescent="0.3">
      <c r="A76" s="2" t="s">
        <v>242</v>
      </c>
      <c r="B76" s="2" t="s">
        <v>229</v>
      </c>
      <c r="C76" s="2" t="s">
        <v>230</v>
      </c>
      <c r="D76" s="2" t="s">
        <v>14</v>
      </c>
      <c r="E76" s="2" t="s">
        <v>231</v>
      </c>
      <c r="F76" s="6" t="s">
        <v>347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  <c r="K76" s="2" t="s">
        <v>347</v>
      </c>
    </row>
    <row r="77" spans="1:11" hidden="1" x14ac:dyDescent="0.3">
      <c r="A77" s="2" t="s">
        <v>242</v>
      </c>
      <c r="B77" s="2" t="s">
        <v>229</v>
      </c>
      <c r="C77" s="2" t="s">
        <v>230</v>
      </c>
      <c r="D77" s="2" t="s">
        <v>14</v>
      </c>
      <c r="E77" s="2" t="s">
        <v>231</v>
      </c>
      <c r="F77" s="6" t="s">
        <v>348</v>
      </c>
      <c r="G77" s="2">
        <v>1</v>
      </c>
      <c r="H77" s="2" t="s">
        <v>11</v>
      </c>
      <c r="I77" s="2" t="s">
        <v>11</v>
      </c>
      <c r="J77" s="2" t="str">
        <f t="shared" si="1"/>
        <v>YES</v>
      </c>
      <c r="K77" s="2" t="s">
        <v>348</v>
      </c>
    </row>
    <row r="78" spans="1:11" hidden="1" x14ac:dyDescent="0.3">
      <c r="A78" s="2" t="s">
        <v>242</v>
      </c>
      <c r="B78" s="2" t="s">
        <v>46</v>
      </c>
      <c r="C78" s="2" t="s">
        <v>39</v>
      </c>
      <c r="D78" s="2" t="s">
        <v>14</v>
      </c>
      <c r="E78" s="2" t="s">
        <v>47</v>
      </c>
      <c r="F78" s="6" t="s">
        <v>349</v>
      </c>
      <c r="G78" s="2">
        <v>1</v>
      </c>
      <c r="H78" s="2" t="s">
        <v>350</v>
      </c>
      <c r="I78" s="2" t="s">
        <v>11</v>
      </c>
      <c r="J78" s="2" t="str">
        <f t="shared" si="1"/>
        <v>YES</v>
      </c>
      <c r="K78" s="2" t="s">
        <v>349</v>
      </c>
    </row>
    <row r="79" spans="1:11" hidden="1" x14ac:dyDescent="0.3">
      <c r="A79" s="2" t="s">
        <v>242</v>
      </c>
      <c r="B79" s="2" t="s">
        <v>46</v>
      </c>
      <c r="C79" s="2" t="s">
        <v>39</v>
      </c>
      <c r="D79" s="2" t="s">
        <v>14</v>
      </c>
      <c r="E79" s="2" t="s">
        <v>47</v>
      </c>
      <c r="F79" s="6" t="s">
        <v>351</v>
      </c>
      <c r="G79" s="2">
        <v>1</v>
      </c>
      <c r="H79" s="2" t="s">
        <v>352</v>
      </c>
      <c r="I79" s="2" t="s">
        <v>11</v>
      </c>
      <c r="J79" s="2" t="str">
        <f t="shared" si="1"/>
        <v>YES</v>
      </c>
      <c r="K79" s="2" t="s">
        <v>351</v>
      </c>
    </row>
    <row r="80" spans="1:11" hidden="1" x14ac:dyDescent="0.3">
      <c r="A80" s="2" t="s">
        <v>242</v>
      </c>
      <c r="B80" s="2" t="s">
        <v>46</v>
      </c>
      <c r="C80" s="2" t="s">
        <v>39</v>
      </c>
      <c r="D80" s="2" t="s">
        <v>14</v>
      </c>
      <c r="E80" s="2" t="s">
        <v>47</v>
      </c>
      <c r="F80" s="6" t="s">
        <v>353</v>
      </c>
      <c r="G80" s="2">
        <v>1</v>
      </c>
      <c r="H80" s="2" t="s">
        <v>354</v>
      </c>
      <c r="I80" s="2" t="s">
        <v>11</v>
      </c>
      <c r="J80" s="2" t="str">
        <f t="shared" si="1"/>
        <v>YES</v>
      </c>
      <c r="K80" s="2" t="s">
        <v>353</v>
      </c>
    </row>
    <row r="81" spans="1:11" hidden="1" x14ac:dyDescent="0.3">
      <c r="A81" s="2" t="s">
        <v>242</v>
      </c>
      <c r="B81" s="2" t="s">
        <v>46</v>
      </c>
      <c r="C81" s="2" t="s">
        <v>39</v>
      </c>
      <c r="D81" s="2" t="s">
        <v>14</v>
      </c>
      <c r="E81" s="2" t="s">
        <v>47</v>
      </c>
      <c r="F81" s="6" t="s">
        <v>355</v>
      </c>
      <c r="G81" s="2">
        <v>1</v>
      </c>
      <c r="H81" s="2" t="s">
        <v>356</v>
      </c>
      <c r="I81" s="2" t="s">
        <v>11</v>
      </c>
      <c r="J81" s="2" t="str">
        <f t="shared" si="1"/>
        <v>YES</v>
      </c>
      <c r="K81" s="2" t="s">
        <v>355</v>
      </c>
    </row>
    <row r="82" spans="1:11" hidden="1" x14ac:dyDescent="0.3">
      <c r="A82" s="2" t="s">
        <v>242</v>
      </c>
      <c r="B82" s="2" t="s">
        <v>46</v>
      </c>
      <c r="C82" s="2" t="s">
        <v>39</v>
      </c>
      <c r="D82" s="2" t="s">
        <v>14</v>
      </c>
      <c r="E82" s="2" t="s">
        <v>47</v>
      </c>
      <c r="F82" s="6" t="s">
        <v>357</v>
      </c>
      <c r="G82" s="2">
        <v>1</v>
      </c>
      <c r="H82" s="2" t="s">
        <v>358</v>
      </c>
      <c r="I82" s="2" t="s">
        <v>11</v>
      </c>
      <c r="J82" s="2" t="str">
        <f t="shared" si="1"/>
        <v>YES</v>
      </c>
      <c r="K82" s="2" t="s">
        <v>357</v>
      </c>
    </row>
    <row r="83" spans="1:11" hidden="1" x14ac:dyDescent="0.3">
      <c r="A83" s="2" t="s">
        <v>242</v>
      </c>
      <c r="B83" s="2" t="s">
        <v>46</v>
      </c>
      <c r="C83" s="2" t="s">
        <v>39</v>
      </c>
      <c r="D83" s="2" t="s">
        <v>14</v>
      </c>
      <c r="E83" s="2" t="s">
        <v>47</v>
      </c>
      <c r="F83" s="6" t="s">
        <v>359</v>
      </c>
      <c r="G83" s="2">
        <v>1</v>
      </c>
      <c r="H83" s="2" t="s">
        <v>360</v>
      </c>
      <c r="I83" s="2" t="s">
        <v>11</v>
      </c>
      <c r="J83" s="2" t="str">
        <f t="shared" si="1"/>
        <v>YES</v>
      </c>
      <c r="K83" s="2" t="s">
        <v>359</v>
      </c>
    </row>
    <row r="84" spans="1:11" hidden="1" x14ac:dyDescent="0.3">
      <c r="A84" s="2" t="s">
        <v>242</v>
      </c>
      <c r="B84" s="2" t="s">
        <v>46</v>
      </c>
      <c r="C84" s="2" t="s">
        <v>39</v>
      </c>
      <c r="D84" s="2" t="s">
        <v>14</v>
      </c>
      <c r="E84" s="2" t="s">
        <v>47</v>
      </c>
      <c r="F84" s="6" t="s">
        <v>361</v>
      </c>
      <c r="G84" s="2">
        <v>1</v>
      </c>
      <c r="H84" s="2" t="s">
        <v>362</v>
      </c>
      <c r="I84" s="2" t="s">
        <v>11</v>
      </c>
      <c r="J84" s="2" t="str">
        <f t="shared" si="1"/>
        <v>YES</v>
      </c>
      <c r="K84" s="2" t="s">
        <v>361</v>
      </c>
    </row>
    <row r="85" spans="1:11" hidden="1" x14ac:dyDescent="0.3">
      <c r="A85" s="2" t="s">
        <v>242</v>
      </c>
      <c r="B85" s="2" t="s">
        <v>46</v>
      </c>
      <c r="C85" s="2" t="s">
        <v>39</v>
      </c>
      <c r="D85" s="2" t="s">
        <v>14</v>
      </c>
      <c r="E85" s="2" t="s">
        <v>47</v>
      </c>
      <c r="F85" s="6" t="s">
        <v>363</v>
      </c>
      <c r="G85" s="2">
        <v>1</v>
      </c>
      <c r="H85" s="2" t="s">
        <v>364</v>
      </c>
      <c r="I85" s="2" t="s">
        <v>11</v>
      </c>
      <c r="J85" s="2" t="str">
        <f t="shared" si="1"/>
        <v>YES</v>
      </c>
      <c r="K85" s="2" t="s">
        <v>363</v>
      </c>
    </row>
    <row r="86" spans="1:11" hidden="1" x14ac:dyDescent="0.3">
      <c r="A86" s="2" t="s">
        <v>242</v>
      </c>
      <c r="B86" s="2" t="s">
        <v>46</v>
      </c>
      <c r="C86" s="2" t="s">
        <v>39</v>
      </c>
      <c r="D86" s="2" t="s">
        <v>14</v>
      </c>
      <c r="E86" s="2" t="s">
        <v>47</v>
      </c>
      <c r="F86" s="6" t="s">
        <v>365</v>
      </c>
      <c r="G86" s="2">
        <v>1</v>
      </c>
      <c r="H86" s="2" t="s">
        <v>366</v>
      </c>
      <c r="I86" s="2" t="s">
        <v>11</v>
      </c>
      <c r="J86" s="2" t="str">
        <f t="shared" si="1"/>
        <v>YES</v>
      </c>
      <c r="K86" s="2" t="s">
        <v>365</v>
      </c>
    </row>
    <row r="87" spans="1:11" hidden="1" x14ac:dyDescent="0.3">
      <c r="A87" s="2" t="s">
        <v>242</v>
      </c>
      <c r="B87" s="2" t="s">
        <v>46</v>
      </c>
      <c r="C87" s="2" t="s">
        <v>39</v>
      </c>
      <c r="D87" s="2" t="s">
        <v>14</v>
      </c>
      <c r="E87" s="2" t="s">
        <v>47</v>
      </c>
      <c r="F87" s="6" t="s">
        <v>367</v>
      </c>
      <c r="G87" s="2">
        <v>1</v>
      </c>
      <c r="H87" s="2" t="s">
        <v>368</v>
      </c>
      <c r="I87" s="2" t="s">
        <v>11</v>
      </c>
      <c r="J87" s="2" t="str">
        <f t="shared" si="1"/>
        <v>YES</v>
      </c>
      <c r="K87" s="2" t="s">
        <v>367</v>
      </c>
    </row>
    <row r="88" spans="1:11" hidden="1" x14ac:dyDescent="0.3">
      <c r="A88" s="2" t="s">
        <v>242</v>
      </c>
      <c r="B88" s="2" t="s">
        <v>46</v>
      </c>
      <c r="C88" s="2" t="s">
        <v>39</v>
      </c>
      <c r="D88" s="2" t="s">
        <v>14</v>
      </c>
      <c r="E88" s="2" t="s">
        <v>47</v>
      </c>
      <c r="F88" s="6" t="s">
        <v>369</v>
      </c>
      <c r="G88" s="2">
        <v>1</v>
      </c>
      <c r="H88" s="2" t="s">
        <v>370</v>
      </c>
      <c r="I88" s="2" t="s">
        <v>11</v>
      </c>
      <c r="J88" s="2" t="str">
        <f t="shared" si="1"/>
        <v>YES</v>
      </c>
      <c r="K88" s="2" t="s">
        <v>369</v>
      </c>
    </row>
    <row r="89" spans="1:11" hidden="1" x14ac:dyDescent="0.3">
      <c r="A89" s="2" t="s">
        <v>242</v>
      </c>
      <c r="B89" s="2" t="s">
        <v>46</v>
      </c>
      <c r="C89" s="2" t="s">
        <v>39</v>
      </c>
      <c r="D89" s="2" t="s">
        <v>14</v>
      </c>
      <c r="E89" s="2" t="s">
        <v>47</v>
      </c>
      <c r="F89" s="6" t="s">
        <v>371</v>
      </c>
      <c r="G89" s="2">
        <v>1</v>
      </c>
      <c r="H89" s="2" t="s">
        <v>372</v>
      </c>
      <c r="I89" s="2" t="s">
        <v>11</v>
      </c>
      <c r="J89" s="2" t="str">
        <f t="shared" si="1"/>
        <v>YES</v>
      </c>
      <c r="K89" s="2" t="s">
        <v>371</v>
      </c>
    </row>
    <row r="90" spans="1:11" hidden="1" x14ac:dyDescent="0.3">
      <c r="A90" s="2" t="s">
        <v>242</v>
      </c>
      <c r="B90" s="2" t="s">
        <v>51</v>
      </c>
      <c r="C90" s="2" t="s">
        <v>52</v>
      </c>
      <c r="D90" s="2" t="s">
        <v>53</v>
      </c>
      <c r="E90" s="2" t="s">
        <v>54</v>
      </c>
      <c r="F90" s="6" t="s">
        <v>373</v>
      </c>
      <c r="G90" s="2">
        <v>1</v>
      </c>
      <c r="H90" s="2" t="s">
        <v>11</v>
      </c>
      <c r="I90" s="2" t="s">
        <v>374</v>
      </c>
      <c r="J90" s="2" t="str">
        <f t="shared" si="1"/>
        <v>YES</v>
      </c>
      <c r="K90" s="2" t="s">
        <v>373</v>
      </c>
    </row>
    <row r="91" spans="1:11" hidden="1" x14ac:dyDescent="0.3">
      <c r="A91" s="2" t="s">
        <v>242</v>
      </c>
      <c r="B91" s="2" t="s">
        <v>56</v>
      </c>
      <c r="C91" s="2" t="s">
        <v>57</v>
      </c>
      <c r="D91" s="2" t="s">
        <v>14</v>
      </c>
      <c r="E91" s="2" t="s">
        <v>58</v>
      </c>
      <c r="F91" s="6" t="s">
        <v>375</v>
      </c>
      <c r="G91" s="2">
        <v>1</v>
      </c>
      <c r="H91" s="2" t="s">
        <v>11</v>
      </c>
      <c r="I91" s="2" t="s">
        <v>376</v>
      </c>
      <c r="J91" s="2" t="str">
        <f t="shared" si="1"/>
        <v>YES</v>
      </c>
      <c r="K91" s="2" t="s">
        <v>375</v>
      </c>
    </row>
    <row r="92" spans="1:11" hidden="1" x14ac:dyDescent="0.3">
      <c r="A92" s="2" t="s">
        <v>242</v>
      </c>
      <c r="B92" s="2" t="s">
        <v>377</v>
      </c>
      <c r="C92" s="2" t="s">
        <v>377</v>
      </c>
      <c r="D92" s="2" t="s">
        <v>377</v>
      </c>
      <c r="E92" s="2" t="s">
        <v>377</v>
      </c>
      <c r="F92" s="6" t="s">
        <v>377</v>
      </c>
      <c r="G92" s="2" t="s">
        <v>377</v>
      </c>
      <c r="H92" s="2" t="s">
        <v>377</v>
      </c>
      <c r="I92" s="2" t="s">
        <v>377</v>
      </c>
      <c r="J92" s="2" t="str">
        <f t="shared" si="1"/>
        <v>YES</v>
      </c>
      <c r="K92" s="2" t="e">
        <v>#N/A</v>
      </c>
    </row>
    <row r="93" spans="1:11" hidden="1" x14ac:dyDescent="0.3">
      <c r="A93" s="2" t="s">
        <v>242</v>
      </c>
      <c r="B93" s="2" t="s">
        <v>378</v>
      </c>
      <c r="C93" s="2" t="s">
        <v>379</v>
      </c>
      <c r="D93" s="2" t="s">
        <v>380</v>
      </c>
      <c r="E93" s="2" t="s">
        <v>381</v>
      </c>
      <c r="F93" s="6" t="s">
        <v>382</v>
      </c>
      <c r="G93" s="2">
        <v>1</v>
      </c>
      <c r="H93" s="2" t="s">
        <v>11</v>
      </c>
      <c r="I93" s="2" t="s">
        <v>11</v>
      </c>
      <c r="J93" s="2" t="str">
        <f t="shared" si="1"/>
        <v>YES</v>
      </c>
      <c r="K93" s="2" t="s">
        <v>382</v>
      </c>
    </row>
    <row r="94" spans="1:11" hidden="1" x14ac:dyDescent="0.3">
      <c r="A94" s="2" t="s">
        <v>242</v>
      </c>
      <c r="B94" s="2" t="s">
        <v>383</v>
      </c>
      <c r="C94" s="2" t="s">
        <v>384</v>
      </c>
      <c r="D94" s="2" t="s">
        <v>380</v>
      </c>
      <c r="E94" s="2" t="s">
        <v>385</v>
      </c>
      <c r="F94" s="6" t="s">
        <v>386</v>
      </c>
      <c r="G94" s="2">
        <v>1</v>
      </c>
      <c r="H94" s="2" t="s">
        <v>11</v>
      </c>
      <c r="I94" s="2" t="s">
        <v>11</v>
      </c>
      <c r="J94" s="2" t="str">
        <f t="shared" si="1"/>
        <v>YES</v>
      </c>
      <c r="K94" s="2" t="s">
        <v>1027</v>
      </c>
    </row>
    <row r="95" spans="1:11" hidden="1" x14ac:dyDescent="0.3">
      <c r="A95" s="2" t="s">
        <v>242</v>
      </c>
      <c r="B95" s="2" t="s">
        <v>387</v>
      </c>
      <c r="C95" s="2" t="s">
        <v>388</v>
      </c>
      <c r="D95" s="2" t="s">
        <v>380</v>
      </c>
      <c r="E95" s="2" t="s">
        <v>388</v>
      </c>
      <c r="F95" s="6" t="s">
        <v>389</v>
      </c>
      <c r="G95" s="2">
        <v>1</v>
      </c>
      <c r="H95" s="2" t="s">
        <v>11</v>
      </c>
      <c r="I95" s="2" t="s">
        <v>11</v>
      </c>
      <c r="J95" s="2" t="str">
        <f t="shared" si="1"/>
        <v>NO</v>
      </c>
      <c r="K95" s="2" t="e">
        <v>#N/A</v>
      </c>
    </row>
    <row r="96" spans="1:11" hidden="1" x14ac:dyDescent="0.3">
      <c r="A96" s="2" t="s">
        <v>242</v>
      </c>
      <c r="B96" s="2" t="s">
        <v>387</v>
      </c>
      <c r="C96" s="2" t="s">
        <v>388</v>
      </c>
      <c r="D96" s="2" t="s">
        <v>380</v>
      </c>
      <c r="E96" s="2" t="s">
        <v>388</v>
      </c>
      <c r="F96" s="6" t="s">
        <v>389</v>
      </c>
      <c r="G96" s="2">
        <v>1</v>
      </c>
      <c r="H96" s="2" t="s">
        <v>11</v>
      </c>
      <c r="I96" s="2" t="s">
        <v>11</v>
      </c>
      <c r="J96" s="2" t="str">
        <f t="shared" si="1"/>
        <v>NO</v>
      </c>
      <c r="K96" s="2" t="e">
        <v>#N/A</v>
      </c>
    </row>
    <row r="97" spans="1:11" hidden="1" x14ac:dyDescent="0.3">
      <c r="A97" s="2" t="s">
        <v>242</v>
      </c>
      <c r="B97" s="2" t="s">
        <v>62</v>
      </c>
      <c r="C97" s="2" t="s">
        <v>63</v>
      </c>
      <c r="D97" s="2" t="s">
        <v>64</v>
      </c>
      <c r="E97" s="2" t="s">
        <v>65</v>
      </c>
      <c r="F97" s="6" t="s">
        <v>390</v>
      </c>
      <c r="G97" s="2">
        <v>1</v>
      </c>
      <c r="H97" s="2" t="s">
        <v>391</v>
      </c>
      <c r="I97" s="2" t="s">
        <v>392</v>
      </c>
      <c r="J97" s="2" t="str">
        <f t="shared" si="1"/>
        <v>YES</v>
      </c>
      <c r="K97" s="2" t="s">
        <v>390</v>
      </c>
    </row>
    <row r="98" spans="1:11" hidden="1" x14ac:dyDescent="0.3">
      <c r="A98" s="2" t="s">
        <v>242</v>
      </c>
      <c r="B98" s="2" t="s">
        <v>393</v>
      </c>
      <c r="C98" s="2" t="s">
        <v>394</v>
      </c>
      <c r="D98" s="2" t="s">
        <v>380</v>
      </c>
      <c r="E98" s="2" t="s">
        <v>395</v>
      </c>
      <c r="F98" s="6" t="s">
        <v>1064</v>
      </c>
      <c r="G98" s="2">
        <v>1</v>
      </c>
      <c r="H98" s="2" t="s">
        <v>392</v>
      </c>
      <c r="I98" s="2" t="s">
        <v>11</v>
      </c>
      <c r="J98" s="2" t="str">
        <f t="shared" si="1"/>
        <v>YES</v>
      </c>
      <c r="K98" s="6" t="s">
        <v>1064</v>
      </c>
    </row>
    <row r="99" spans="1:11" hidden="1" x14ac:dyDescent="0.3">
      <c r="A99" s="2" t="s">
        <v>242</v>
      </c>
      <c r="B99" s="2" t="s">
        <v>396</v>
      </c>
      <c r="C99" s="2" t="s">
        <v>397</v>
      </c>
      <c r="D99" s="2" t="s">
        <v>64</v>
      </c>
      <c r="E99" s="2" t="s">
        <v>398</v>
      </c>
      <c r="F99" s="6" t="s">
        <v>399</v>
      </c>
      <c r="G99" s="2">
        <v>1</v>
      </c>
      <c r="H99" s="2" t="s">
        <v>392</v>
      </c>
      <c r="I99" s="2" t="s">
        <v>11</v>
      </c>
      <c r="J99" s="2" t="str">
        <f t="shared" si="1"/>
        <v>YES</v>
      </c>
      <c r="K99" s="2" t="s">
        <v>399</v>
      </c>
    </row>
    <row r="100" spans="1:11" hidden="1" x14ac:dyDescent="0.3">
      <c r="A100" s="2" t="s">
        <v>242</v>
      </c>
      <c r="B100" s="2" t="s">
        <v>400</v>
      </c>
      <c r="C100" s="2" t="s">
        <v>401</v>
      </c>
      <c r="D100" s="2" t="s">
        <v>64</v>
      </c>
      <c r="E100" s="2" t="s">
        <v>402</v>
      </c>
      <c r="F100" s="6" t="s">
        <v>389</v>
      </c>
      <c r="G100" s="2">
        <v>1</v>
      </c>
      <c r="H100" s="2" t="s">
        <v>392</v>
      </c>
      <c r="I100" s="2" t="s">
        <v>11</v>
      </c>
      <c r="J100" s="2" t="str">
        <f t="shared" si="1"/>
        <v>NO</v>
      </c>
      <c r="K100" s="2" t="s">
        <v>973</v>
      </c>
    </row>
    <row r="101" spans="1:11" hidden="1" x14ac:dyDescent="0.3">
      <c r="A101" s="2" t="s">
        <v>242</v>
      </c>
      <c r="B101" s="2" t="s">
        <v>403</v>
      </c>
      <c r="C101" s="2" t="s">
        <v>404</v>
      </c>
      <c r="D101" s="2" t="s">
        <v>64</v>
      </c>
      <c r="E101" s="2" t="s">
        <v>405</v>
      </c>
      <c r="F101" s="6" t="s">
        <v>406</v>
      </c>
      <c r="G101" s="2">
        <v>1</v>
      </c>
      <c r="H101" s="2" t="s">
        <v>392</v>
      </c>
      <c r="I101" s="2" t="s">
        <v>11</v>
      </c>
      <c r="J101" s="2" t="str">
        <f t="shared" si="1"/>
        <v>YES</v>
      </c>
      <c r="K101" s="2" t="s">
        <v>406</v>
      </c>
    </row>
    <row r="102" spans="1:11" hidden="1" x14ac:dyDescent="0.3">
      <c r="A102" s="2" t="s">
        <v>242</v>
      </c>
      <c r="B102" s="2" t="s">
        <v>407</v>
      </c>
      <c r="C102" s="2" t="s">
        <v>408</v>
      </c>
      <c r="D102" s="2" t="s">
        <v>64</v>
      </c>
      <c r="E102" s="2" t="s">
        <v>409</v>
      </c>
      <c r="F102" s="6" t="s">
        <v>410</v>
      </c>
      <c r="G102" s="2">
        <v>1</v>
      </c>
      <c r="H102" s="2" t="s">
        <v>392</v>
      </c>
      <c r="I102" s="2" t="s">
        <v>11</v>
      </c>
      <c r="J102" s="2" t="str">
        <f t="shared" si="1"/>
        <v>YES</v>
      </c>
      <c r="K102" s="2" t="s">
        <v>410</v>
      </c>
    </row>
    <row r="103" spans="1:11" hidden="1" x14ac:dyDescent="0.3">
      <c r="A103" s="2" t="s">
        <v>242</v>
      </c>
      <c r="B103" s="2" t="s">
        <v>67</v>
      </c>
      <c r="C103" s="2" t="s">
        <v>68</v>
      </c>
      <c r="D103" s="2" t="s">
        <v>64</v>
      </c>
      <c r="E103" s="2" t="s">
        <v>69</v>
      </c>
      <c r="F103" s="6" t="s">
        <v>411</v>
      </c>
      <c r="G103" s="2">
        <v>1</v>
      </c>
      <c r="H103" s="2" t="s">
        <v>392</v>
      </c>
      <c r="I103" s="2" t="s">
        <v>412</v>
      </c>
      <c r="J103" s="2" t="str">
        <f t="shared" si="1"/>
        <v>YES</v>
      </c>
      <c r="K103" s="2" t="s">
        <v>411</v>
      </c>
    </row>
    <row r="104" spans="1:11" hidden="1" x14ac:dyDescent="0.3">
      <c r="A104" s="2" t="s">
        <v>242</v>
      </c>
      <c r="B104" s="2" t="s">
        <v>67</v>
      </c>
      <c r="C104" s="2" t="s">
        <v>68</v>
      </c>
      <c r="D104" s="2" t="s">
        <v>64</v>
      </c>
      <c r="E104" s="2" t="s">
        <v>69</v>
      </c>
      <c r="F104" s="6" t="s">
        <v>413</v>
      </c>
      <c r="G104" s="2">
        <v>1</v>
      </c>
      <c r="H104" s="2" t="s">
        <v>392</v>
      </c>
      <c r="I104" s="2" t="s">
        <v>414</v>
      </c>
      <c r="J104" s="2" t="str">
        <f t="shared" si="1"/>
        <v>YES</v>
      </c>
      <c r="K104" s="2" t="s">
        <v>413</v>
      </c>
    </row>
    <row r="105" spans="1:11" hidden="1" x14ac:dyDescent="0.3">
      <c r="A105" s="2" t="s">
        <v>242</v>
      </c>
      <c r="B105" s="2" t="s">
        <v>415</v>
      </c>
      <c r="C105" s="2" t="s">
        <v>61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415</v>
      </c>
      <c r="I105" s="2" t="s">
        <v>11</v>
      </c>
      <c r="J105" s="2" t="str">
        <f t="shared" si="1"/>
        <v>NO</v>
      </c>
      <c r="K105" s="2" t="e">
        <v>#N/A</v>
      </c>
    </row>
    <row r="106" spans="1:11" hidden="1" x14ac:dyDescent="0.3">
      <c r="A106" s="2" t="s">
        <v>242</v>
      </c>
      <c r="B106" s="2" t="s">
        <v>62</v>
      </c>
      <c r="C106" s="2" t="s">
        <v>63</v>
      </c>
      <c r="D106" s="2" t="s">
        <v>64</v>
      </c>
      <c r="E106" s="2" t="s">
        <v>65</v>
      </c>
      <c r="F106" s="6" t="s">
        <v>416</v>
      </c>
      <c r="G106" s="2">
        <v>1</v>
      </c>
      <c r="H106" s="2" t="s">
        <v>417</v>
      </c>
      <c r="I106" s="2" t="s">
        <v>418</v>
      </c>
      <c r="J106" s="2" t="str">
        <f t="shared" si="1"/>
        <v>YES</v>
      </c>
      <c r="K106" s="2" t="s">
        <v>416</v>
      </c>
    </row>
    <row r="107" spans="1:11" hidden="1" x14ac:dyDescent="0.3">
      <c r="A107" s="2" t="s">
        <v>242</v>
      </c>
      <c r="B107" s="2" t="s">
        <v>393</v>
      </c>
      <c r="C107" s="2" t="s">
        <v>394</v>
      </c>
      <c r="D107" s="2" t="s">
        <v>380</v>
      </c>
      <c r="E107" s="2" t="s">
        <v>395</v>
      </c>
      <c r="F107" s="6" t="s">
        <v>1065</v>
      </c>
      <c r="G107" s="2">
        <v>1</v>
      </c>
      <c r="H107" s="2" t="s">
        <v>418</v>
      </c>
      <c r="I107" s="2" t="s">
        <v>11</v>
      </c>
      <c r="J107" s="2" t="str">
        <f t="shared" si="1"/>
        <v>YES</v>
      </c>
      <c r="K107" s="2" t="s">
        <v>1065</v>
      </c>
    </row>
    <row r="108" spans="1:11" hidden="1" x14ac:dyDescent="0.3">
      <c r="A108" s="2" t="s">
        <v>242</v>
      </c>
      <c r="B108" s="2" t="s">
        <v>396</v>
      </c>
      <c r="C108" s="2" t="s">
        <v>397</v>
      </c>
      <c r="D108" s="2" t="s">
        <v>64</v>
      </c>
      <c r="E108" s="2" t="s">
        <v>398</v>
      </c>
      <c r="F108" s="6" t="s">
        <v>419</v>
      </c>
      <c r="G108" s="2">
        <v>1</v>
      </c>
      <c r="H108" s="2" t="s">
        <v>418</v>
      </c>
      <c r="I108" s="2" t="s">
        <v>11</v>
      </c>
      <c r="J108" s="2" t="str">
        <f t="shared" si="1"/>
        <v>YES</v>
      </c>
      <c r="K108" s="2" t="s">
        <v>419</v>
      </c>
    </row>
    <row r="109" spans="1:11" hidden="1" x14ac:dyDescent="0.3">
      <c r="A109" s="2" t="s">
        <v>242</v>
      </c>
      <c r="B109" s="2" t="s">
        <v>400</v>
      </c>
      <c r="C109" s="2" t="s">
        <v>401</v>
      </c>
      <c r="D109" s="2" t="s">
        <v>64</v>
      </c>
      <c r="E109" s="2" t="s">
        <v>402</v>
      </c>
      <c r="F109" s="6" t="s">
        <v>389</v>
      </c>
      <c r="G109" s="2">
        <v>1</v>
      </c>
      <c r="H109" s="2" t="s">
        <v>418</v>
      </c>
      <c r="I109" s="2" t="s">
        <v>11</v>
      </c>
      <c r="J109" s="2" t="str">
        <f t="shared" si="1"/>
        <v>NO</v>
      </c>
      <c r="K109" s="2" t="s">
        <v>973</v>
      </c>
    </row>
    <row r="110" spans="1:11" hidden="1" x14ac:dyDescent="0.3">
      <c r="A110" s="2" t="s">
        <v>242</v>
      </c>
      <c r="B110" s="2" t="s">
        <v>403</v>
      </c>
      <c r="C110" s="2" t="s">
        <v>404</v>
      </c>
      <c r="D110" s="2" t="s">
        <v>64</v>
      </c>
      <c r="E110" s="2" t="s">
        <v>405</v>
      </c>
      <c r="F110" s="6" t="s">
        <v>420</v>
      </c>
      <c r="G110" s="2">
        <v>1</v>
      </c>
      <c r="H110" s="2" t="s">
        <v>418</v>
      </c>
      <c r="I110" s="2" t="s">
        <v>11</v>
      </c>
      <c r="J110" s="2" t="str">
        <f t="shared" si="1"/>
        <v>YES</v>
      </c>
      <c r="K110" s="2" t="s">
        <v>420</v>
      </c>
    </row>
    <row r="111" spans="1:11" hidden="1" x14ac:dyDescent="0.3">
      <c r="A111" s="2" t="s">
        <v>242</v>
      </c>
      <c r="B111" s="2" t="s">
        <v>407</v>
      </c>
      <c r="C111" s="2" t="s">
        <v>408</v>
      </c>
      <c r="D111" s="2" t="s">
        <v>64</v>
      </c>
      <c r="E111" s="2" t="s">
        <v>409</v>
      </c>
      <c r="F111" s="6" t="s">
        <v>421</v>
      </c>
      <c r="G111" s="2">
        <v>1</v>
      </c>
      <c r="H111" s="2" t="s">
        <v>418</v>
      </c>
      <c r="I111" s="2" t="s">
        <v>11</v>
      </c>
      <c r="J111" s="2" t="str">
        <f t="shared" si="1"/>
        <v>YES</v>
      </c>
      <c r="K111" s="2" t="s">
        <v>421</v>
      </c>
    </row>
    <row r="112" spans="1:11" hidden="1" x14ac:dyDescent="0.3">
      <c r="A112" s="2" t="s">
        <v>242</v>
      </c>
      <c r="B112" s="2" t="s">
        <v>67</v>
      </c>
      <c r="C112" s="2" t="s">
        <v>68</v>
      </c>
      <c r="D112" s="2" t="s">
        <v>64</v>
      </c>
      <c r="E112" s="2" t="s">
        <v>69</v>
      </c>
      <c r="F112" s="6" t="s">
        <v>422</v>
      </c>
      <c r="G112" s="2">
        <v>1</v>
      </c>
      <c r="H112" s="2" t="s">
        <v>418</v>
      </c>
      <c r="I112" s="2" t="s">
        <v>423</v>
      </c>
      <c r="J112" s="2" t="str">
        <f t="shared" si="1"/>
        <v>YES</v>
      </c>
      <c r="K112" s="2" t="s">
        <v>422</v>
      </c>
    </row>
    <row r="113" spans="1:11" hidden="1" x14ac:dyDescent="0.3">
      <c r="A113" s="2" t="s">
        <v>242</v>
      </c>
      <c r="B113" s="2" t="s">
        <v>67</v>
      </c>
      <c r="C113" s="2" t="s">
        <v>68</v>
      </c>
      <c r="D113" s="2" t="s">
        <v>64</v>
      </c>
      <c r="E113" s="2" t="s">
        <v>69</v>
      </c>
      <c r="F113" s="6" t="s">
        <v>424</v>
      </c>
      <c r="G113" s="2">
        <v>1</v>
      </c>
      <c r="H113" s="2" t="s">
        <v>418</v>
      </c>
      <c r="I113" s="2" t="s">
        <v>425</v>
      </c>
      <c r="J113" s="2" t="str">
        <f t="shared" si="1"/>
        <v>YES</v>
      </c>
      <c r="K113" s="2" t="s">
        <v>424</v>
      </c>
    </row>
    <row r="114" spans="1:11" hidden="1" x14ac:dyDescent="0.3">
      <c r="A114" s="2" t="s">
        <v>242</v>
      </c>
      <c r="B114" s="2" t="s">
        <v>62</v>
      </c>
      <c r="C114" s="2" t="s">
        <v>63</v>
      </c>
      <c r="D114" s="2" t="s">
        <v>64</v>
      </c>
      <c r="E114" s="2" t="s">
        <v>65</v>
      </c>
      <c r="F114" s="6" t="s">
        <v>426</v>
      </c>
      <c r="G114" s="2">
        <v>1</v>
      </c>
      <c r="H114" s="2" t="s">
        <v>417</v>
      </c>
      <c r="I114" s="2" t="s">
        <v>427</v>
      </c>
      <c r="J114" s="2" t="str">
        <f t="shared" si="1"/>
        <v>YES</v>
      </c>
      <c r="K114" s="2" t="s">
        <v>426</v>
      </c>
    </row>
    <row r="115" spans="1:11" hidden="1" x14ac:dyDescent="0.3">
      <c r="A115" s="2" t="s">
        <v>242</v>
      </c>
      <c r="B115" s="2" t="s">
        <v>393</v>
      </c>
      <c r="C115" s="2" t="s">
        <v>394</v>
      </c>
      <c r="D115" s="2" t="s">
        <v>380</v>
      </c>
      <c r="E115" s="2" t="s">
        <v>395</v>
      </c>
      <c r="F115" s="6" t="s">
        <v>1066</v>
      </c>
      <c r="G115" s="2">
        <v>1</v>
      </c>
      <c r="H115" s="2" t="s">
        <v>427</v>
      </c>
      <c r="I115" s="2" t="s">
        <v>11</v>
      </c>
      <c r="J115" s="2" t="str">
        <f t="shared" si="1"/>
        <v>YES</v>
      </c>
      <c r="K115" s="2" t="s">
        <v>1066</v>
      </c>
    </row>
    <row r="116" spans="1:11" hidden="1" x14ac:dyDescent="0.3">
      <c r="A116" s="2" t="s">
        <v>242</v>
      </c>
      <c r="B116" s="2" t="s">
        <v>396</v>
      </c>
      <c r="C116" s="2" t="s">
        <v>397</v>
      </c>
      <c r="D116" s="2" t="s">
        <v>64</v>
      </c>
      <c r="E116" s="2" t="s">
        <v>398</v>
      </c>
      <c r="F116" s="6" t="s">
        <v>428</v>
      </c>
      <c r="G116" s="2">
        <v>1</v>
      </c>
      <c r="H116" s="2" t="s">
        <v>427</v>
      </c>
      <c r="I116" s="2" t="s">
        <v>11</v>
      </c>
      <c r="J116" s="2" t="str">
        <f t="shared" si="1"/>
        <v>YES</v>
      </c>
      <c r="K116" s="2" t="s">
        <v>428</v>
      </c>
    </row>
    <row r="117" spans="1:11" hidden="1" x14ac:dyDescent="0.3">
      <c r="A117" s="2" t="s">
        <v>242</v>
      </c>
      <c r="B117" s="2" t="s">
        <v>400</v>
      </c>
      <c r="C117" s="2" t="s">
        <v>401</v>
      </c>
      <c r="D117" s="2" t="s">
        <v>64</v>
      </c>
      <c r="E117" s="2" t="s">
        <v>402</v>
      </c>
      <c r="F117" s="6" t="s">
        <v>389</v>
      </c>
      <c r="G117" s="2">
        <v>1</v>
      </c>
      <c r="H117" s="2" t="s">
        <v>427</v>
      </c>
      <c r="I117" s="2" t="s">
        <v>11</v>
      </c>
      <c r="J117" s="2" t="str">
        <f t="shared" si="1"/>
        <v>NO</v>
      </c>
      <c r="K117" s="2" t="s">
        <v>973</v>
      </c>
    </row>
    <row r="118" spans="1:11" hidden="1" x14ac:dyDescent="0.3">
      <c r="A118" s="2" t="s">
        <v>242</v>
      </c>
      <c r="B118" s="2" t="s">
        <v>403</v>
      </c>
      <c r="C118" s="2" t="s">
        <v>404</v>
      </c>
      <c r="D118" s="2" t="s">
        <v>64</v>
      </c>
      <c r="E118" s="2" t="s">
        <v>405</v>
      </c>
      <c r="F118" s="6" t="s">
        <v>429</v>
      </c>
      <c r="G118" s="2">
        <v>1</v>
      </c>
      <c r="H118" s="2" t="s">
        <v>427</v>
      </c>
      <c r="I118" s="2" t="s">
        <v>11</v>
      </c>
      <c r="J118" s="2" t="str">
        <f t="shared" si="1"/>
        <v>YES</v>
      </c>
      <c r="K118" s="2" t="s">
        <v>429</v>
      </c>
    </row>
    <row r="119" spans="1:11" hidden="1" x14ac:dyDescent="0.3">
      <c r="A119" s="2" t="s">
        <v>242</v>
      </c>
      <c r="B119" s="2" t="s">
        <v>407</v>
      </c>
      <c r="C119" s="2" t="s">
        <v>408</v>
      </c>
      <c r="D119" s="2" t="s">
        <v>64</v>
      </c>
      <c r="E119" s="2" t="s">
        <v>409</v>
      </c>
      <c r="F119" s="6" t="s">
        <v>430</v>
      </c>
      <c r="G119" s="2">
        <v>1</v>
      </c>
      <c r="H119" s="2" t="s">
        <v>427</v>
      </c>
      <c r="I119" s="2" t="s">
        <v>11</v>
      </c>
      <c r="J119" s="2" t="str">
        <f t="shared" si="1"/>
        <v>YES</v>
      </c>
      <c r="K119" s="2" t="s">
        <v>430</v>
      </c>
    </row>
    <row r="120" spans="1:11" hidden="1" x14ac:dyDescent="0.3">
      <c r="A120" s="2" t="s">
        <v>242</v>
      </c>
      <c r="B120" s="2" t="s">
        <v>67</v>
      </c>
      <c r="C120" s="2" t="s">
        <v>68</v>
      </c>
      <c r="D120" s="2" t="s">
        <v>64</v>
      </c>
      <c r="E120" s="2" t="s">
        <v>69</v>
      </c>
      <c r="F120" s="6" t="s">
        <v>431</v>
      </c>
      <c r="G120" s="2">
        <v>1</v>
      </c>
      <c r="H120" s="2" t="s">
        <v>427</v>
      </c>
      <c r="I120" s="2" t="s">
        <v>432</v>
      </c>
      <c r="J120" s="2" t="str">
        <f t="shared" si="1"/>
        <v>YES</v>
      </c>
      <c r="K120" s="2" t="s">
        <v>431</v>
      </c>
    </row>
    <row r="121" spans="1:11" hidden="1" x14ac:dyDescent="0.3">
      <c r="A121" s="2" t="s">
        <v>242</v>
      </c>
      <c r="B121" s="2" t="s">
        <v>67</v>
      </c>
      <c r="C121" s="2" t="s">
        <v>68</v>
      </c>
      <c r="D121" s="2" t="s">
        <v>64</v>
      </c>
      <c r="E121" s="2" t="s">
        <v>69</v>
      </c>
      <c r="F121" s="6" t="s">
        <v>433</v>
      </c>
      <c r="G121" s="2">
        <v>1</v>
      </c>
      <c r="H121" s="2" t="s">
        <v>427</v>
      </c>
      <c r="I121" s="2" t="s">
        <v>434</v>
      </c>
      <c r="J121" s="2" t="str">
        <f t="shared" si="1"/>
        <v>YES</v>
      </c>
      <c r="K121" s="2" t="s">
        <v>433</v>
      </c>
    </row>
    <row r="122" spans="1:11" hidden="1" x14ac:dyDescent="0.3">
      <c r="A122" s="2" t="s">
        <v>242</v>
      </c>
      <c r="B122" s="2" t="s">
        <v>435</v>
      </c>
      <c r="C122" s="2" t="s">
        <v>76</v>
      </c>
      <c r="D122" s="2" t="s">
        <v>11</v>
      </c>
      <c r="E122" s="2" t="s">
        <v>11</v>
      </c>
      <c r="F122" s="6" t="s">
        <v>11</v>
      </c>
      <c r="G122" s="2">
        <v>1</v>
      </c>
      <c r="H122" s="2" t="s">
        <v>435</v>
      </c>
      <c r="I122" s="2" t="s">
        <v>11</v>
      </c>
      <c r="J122" s="2" t="str">
        <f t="shared" si="1"/>
        <v>NO</v>
      </c>
      <c r="K122" s="2" t="e">
        <v>#N/A</v>
      </c>
    </row>
    <row r="123" spans="1:11" hidden="1" x14ac:dyDescent="0.3">
      <c r="A123" s="2" t="s">
        <v>242</v>
      </c>
      <c r="B123" s="2" t="s">
        <v>62</v>
      </c>
      <c r="C123" s="2" t="s">
        <v>63</v>
      </c>
      <c r="D123" s="2" t="s">
        <v>64</v>
      </c>
      <c r="E123" s="2" t="s">
        <v>65</v>
      </c>
      <c r="F123" s="6" t="s">
        <v>436</v>
      </c>
      <c r="G123" s="2">
        <v>1</v>
      </c>
      <c r="H123" s="2" t="s">
        <v>417</v>
      </c>
      <c r="I123" s="2" t="s">
        <v>437</v>
      </c>
      <c r="J123" s="2" t="str">
        <f t="shared" si="1"/>
        <v>YES</v>
      </c>
      <c r="K123" s="2" t="s">
        <v>436</v>
      </c>
    </row>
    <row r="124" spans="1:11" hidden="1" x14ac:dyDescent="0.3">
      <c r="A124" s="2" t="s">
        <v>242</v>
      </c>
      <c r="B124" s="2" t="s">
        <v>393</v>
      </c>
      <c r="C124" s="2" t="s">
        <v>394</v>
      </c>
      <c r="D124" s="2" t="s">
        <v>380</v>
      </c>
      <c r="E124" s="2" t="s">
        <v>395</v>
      </c>
      <c r="F124" s="6" t="s">
        <v>1067</v>
      </c>
      <c r="G124" s="2">
        <v>1</v>
      </c>
      <c r="H124" s="2" t="s">
        <v>437</v>
      </c>
      <c r="I124" s="2" t="s">
        <v>11</v>
      </c>
      <c r="J124" s="2" t="str">
        <f t="shared" si="1"/>
        <v>YES</v>
      </c>
      <c r="K124" s="2" t="s">
        <v>1067</v>
      </c>
    </row>
    <row r="125" spans="1:11" hidden="1" x14ac:dyDescent="0.3">
      <c r="A125" s="2" t="s">
        <v>242</v>
      </c>
      <c r="B125" s="2" t="s">
        <v>396</v>
      </c>
      <c r="C125" s="2" t="s">
        <v>397</v>
      </c>
      <c r="D125" s="2" t="s">
        <v>64</v>
      </c>
      <c r="E125" s="2" t="s">
        <v>398</v>
      </c>
      <c r="F125" s="6" t="s">
        <v>438</v>
      </c>
      <c r="G125" s="2">
        <v>1</v>
      </c>
      <c r="H125" s="2" t="s">
        <v>437</v>
      </c>
      <c r="I125" s="2" t="s">
        <v>11</v>
      </c>
      <c r="J125" s="2" t="str">
        <f t="shared" si="1"/>
        <v>YES</v>
      </c>
      <c r="K125" s="2" t="s">
        <v>438</v>
      </c>
    </row>
    <row r="126" spans="1:11" hidden="1" x14ac:dyDescent="0.3">
      <c r="A126" s="2" t="s">
        <v>242</v>
      </c>
      <c r="B126" s="2" t="s">
        <v>400</v>
      </c>
      <c r="C126" s="2" t="s">
        <v>401</v>
      </c>
      <c r="D126" s="2" t="s">
        <v>64</v>
      </c>
      <c r="E126" s="2" t="s">
        <v>402</v>
      </c>
      <c r="F126" s="6" t="s">
        <v>389</v>
      </c>
      <c r="G126" s="2">
        <v>1</v>
      </c>
      <c r="H126" s="2" t="s">
        <v>437</v>
      </c>
      <c r="I126" s="2" t="s">
        <v>11</v>
      </c>
      <c r="J126" s="2" t="str">
        <f t="shared" si="1"/>
        <v>NO</v>
      </c>
      <c r="K126" s="2" t="s">
        <v>973</v>
      </c>
    </row>
    <row r="127" spans="1:11" hidden="1" x14ac:dyDescent="0.3">
      <c r="A127" s="2" t="s">
        <v>242</v>
      </c>
      <c r="B127" s="2" t="s">
        <v>403</v>
      </c>
      <c r="C127" s="2" t="s">
        <v>404</v>
      </c>
      <c r="D127" s="2" t="s">
        <v>64</v>
      </c>
      <c r="E127" s="2" t="s">
        <v>405</v>
      </c>
      <c r="F127" s="6" t="s">
        <v>439</v>
      </c>
      <c r="G127" s="2">
        <v>1</v>
      </c>
      <c r="H127" s="2" t="s">
        <v>437</v>
      </c>
      <c r="I127" s="2" t="s">
        <v>11</v>
      </c>
      <c r="J127" s="2" t="str">
        <f t="shared" si="1"/>
        <v>YES</v>
      </c>
      <c r="K127" s="2" t="s">
        <v>439</v>
      </c>
    </row>
    <row r="128" spans="1:11" hidden="1" x14ac:dyDescent="0.3">
      <c r="A128" s="2" t="s">
        <v>242</v>
      </c>
      <c r="B128" s="2" t="s">
        <v>407</v>
      </c>
      <c r="C128" s="2" t="s">
        <v>408</v>
      </c>
      <c r="D128" s="2" t="s">
        <v>64</v>
      </c>
      <c r="E128" s="2" t="s">
        <v>409</v>
      </c>
      <c r="F128" s="6" t="s">
        <v>440</v>
      </c>
      <c r="G128" s="2">
        <v>1</v>
      </c>
      <c r="H128" s="2" t="s">
        <v>437</v>
      </c>
      <c r="I128" s="2" t="s">
        <v>11</v>
      </c>
      <c r="J128" s="2" t="str">
        <f t="shared" si="1"/>
        <v>YES</v>
      </c>
      <c r="K128" s="2" t="s">
        <v>440</v>
      </c>
    </row>
    <row r="129" spans="1:11" hidden="1" x14ac:dyDescent="0.3">
      <c r="A129" s="2" t="s">
        <v>242</v>
      </c>
      <c r="B129" s="2" t="s">
        <v>67</v>
      </c>
      <c r="C129" s="2" t="s">
        <v>68</v>
      </c>
      <c r="D129" s="2" t="s">
        <v>64</v>
      </c>
      <c r="E129" s="2" t="s">
        <v>69</v>
      </c>
      <c r="F129" s="6" t="s">
        <v>441</v>
      </c>
      <c r="G129" s="2">
        <v>1</v>
      </c>
      <c r="H129" s="2" t="s">
        <v>437</v>
      </c>
      <c r="I129" s="2" t="s">
        <v>442</v>
      </c>
      <c r="J129" s="2" t="str">
        <f t="shared" si="1"/>
        <v>YES</v>
      </c>
      <c r="K129" s="2" t="s">
        <v>441</v>
      </c>
    </row>
    <row r="130" spans="1:11" hidden="1" x14ac:dyDescent="0.3">
      <c r="A130" s="2" t="s">
        <v>242</v>
      </c>
      <c r="B130" s="2" t="s">
        <v>67</v>
      </c>
      <c r="C130" s="2" t="s">
        <v>68</v>
      </c>
      <c r="D130" s="2" t="s">
        <v>64</v>
      </c>
      <c r="E130" s="2" t="s">
        <v>69</v>
      </c>
      <c r="F130" s="6" t="s">
        <v>443</v>
      </c>
      <c r="G130" s="2">
        <v>1</v>
      </c>
      <c r="H130" s="2" t="s">
        <v>437</v>
      </c>
      <c r="I130" s="2" t="s">
        <v>444</v>
      </c>
      <c r="J130" s="2" t="str">
        <f t="shared" si="1"/>
        <v>YES</v>
      </c>
      <c r="K130" s="2" t="s">
        <v>443</v>
      </c>
    </row>
    <row r="131" spans="1:11" hidden="1" x14ac:dyDescent="0.3">
      <c r="A131" s="2" t="s">
        <v>242</v>
      </c>
      <c r="B131" s="2" t="s">
        <v>62</v>
      </c>
      <c r="C131" s="2" t="s">
        <v>63</v>
      </c>
      <c r="D131" s="2" t="s">
        <v>64</v>
      </c>
      <c r="E131" s="2" t="s">
        <v>65</v>
      </c>
      <c r="F131" s="6" t="s">
        <v>445</v>
      </c>
      <c r="G131" s="2">
        <v>1</v>
      </c>
      <c r="H131" s="2" t="s">
        <v>417</v>
      </c>
      <c r="I131" s="2" t="s">
        <v>446</v>
      </c>
      <c r="J131" s="2" t="str">
        <f t="shared" ref="J131:J194" si="2">IF(OR(F131="",F131="_",LEFT(F131,5)="SPARE",F131="N/A"),"NO","YES")</f>
        <v>YES</v>
      </c>
      <c r="K131" s="2" t="s">
        <v>445</v>
      </c>
    </row>
    <row r="132" spans="1:11" hidden="1" x14ac:dyDescent="0.3">
      <c r="A132" s="2" t="s">
        <v>242</v>
      </c>
      <c r="B132" s="2" t="s">
        <v>393</v>
      </c>
      <c r="C132" s="2" t="s">
        <v>394</v>
      </c>
      <c r="D132" s="2" t="s">
        <v>380</v>
      </c>
      <c r="E132" s="2" t="s">
        <v>395</v>
      </c>
      <c r="F132" s="6" t="s">
        <v>1068</v>
      </c>
      <c r="G132" s="2">
        <v>1</v>
      </c>
      <c r="H132" s="2" t="s">
        <v>446</v>
      </c>
      <c r="I132" s="2" t="s">
        <v>11</v>
      </c>
      <c r="J132" s="2" t="str">
        <f t="shared" si="2"/>
        <v>YES</v>
      </c>
      <c r="K132" s="2" t="s">
        <v>1068</v>
      </c>
    </row>
    <row r="133" spans="1:11" hidden="1" x14ac:dyDescent="0.3">
      <c r="A133" s="2" t="s">
        <v>242</v>
      </c>
      <c r="B133" s="2" t="s">
        <v>396</v>
      </c>
      <c r="C133" s="2" t="s">
        <v>397</v>
      </c>
      <c r="D133" s="2" t="s">
        <v>64</v>
      </c>
      <c r="E133" s="2" t="s">
        <v>398</v>
      </c>
      <c r="F133" s="6" t="s">
        <v>447</v>
      </c>
      <c r="G133" s="2">
        <v>1</v>
      </c>
      <c r="H133" s="2" t="s">
        <v>446</v>
      </c>
      <c r="I133" s="2" t="s">
        <v>11</v>
      </c>
      <c r="J133" s="2" t="str">
        <f t="shared" si="2"/>
        <v>YES</v>
      </c>
      <c r="K133" s="2" t="s">
        <v>447</v>
      </c>
    </row>
    <row r="134" spans="1:11" hidden="1" x14ac:dyDescent="0.3">
      <c r="A134" s="2" t="s">
        <v>242</v>
      </c>
      <c r="B134" s="2" t="s">
        <v>400</v>
      </c>
      <c r="C134" s="2" t="s">
        <v>401</v>
      </c>
      <c r="D134" s="2" t="s">
        <v>64</v>
      </c>
      <c r="E134" s="2" t="s">
        <v>402</v>
      </c>
      <c r="F134" s="6" t="s">
        <v>389</v>
      </c>
      <c r="G134" s="2">
        <v>1</v>
      </c>
      <c r="H134" s="2" t="s">
        <v>446</v>
      </c>
      <c r="I134" s="2" t="s">
        <v>11</v>
      </c>
      <c r="J134" s="2" t="str">
        <f t="shared" si="2"/>
        <v>NO</v>
      </c>
      <c r="K134" s="2" t="s">
        <v>973</v>
      </c>
    </row>
    <row r="135" spans="1:11" hidden="1" x14ac:dyDescent="0.3">
      <c r="A135" s="2" t="s">
        <v>242</v>
      </c>
      <c r="B135" s="2" t="s">
        <v>403</v>
      </c>
      <c r="C135" s="2" t="s">
        <v>404</v>
      </c>
      <c r="D135" s="2" t="s">
        <v>64</v>
      </c>
      <c r="E135" s="2" t="s">
        <v>405</v>
      </c>
      <c r="F135" s="6" t="s">
        <v>448</v>
      </c>
      <c r="G135" s="2">
        <v>1</v>
      </c>
      <c r="H135" s="2" t="s">
        <v>446</v>
      </c>
      <c r="I135" s="2" t="s">
        <v>11</v>
      </c>
      <c r="J135" s="2" t="str">
        <f t="shared" si="2"/>
        <v>YES</v>
      </c>
      <c r="K135" s="2" t="s">
        <v>448</v>
      </c>
    </row>
    <row r="136" spans="1:11" hidden="1" x14ac:dyDescent="0.3">
      <c r="A136" s="2" t="s">
        <v>242</v>
      </c>
      <c r="B136" s="2" t="s">
        <v>407</v>
      </c>
      <c r="C136" s="2" t="s">
        <v>408</v>
      </c>
      <c r="D136" s="2" t="s">
        <v>64</v>
      </c>
      <c r="E136" s="2" t="s">
        <v>409</v>
      </c>
      <c r="F136" s="6" t="s">
        <v>449</v>
      </c>
      <c r="G136" s="2">
        <v>1</v>
      </c>
      <c r="H136" s="2" t="s">
        <v>446</v>
      </c>
      <c r="I136" s="2" t="s">
        <v>11</v>
      </c>
      <c r="J136" s="2" t="str">
        <f t="shared" si="2"/>
        <v>YES</v>
      </c>
      <c r="K136" s="2" t="s">
        <v>449</v>
      </c>
    </row>
    <row r="137" spans="1:11" hidden="1" x14ac:dyDescent="0.3">
      <c r="A137" s="2" t="s">
        <v>242</v>
      </c>
      <c r="B137" s="2" t="s">
        <v>67</v>
      </c>
      <c r="C137" s="2" t="s">
        <v>68</v>
      </c>
      <c r="D137" s="2" t="s">
        <v>64</v>
      </c>
      <c r="E137" s="2" t="s">
        <v>69</v>
      </c>
      <c r="F137" s="6" t="s">
        <v>450</v>
      </c>
      <c r="G137" s="2">
        <v>1</v>
      </c>
      <c r="H137" s="2" t="s">
        <v>446</v>
      </c>
      <c r="I137" s="2" t="s">
        <v>451</v>
      </c>
      <c r="J137" s="2" t="str">
        <f t="shared" si="2"/>
        <v>YES</v>
      </c>
      <c r="K137" s="2" t="s">
        <v>450</v>
      </c>
    </row>
    <row r="138" spans="1:11" hidden="1" x14ac:dyDescent="0.3">
      <c r="A138" s="2" t="s">
        <v>242</v>
      </c>
      <c r="B138" s="2" t="s">
        <v>67</v>
      </c>
      <c r="C138" s="2" t="s">
        <v>68</v>
      </c>
      <c r="D138" s="2" t="s">
        <v>64</v>
      </c>
      <c r="E138" s="2" t="s">
        <v>69</v>
      </c>
      <c r="F138" s="6" t="s">
        <v>452</v>
      </c>
      <c r="G138" s="2">
        <v>1</v>
      </c>
      <c r="H138" s="2" t="s">
        <v>446</v>
      </c>
      <c r="I138" s="2" t="s">
        <v>453</v>
      </c>
      <c r="J138" s="2" t="str">
        <f t="shared" si="2"/>
        <v>YES</v>
      </c>
      <c r="K138" s="2" t="s">
        <v>452</v>
      </c>
    </row>
    <row r="139" spans="1:11" hidden="1" x14ac:dyDescent="0.3">
      <c r="A139" s="2" t="s">
        <v>242</v>
      </c>
      <c r="B139" s="2" t="s">
        <v>454</v>
      </c>
      <c r="C139" s="2" t="s">
        <v>84</v>
      </c>
      <c r="D139" s="2" t="s">
        <v>11</v>
      </c>
      <c r="E139" s="2" t="s">
        <v>11</v>
      </c>
      <c r="F139" s="6" t="s">
        <v>11</v>
      </c>
      <c r="G139" s="2">
        <v>1</v>
      </c>
      <c r="H139" s="2" t="s">
        <v>454</v>
      </c>
      <c r="I139" s="2" t="s">
        <v>11</v>
      </c>
      <c r="J139" s="2" t="str">
        <f t="shared" si="2"/>
        <v>NO</v>
      </c>
      <c r="K139" s="2" t="e">
        <v>#N/A</v>
      </c>
    </row>
    <row r="140" spans="1:11" hidden="1" x14ac:dyDescent="0.3">
      <c r="A140" s="2" t="s">
        <v>242</v>
      </c>
      <c r="B140" s="2" t="s">
        <v>62</v>
      </c>
      <c r="C140" s="2" t="s">
        <v>63</v>
      </c>
      <c r="D140" s="2" t="s">
        <v>64</v>
      </c>
      <c r="E140" s="2" t="s">
        <v>65</v>
      </c>
      <c r="F140" s="6" t="s">
        <v>455</v>
      </c>
      <c r="G140" s="2">
        <v>1</v>
      </c>
      <c r="H140" s="2" t="s">
        <v>417</v>
      </c>
      <c r="I140" s="2" t="s">
        <v>456</v>
      </c>
      <c r="J140" s="2" t="str">
        <f t="shared" si="2"/>
        <v>YES</v>
      </c>
      <c r="K140" s="2" t="s">
        <v>455</v>
      </c>
    </row>
    <row r="141" spans="1:11" hidden="1" x14ac:dyDescent="0.3">
      <c r="A141" s="2" t="s">
        <v>242</v>
      </c>
      <c r="B141" s="2" t="s">
        <v>393</v>
      </c>
      <c r="C141" s="2" t="s">
        <v>394</v>
      </c>
      <c r="D141" s="2" t="s">
        <v>380</v>
      </c>
      <c r="E141" s="2" t="s">
        <v>395</v>
      </c>
      <c r="F141" s="6" t="s">
        <v>1069</v>
      </c>
      <c r="G141" s="2">
        <v>1</v>
      </c>
      <c r="H141" s="2" t="s">
        <v>456</v>
      </c>
      <c r="I141" s="2" t="s">
        <v>11</v>
      </c>
      <c r="J141" s="2" t="str">
        <f t="shared" si="2"/>
        <v>YES</v>
      </c>
      <c r="K141" s="2" t="s">
        <v>1069</v>
      </c>
    </row>
    <row r="142" spans="1:11" hidden="1" x14ac:dyDescent="0.3">
      <c r="A142" s="2" t="s">
        <v>242</v>
      </c>
      <c r="B142" s="2" t="s">
        <v>396</v>
      </c>
      <c r="C142" s="2" t="s">
        <v>397</v>
      </c>
      <c r="D142" s="2" t="s">
        <v>64</v>
      </c>
      <c r="E142" s="2" t="s">
        <v>398</v>
      </c>
      <c r="F142" s="6" t="s">
        <v>457</v>
      </c>
      <c r="G142" s="2">
        <v>1</v>
      </c>
      <c r="H142" s="2" t="s">
        <v>456</v>
      </c>
      <c r="I142" s="2" t="s">
        <v>11</v>
      </c>
      <c r="J142" s="2" t="str">
        <f t="shared" si="2"/>
        <v>YES</v>
      </c>
      <c r="K142" s="2" t="s">
        <v>457</v>
      </c>
    </row>
    <row r="143" spans="1:11" hidden="1" x14ac:dyDescent="0.3">
      <c r="A143" s="2" t="s">
        <v>242</v>
      </c>
      <c r="B143" s="2" t="s">
        <v>400</v>
      </c>
      <c r="C143" s="2" t="s">
        <v>401</v>
      </c>
      <c r="D143" s="2" t="s">
        <v>64</v>
      </c>
      <c r="E143" s="2" t="s">
        <v>402</v>
      </c>
      <c r="F143" s="6" t="s">
        <v>389</v>
      </c>
      <c r="G143" s="2">
        <v>1</v>
      </c>
      <c r="H143" s="2" t="s">
        <v>456</v>
      </c>
      <c r="I143" s="2" t="s">
        <v>11</v>
      </c>
      <c r="J143" s="2" t="str">
        <f t="shared" si="2"/>
        <v>NO</v>
      </c>
      <c r="K143" s="2" t="s">
        <v>973</v>
      </c>
    </row>
    <row r="144" spans="1:11" hidden="1" x14ac:dyDescent="0.3">
      <c r="A144" s="2" t="s">
        <v>242</v>
      </c>
      <c r="B144" s="2" t="s">
        <v>403</v>
      </c>
      <c r="C144" s="2" t="s">
        <v>404</v>
      </c>
      <c r="D144" s="2" t="s">
        <v>64</v>
      </c>
      <c r="E144" s="2" t="s">
        <v>405</v>
      </c>
      <c r="F144" s="6" t="s">
        <v>458</v>
      </c>
      <c r="G144" s="2">
        <v>1</v>
      </c>
      <c r="H144" s="2" t="s">
        <v>456</v>
      </c>
      <c r="I144" s="2" t="s">
        <v>11</v>
      </c>
      <c r="J144" s="2" t="str">
        <f t="shared" si="2"/>
        <v>YES</v>
      </c>
      <c r="K144" s="2" t="s">
        <v>458</v>
      </c>
    </row>
    <row r="145" spans="1:11" hidden="1" x14ac:dyDescent="0.3">
      <c r="A145" s="2" t="s">
        <v>242</v>
      </c>
      <c r="B145" s="2" t="s">
        <v>407</v>
      </c>
      <c r="C145" s="2" t="s">
        <v>408</v>
      </c>
      <c r="D145" s="2" t="s">
        <v>64</v>
      </c>
      <c r="E145" s="2" t="s">
        <v>409</v>
      </c>
      <c r="F145" s="6" t="s">
        <v>459</v>
      </c>
      <c r="G145" s="2">
        <v>1</v>
      </c>
      <c r="H145" s="2" t="s">
        <v>456</v>
      </c>
      <c r="I145" s="2" t="s">
        <v>11</v>
      </c>
      <c r="J145" s="2" t="str">
        <f t="shared" si="2"/>
        <v>YES</v>
      </c>
      <c r="K145" s="2" t="s">
        <v>459</v>
      </c>
    </row>
    <row r="146" spans="1:11" hidden="1" x14ac:dyDescent="0.3">
      <c r="A146" s="2" t="s">
        <v>242</v>
      </c>
      <c r="B146" s="2" t="s">
        <v>67</v>
      </c>
      <c r="C146" s="2" t="s">
        <v>68</v>
      </c>
      <c r="D146" s="2" t="s">
        <v>64</v>
      </c>
      <c r="E146" s="2" t="s">
        <v>69</v>
      </c>
      <c r="F146" s="6" t="s">
        <v>460</v>
      </c>
      <c r="G146" s="2">
        <v>1</v>
      </c>
      <c r="H146" s="2" t="s">
        <v>456</v>
      </c>
      <c r="I146" s="2" t="s">
        <v>461</v>
      </c>
      <c r="J146" s="2" t="str">
        <f t="shared" si="2"/>
        <v>YES</v>
      </c>
      <c r="K146" s="2" t="s">
        <v>460</v>
      </c>
    </row>
    <row r="147" spans="1:11" hidden="1" x14ac:dyDescent="0.3">
      <c r="A147" s="2" t="s">
        <v>242</v>
      </c>
      <c r="B147" s="2" t="s">
        <v>67</v>
      </c>
      <c r="C147" s="2" t="s">
        <v>68</v>
      </c>
      <c r="D147" s="2" t="s">
        <v>64</v>
      </c>
      <c r="E147" s="2" t="s">
        <v>69</v>
      </c>
      <c r="F147" s="6" t="s">
        <v>462</v>
      </c>
      <c r="G147" s="2">
        <v>1</v>
      </c>
      <c r="H147" s="2" t="s">
        <v>456</v>
      </c>
      <c r="I147" s="2" t="s">
        <v>463</v>
      </c>
      <c r="J147" s="2" t="str">
        <f t="shared" si="2"/>
        <v>YES</v>
      </c>
      <c r="K147" s="2" t="s">
        <v>462</v>
      </c>
    </row>
    <row r="148" spans="1:11" hidden="1" x14ac:dyDescent="0.3">
      <c r="A148" s="2" t="s">
        <v>242</v>
      </c>
      <c r="B148" s="2" t="s">
        <v>62</v>
      </c>
      <c r="C148" s="2" t="s">
        <v>63</v>
      </c>
      <c r="D148" s="2" t="s">
        <v>64</v>
      </c>
      <c r="E148" s="2" t="s">
        <v>65</v>
      </c>
      <c r="F148" s="6" t="s">
        <v>464</v>
      </c>
      <c r="G148" s="2">
        <v>1</v>
      </c>
      <c r="H148" s="2" t="s">
        <v>11</v>
      </c>
      <c r="I148" s="2" t="s">
        <v>465</v>
      </c>
      <c r="J148" s="2" t="str">
        <f t="shared" si="2"/>
        <v>YES</v>
      </c>
      <c r="K148" s="2" t="s">
        <v>464</v>
      </c>
    </row>
    <row r="149" spans="1:11" hidden="1" x14ac:dyDescent="0.3">
      <c r="A149" s="2" t="s">
        <v>242</v>
      </c>
      <c r="B149" s="2" t="s">
        <v>393</v>
      </c>
      <c r="C149" s="2" t="s">
        <v>394</v>
      </c>
      <c r="D149" s="2" t="s">
        <v>380</v>
      </c>
      <c r="E149" s="2" t="s">
        <v>395</v>
      </c>
      <c r="F149" s="6" t="s">
        <v>1070</v>
      </c>
      <c r="G149" s="2">
        <v>1</v>
      </c>
      <c r="H149" s="2" t="s">
        <v>465</v>
      </c>
      <c r="I149" s="2" t="s">
        <v>11</v>
      </c>
      <c r="J149" s="2" t="str">
        <f t="shared" si="2"/>
        <v>YES</v>
      </c>
      <c r="K149" s="2" t="s">
        <v>1070</v>
      </c>
    </row>
    <row r="150" spans="1:11" hidden="1" x14ac:dyDescent="0.3">
      <c r="A150" s="2" t="s">
        <v>242</v>
      </c>
      <c r="B150" s="2" t="s">
        <v>396</v>
      </c>
      <c r="C150" s="2" t="s">
        <v>397</v>
      </c>
      <c r="D150" s="2" t="s">
        <v>64</v>
      </c>
      <c r="E150" s="2" t="s">
        <v>398</v>
      </c>
      <c r="F150" s="6" t="s">
        <v>466</v>
      </c>
      <c r="G150" s="2">
        <v>1</v>
      </c>
      <c r="H150" s="2" t="s">
        <v>465</v>
      </c>
      <c r="I150" s="2" t="s">
        <v>11</v>
      </c>
      <c r="J150" s="2" t="str">
        <f t="shared" si="2"/>
        <v>YES</v>
      </c>
      <c r="K150" s="2" t="s">
        <v>466</v>
      </c>
    </row>
    <row r="151" spans="1:11" hidden="1" x14ac:dyDescent="0.3">
      <c r="A151" s="2" t="s">
        <v>242</v>
      </c>
      <c r="B151" s="2" t="s">
        <v>400</v>
      </c>
      <c r="C151" s="2" t="s">
        <v>401</v>
      </c>
      <c r="D151" s="2" t="s">
        <v>64</v>
      </c>
      <c r="E151" s="2" t="s">
        <v>402</v>
      </c>
      <c r="F151" s="6" t="s">
        <v>389</v>
      </c>
      <c r="G151" s="2">
        <v>1</v>
      </c>
      <c r="H151" s="2" t="s">
        <v>465</v>
      </c>
      <c r="I151" s="2" t="s">
        <v>11</v>
      </c>
      <c r="J151" s="2" t="str">
        <f t="shared" si="2"/>
        <v>NO</v>
      </c>
      <c r="K151" s="2" t="s">
        <v>973</v>
      </c>
    </row>
    <row r="152" spans="1:11" hidden="1" x14ac:dyDescent="0.3">
      <c r="A152" s="2" t="s">
        <v>242</v>
      </c>
      <c r="B152" s="2" t="s">
        <v>403</v>
      </c>
      <c r="C152" s="2" t="s">
        <v>404</v>
      </c>
      <c r="D152" s="2" t="s">
        <v>64</v>
      </c>
      <c r="E152" s="2" t="s">
        <v>405</v>
      </c>
      <c r="F152" s="6" t="s">
        <v>467</v>
      </c>
      <c r="G152" s="2">
        <v>1</v>
      </c>
      <c r="H152" s="2" t="s">
        <v>465</v>
      </c>
      <c r="I152" s="2" t="s">
        <v>11</v>
      </c>
      <c r="J152" s="2" t="str">
        <f t="shared" si="2"/>
        <v>YES</v>
      </c>
      <c r="K152" s="2" t="s">
        <v>467</v>
      </c>
    </row>
    <row r="153" spans="1:11" hidden="1" x14ac:dyDescent="0.3">
      <c r="A153" s="2" t="s">
        <v>242</v>
      </c>
      <c r="B153" s="2" t="s">
        <v>407</v>
      </c>
      <c r="C153" s="2" t="s">
        <v>408</v>
      </c>
      <c r="D153" s="2" t="s">
        <v>64</v>
      </c>
      <c r="E153" s="2" t="s">
        <v>409</v>
      </c>
      <c r="F153" s="6" t="s">
        <v>468</v>
      </c>
      <c r="G153" s="2">
        <v>1</v>
      </c>
      <c r="H153" s="2" t="s">
        <v>465</v>
      </c>
      <c r="I153" s="2" t="s">
        <v>11</v>
      </c>
      <c r="J153" s="2" t="str">
        <f t="shared" si="2"/>
        <v>YES</v>
      </c>
      <c r="K153" s="2" t="s">
        <v>468</v>
      </c>
    </row>
    <row r="154" spans="1:11" hidden="1" x14ac:dyDescent="0.3">
      <c r="A154" s="2" t="s">
        <v>242</v>
      </c>
      <c r="B154" s="2" t="s">
        <v>67</v>
      </c>
      <c r="C154" s="2" t="s">
        <v>68</v>
      </c>
      <c r="D154" s="2" t="s">
        <v>64</v>
      </c>
      <c r="E154" s="2" t="s">
        <v>69</v>
      </c>
      <c r="F154" s="6" t="s">
        <v>469</v>
      </c>
      <c r="G154" s="2">
        <v>1</v>
      </c>
      <c r="H154" s="2" t="s">
        <v>465</v>
      </c>
      <c r="I154" s="2" t="s">
        <v>470</v>
      </c>
      <c r="J154" s="2" t="str">
        <f t="shared" si="2"/>
        <v>YES</v>
      </c>
      <c r="K154" s="2" t="s">
        <v>469</v>
      </c>
    </row>
    <row r="155" spans="1:11" hidden="1" x14ac:dyDescent="0.3">
      <c r="A155" s="2" t="s">
        <v>242</v>
      </c>
      <c r="B155" s="2" t="s">
        <v>67</v>
      </c>
      <c r="C155" s="2" t="s">
        <v>68</v>
      </c>
      <c r="D155" s="2" t="s">
        <v>64</v>
      </c>
      <c r="E155" s="2" t="s">
        <v>69</v>
      </c>
      <c r="F155" s="6" t="s">
        <v>471</v>
      </c>
      <c r="G155" s="2">
        <v>1</v>
      </c>
      <c r="H155" s="2" t="s">
        <v>465</v>
      </c>
      <c r="I155" s="2" t="s">
        <v>472</v>
      </c>
      <c r="J155" s="2" t="str">
        <f t="shared" si="2"/>
        <v>YES</v>
      </c>
      <c r="K155" s="2" t="s">
        <v>471</v>
      </c>
    </row>
    <row r="156" spans="1:11" hidden="1" x14ac:dyDescent="0.3">
      <c r="A156" s="2" t="s">
        <v>242</v>
      </c>
      <c r="B156" s="2" t="s">
        <v>473</v>
      </c>
      <c r="C156" s="2" t="s">
        <v>92</v>
      </c>
      <c r="D156" s="2" t="s">
        <v>11</v>
      </c>
      <c r="E156" s="2" t="s">
        <v>11</v>
      </c>
      <c r="F156" s="6" t="s">
        <v>11</v>
      </c>
      <c r="G156" s="2">
        <v>1</v>
      </c>
      <c r="H156" s="2" t="s">
        <v>473</v>
      </c>
      <c r="I156" s="2" t="s">
        <v>11</v>
      </c>
      <c r="J156" s="2" t="str">
        <f t="shared" si="2"/>
        <v>NO</v>
      </c>
      <c r="K156" s="2" t="e">
        <v>#N/A</v>
      </c>
    </row>
    <row r="157" spans="1:11" hidden="1" x14ac:dyDescent="0.3">
      <c r="A157" s="2" t="s">
        <v>242</v>
      </c>
      <c r="B157" s="2" t="s">
        <v>62</v>
      </c>
      <c r="C157" s="2" t="s">
        <v>63</v>
      </c>
      <c r="D157" s="2" t="s">
        <v>64</v>
      </c>
      <c r="E157" s="2" t="s">
        <v>65</v>
      </c>
      <c r="F157" s="6" t="s">
        <v>474</v>
      </c>
      <c r="G157" s="2">
        <v>1</v>
      </c>
      <c r="H157" s="2" t="s">
        <v>11</v>
      </c>
      <c r="I157" s="2" t="s">
        <v>475</v>
      </c>
      <c r="J157" s="2" t="str">
        <f t="shared" si="2"/>
        <v>YES</v>
      </c>
      <c r="K157" s="2" t="s">
        <v>474</v>
      </c>
    </row>
    <row r="158" spans="1:11" hidden="1" x14ac:dyDescent="0.3">
      <c r="A158" s="2" t="s">
        <v>242</v>
      </c>
      <c r="B158" s="2" t="s">
        <v>393</v>
      </c>
      <c r="C158" s="2" t="s">
        <v>394</v>
      </c>
      <c r="D158" s="2" t="s">
        <v>380</v>
      </c>
      <c r="E158" s="2" t="s">
        <v>395</v>
      </c>
      <c r="F158" s="6" t="s">
        <v>1071</v>
      </c>
      <c r="G158" s="2">
        <v>1</v>
      </c>
      <c r="H158" s="2" t="s">
        <v>475</v>
      </c>
      <c r="I158" s="2" t="s">
        <v>11</v>
      </c>
      <c r="J158" s="2" t="str">
        <f t="shared" si="2"/>
        <v>YES</v>
      </c>
      <c r="K158" s="2" t="s">
        <v>1071</v>
      </c>
    </row>
    <row r="159" spans="1:11" hidden="1" x14ac:dyDescent="0.3">
      <c r="A159" s="2" t="s">
        <v>242</v>
      </c>
      <c r="B159" s="2" t="s">
        <v>396</v>
      </c>
      <c r="C159" s="2" t="s">
        <v>397</v>
      </c>
      <c r="D159" s="2" t="s">
        <v>64</v>
      </c>
      <c r="E159" s="2" t="s">
        <v>398</v>
      </c>
      <c r="F159" s="6" t="s">
        <v>476</v>
      </c>
      <c r="G159" s="2">
        <v>1</v>
      </c>
      <c r="H159" s="2" t="s">
        <v>475</v>
      </c>
      <c r="I159" s="2" t="s">
        <v>11</v>
      </c>
      <c r="J159" s="2" t="str">
        <f t="shared" si="2"/>
        <v>YES</v>
      </c>
      <c r="K159" s="2" t="s">
        <v>476</v>
      </c>
    </row>
    <row r="160" spans="1:11" hidden="1" x14ac:dyDescent="0.3">
      <c r="A160" s="2" t="s">
        <v>242</v>
      </c>
      <c r="B160" s="2" t="s">
        <v>400</v>
      </c>
      <c r="C160" s="2" t="s">
        <v>401</v>
      </c>
      <c r="D160" s="2" t="s">
        <v>64</v>
      </c>
      <c r="E160" s="2" t="s">
        <v>402</v>
      </c>
      <c r="F160" s="6" t="s">
        <v>389</v>
      </c>
      <c r="G160" s="2">
        <v>1</v>
      </c>
      <c r="H160" s="2" t="s">
        <v>475</v>
      </c>
      <c r="I160" s="2" t="s">
        <v>11</v>
      </c>
      <c r="J160" s="2" t="str">
        <f t="shared" si="2"/>
        <v>NO</v>
      </c>
      <c r="K160" s="2" t="s">
        <v>973</v>
      </c>
    </row>
    <row r="161" spans="1:11" hidden="1" x14ac:dyDescent="0.3">
      <c r="A161" s="2" t="s">
        <v>242</v>
      </c>
      <c r="B161" s="2" t="s">
        <v>403</v>
      </c>
      <c r="C161" s="2" t="s">
        <v>404</v>
      </c>
      <c r="D161" s="2" t="s">
        <v>64</v>
      </c>
      <c r="E161" s="2" t="s">
        <v>405</v>
      </c>
      <c r="F161" s="6" t="s">
        <v>477</v>
      </c>
      <c r="G161" s="2">
        <v>1</v>
      </c>
      <c r="H161" s="2" t="s">
        <v>475</v>
      </c>
      <c r="I161" s="2" t="s">
        <v>11</v>
      </c>
      <c r="J161" s="2" t="str">
        <f t="shared" si="2"/>
        <v>YES</v>
      </c>
      <c r="K161" s="2" t="s">
        <v>477</v>
      </c>
    </row>
    <row r="162" spans="1:11" hidden="1" x14ac:dyDescent="0.3">
      <c r="A162" s="2" t="s">
        <v>242</v>
      </c>
      <c r="B162" s="2" t="s">
        <v>407</v>
      </c>
      <c r="C162" s="2" t="s">
        <v>408</v>
      </c>
      <c r="D162" s="2" t="s">
        <v>64</v>
      </c>
      <c r="E162" s="2" t="s">
        <v>409</v>
      </c>
      <c r="F162" s="6" t="s">
        <v>478</v>
      </c>
      <c r="G162" s="2">
        <v>1</v>
      </c>
      <c r="H162" s="2" t="s">
        <v>475</v>
      </c>
      <c r="I162" s="2" t="s">
        <v>11</v>
      </c>
      <c r="J162" s="2" t="str">
        <f t="shared" si="2"/>
        <v>YES</v>
      </c>
      <c r="K162" s="2" t="s">
        <v>478</v>
      </c>
    </row>
    <row r="163" spans="1:11" hidden="1" x14ac:dyDescent="0.3">
      <c r="A163" s="2" t="s">
        <v>242</v>
      </c>
      <c r="B163" s="2" t="s">
        <v>67</v>
      </c>
      <c r="C163" s="2" t="s">
        <v>68</v>
      </c>
      <c r="D163" s="2" t="s">
        <v>64</v>
      </c>
      <c r="E163" s="2" t="s">
        <v>69</v>
      </c>
      <c r="F163" s="6" t="s">
        <v>479</v>
      </c>
      <c r="G163" s="2">
        <v>1</v>
      </c>
      <c r="H163" s="2" t="s">
        <v>475</v>
      </c>
      <c r="I163" s="2" t="s">
        <v>480</v>
      </c>
      <c r="J163" s="2" t="str">
        <f t="shared" si="2"/>
        <v>YES</v>
      </c>
      <c r="K163" s="2" t="s">
        <v>479</v>
      </c>
    </row>
    <row r="164" spans="1:11" hidden="1" x14ac:dyDescent="0.3">
      <c r="A164" s="2" t="s">
        <v>242</v>
      </c>
      <c r="B164" s="2" t="s">
        <v>67</v>
      </c>
      <c r="C164" s="2" t="s">
        <v>68</v>
      </c>
      <c r="D164" s="2" t="s">
        <v>64</v>
      </c>
      <c r="E164" s="2" t="s">
        <v>69</v>
      </c>
      <c r="F164" s="6" t="s">
        <v>481</v>
      </c>
      <c r="G164" s="2">
        <v>1</v>
      </c>
      <c r="H164" s="2" t="s">
        <v>475</v>
      </c>
      <c r="I164" s="2" t="s">
        <v>482</v>
      </c>
      <c r="J164" s="2" t="str">
        <f t="shared" si="2"/>
        <v>YES</v>
      </c>
      <c r="K164" s="2" t="s">
        <v>481</v>
      </c>
    </row>
    <row r="165" spans="1:11" hidden="1" x14ac:dyDescent="0.3">
      <c r="A165" s="2" t="s">
        <v>242</v>
      </c>
      <c r="B165" s="2" t="s">
        <v>62</v>
      </c>
      <c r="C165" s="2" t="s">
        <v>63</v>
      </c>
      <c r="D165" s="2" t="s">
        <v>64</v>
      </c>
      <c r="E165" s="2" t="s">
        <v>65</v>
      </c>
      <c r="F165" s="6" t="s">
        <v>483</v>
      </c>
      <c r="G165" s="2">
        <v>1</v>
      </c>
      <c r="H165" s="2" t="s">
        <v>11</v>
      </c>
      <c r="I165" s="2" t="s">
        <v>484</v>
      </c>
      <c r="J165" s="2" t="str">
        <f t="shared" si="2"/>
        <v>YES</v>
      </c>
      <c r="K165" s="2" t="s">
        <v>483</v>
      </c>
    </row>
    <row r="166" spans="1:11" hidden="1" x14ac:dyDescent="0.3">
      <c r="A166" s="2" t="s">
        <v>242</v>
      </c>
      <c r="B166" s="2" t="s">
        <v>393</v>
      </c>
      <c r="C166" s="2" t="s">
        <v>394</v>
      </c>
      <c r="D166" s="2" t="s">
        <v>380</v>
      </c>
      <c r="E166" s="2" t="s">
        <v>395</v>
      </c>
      <c r="F166" s="6" t="s">
        <v>1072</v>
      </c>
      <c r="G166" s="2">
        <v>1</v>
      </c>
      <c r="H166" s="2" t="s">
        <v>484</v>
      </c>
      <c r="I166" s="2" t="s">
        <v>11</v>
      </c>
      <c r="J166" s="2" t="str">
        <f t="shared" si="2"/>
        <v>YES</v>
      </c>
      <c r="K166" s="2" t="s">
        <v>1072</v>
      </c>
    </row>
    <row r="167" spans="1:11" hidden="1" x14ac:dyDescent="0.3">
      <c r="A167" s="2" t="s">
        <v>242</v>
      </c>
      <c r="B167" s="2" t="s">
        <v>396</v>
      </c>
      <c r="C167" s="2" t="s">
        <v>397</v>
      </c>
      <c r="D167" s="2" t="s">
        <v>64</v>
      </c>
      <c r="E167" s="2" t="s">
        <v>398</v>
      </c>
      <c r="F167" s="6" t="s">
        <v>485</v>
      </c>
      <c r="G167" s="2">
        <v>1</v>
      </c>
      <c r="H167" s="2" t="s">
        <v>484</v>
      </c>
      <c r="I167" s="2" t="s">
        <v>11</v>
      </c>
      <c r="J167" s="2" t="str">
        <f t="shared" si="2"/>
        <v>YES</v>
      </c>
      <c r="K167" s="2" t="s">
        <v>485</v>
      </c>
    </row>
    <row r="168" spans="1:11" hidden="1" x14ac:dyDescent="0.3">
      <c r="A168" s="2" t="s">
        <v>242</v>
      </c>
      <c r="B168" s="2" t="s">
        <v>400</v>
      </c>
      <c r="C168" s="2" t="s">
        <v>401</v>
      </c>
      <c r="D168" s="2" t="s">
        <v>64</v>
      </c>
      <c r="E168" s="2" t="s">
        <v>402</v>
      </c>
      <c r="F168" s="6" t="s">
        <v>389</v>
      </c>
      <c r="G168" s="2">
        <v>1</v>
      </c>
      <c r="H168" s="2" t="s">
        <v>484</v>
      </c>
      <c r="I168" s="2" t="s">
        <v>11</v>
      </c>
      <c r="J168" s="2" t="str">
        <f t="shared" si="2"/>
        <v>NO</v>
      </c>
      <c r="K168" s="2" t="s">
        <v>973</v>
      </c>
    </row>
    <row r="169" spans="1:11" hidden="1" x14ac:dyDescent="0.3">
      <c r="A169" s="2" t="s">
        <v>242</v>
      </c>
      <c r="B169" s="2" t="s">
        <v>403</v>
      </c>
      <c r="C169" s="2" t="s">
        <v>404</v>
      </c>
      <c r="D169" s="2" t="s">
        <v>64</v>
      </c>
      <c r="E169" s="2" t="s">
        <v>405</v>
      </c>
      <c r="F169" s="6" t="s">
        <v>486</v>
      </c>
      <c r="G169" s="2">
        <v>1</v>
      </c>
      <c r="H169" s="2" t="s">
        <v>484</v>
      </c>
      <c r="I169" s="2" t="s">
        <v>11</v>
      </c>
      <c r="J169" s="2" t="str">
        <f t="shared" si="2"/>
        <v>YES</v>
      </c>
      <c r="K169" s="2" t="s">
        <v>486</v>
      </c>
    </row>
    <row r="170" spans="1:11" hidden="1" x14ac:dyDescent="0.3">
      <c r="A170" s="2" t="s">
        <v>242</v>
      </c>
      <c r="B170" s="2" t="s">
        <v>407</v>
      </c>
      <c r="C170" s="2" t="s">
        <v>408</v>
      </c>
      <c r="D170" s="2" t="s">
        <v>64</v>
      </c>
      <c r="E170" s="2" t="s">
        <v>409</v>
      </c>
      <c r="F170" s="6" t="s">
        <v>487</v>
      </c>
      <c r="G170" s="2">
        <v>1</v>
      </c>
      <c r="H170" s="2" t="s">
        <v>484</v>
      </c>
      <c r="I170" s="2" t="s">
        <v>11</v>
      </c>
      <c r="J170" s="2" t="str">
        <f t="shared" si="2"/>
        <v>YES</v>
      </c>
      <c r="K170" s="2" t="s">
        <v>487</v>
      </c>
    </row>
    <row r="171" spans="1:11" hidden="1" x14ac:dyDescent="0.3">
      <c r="A171" s="2" t="s">
        <v>242</v>
      </c>
      <c r="B171" s="2" t="s">
        <v>488</v>
      </c>
      <c r="C171" s="2" t="s">
        <v>68</v>
      </c>
      <c r="D171" s="2" t="s">
        <v>64</v>
      </c>
      <c r="E171" s="2" t="s">
        <v>489</v>
      </c>
      <c r="F171" s="6" t="s">
        <v>490</v>
      </c>
      <c r="G171" s="2">
        <v>1</v>
      </c>
      <c r="H171" s="2" t="s">
        <v>484</v>
      </c>
      <c r="I171" s="2" t="s">
        <v>491</v>
      </c>
      <c r="J171" s="2" t="str">
        <f t="shared" si="2"/>
        <v>YES</v>
      </c>
      <c r="K171" s="2" t="s">
        <v>490</v>
      </c>
    </row>
    <row r="172" spans="1:11" hidden="1" x14ac:dyDescent="0.3">
      <c r="A172" s="2" t="s">
        <v>242</v>
      </c>
      <c r="B172" s="2" t="s">
        <v>488</v>
      </c>
      <c r="C172" s="2" t="s">
        <v>68</v>
      </c>
      <c r="D172" s="2" t="s">
        <v>64</v>
      </c>
      <c r="E172" s="2" t="s">
        <v>489</v>
      </c>
      <c r="F172" s="6" t="s">
        <v>492</v>
      </c>
      <c r="G172" s="2">
        <v>1</v>
      </c>
      <c r="H172" s="2" t="s">
        <v>484</v>
      </c>
      <c r="I172" s="2" t="s">
        <v>493</v>
      </c>
      <c r="J172" s="2" t="str">
        <f t="shared" si="2"/>
        <v>YES</v>
      </c>
      <c r="K172" s="2" t="s">
        <v>492</v>
      </c>
    </row>
    <row r="173" spans="1:11" hidden="1" x14ac:dyDescent="0.3">
      <c r="A173" s="2" t="s">
        <v>242</v>
      </c>
      <c r="B173" s="2" t="s">
        <v>494</v>
      </c>
      <c r="C173" s="2" t="s">
        <v>97</v>
      </c>
      <c r="D173" s="2" t="s">
        <v>11</v>
      </c>
      <c r="E173" s="2" t="s">
        <v>11</v>
      </c>
      <c r="F173" s="6" t="s">
        <v>11</v>
      </c>
      <c r="G173" s="2">
        <v>1</v>
      </c>
      <c r="H173" s="2" t="s">
        <v>494</v>
      </c>
      <c r="I173" s="2" t="s">
        <v>11</v>
      </c>
      <c r="J173" s="2" t="str">
        <f t="shared" si="2"/>
        <v>NO</v>
      </c>
      <c r="K173" s="2" t="e">
        <v>#N/A</v>
      </c>
    </row>
    <row r="174" spans="1:11" hidden="1" x14ac:dyDescent="0.3">
      <c r="A174" s="2" t="s">
        <v>242</v>
      </c>
      <c r="B174" s="2" t="s">
        <v>62</v>
      </c>
      <c r="C174" s="2" t="s">
        <v>63</v>
      </c>
      <c r="D174" s="2" t="s">
        <v>64</v>
      </c>
      <c r="E174" s="2" t="s">
        <v>65</v>
      </c>
      <c r="F174" s="6" t="s">
        <v>495</v>
      </c>
      <c r="G174" s="2">
        <v>1</v>
      </c>
      <c r="H174" s="2" t="s">
        <v>11</v>
      </c>
      <c r="I174" s="2" t="s">
        <v>496</v>
      </c>
      <c r="J174" s="2" t="str">
        <f t="shared" si="2"/>
        <v>YES</v>
      </c>
      <c r="K174" s="2" t="s">
        <v>495</v>
      </c>
    </row>
    <row r="175" spans="1:11" hidden="1" x14ac:dyDescent="0.3">
      <c r="A175" s="2" t="s">
        <v>242</v>
      </c>
      <c r="B175" s="2" t="s">
        <v>393</v>
      </c>
      <c r="C175" s="2" t="s">
        <v>394</v>
      </c>
      <c r="D175" s="2" t="s">
        <v>380</v>
      </c>
      <c r="E175" s="2" t="s">
        <v>395</v>
      </c>
      <c r="F175" s="6" t="s">
        <v>1073</v>
      </c>
      <c r="G175" s="2">
        <v>1</v>
      </c>
      <c r="H175" s="2" t="s">
        <v>496</v>
      </c>
      <c r="I175" s="2" t="s">
        <v>11</v>
      </c>
      <c r="J175" s="2" t="str">
        <f t="shared" si="2"/>
        <v>YES</v>
      </c>
      <c r="K175" s="2" t="s">
        <v>1073</v>
      </c>
    </row>
    <row r="176" spans="1:11" hidden="1" x14ac:dyDescent="0.3">
      <c r="A176" s="2" t="s">
        <v>242</v>
      </c>
      <c r="B176" s="2" t="s">
        <v>396</v>
      </c>
      <c r="C176" s="2" t="s">
        <v>397</v>
      </c>
      <c r="D176" s="2" t="s">
        <v>64</v>
      </c>
      <c r="E176" s="2" t="s">
        <v>398</v>
      </c>
      <c r="F176" s="6" t="s">
        <v>497</v>
      </c>
      <c r="G176" s="2">
        <v>1</v>
      </c>
      <c r="H176" s="2" t="s">
        <v>496</v>
      </c>
      <c r="I176" s="2" t="s">
        <v>11</v>
      </c>
      <c r="J176" s="2" t="str">
        <f t="shared" si="2"/>
        <v>YES</v>
      </c>
      <c r="K176" s="2" t="s">
        <v>497</v>
      </c>
    </row>
    <row r="177" spans="1:11" hidden="1" x14ac:dyDescent="0.3">
      <c r="A177" s="2" t="s">
        <v>242</v>
      </c>
      <c r="B177" s="2" t="s">
        <v>400</v>
      </c>
      <c r="C177" s="2" t="s">
        <v>401</v>
      </c>
      <c r="D177" s="2" t="s">
        <v>64</v>
      </c>
      <c r="E177" s="2" t="s">
        <v>402</v>
      </c>
      <c r="F177" s="6" t="s">
        <v>389</v>
      </c>
      <c r="G177" s="2">
        <v>1</v>
      </c>
      <c r="H177" s="2" t="s">
        <v>496</v>
      </c>
      <c r="I177" s="2" t="s">
        <v>11</v>
      </c>
      <c r="J177" s="2" t="str">
        <f t="shared" si="2"/>
        <v>NO</v>
      </c>
      <c r="K177" s="2" t="s">
        <v>973</v>
      </c>
    </row>
    <row r="178" spans="1:11" hidden="1" x14ac:dyDescent="0.3">
      <c r="A178" s="2" t="s">
        <v>242</v>
      </c>
      <c r="B178" s="2" t="s">
        <v>403</v>
      </c>
      <c r="C178" s="2" t="s">
        <v>404</v>
      </c>
      <c r="D178" s="2" t="s">
        <v>64</v>
      </c>
      <c r="E178" s="2" t="s">
        <v>405</v>
      </c>
      <c r="F178" s="6" t="s">
        <v>498</v>
      </c>
      <c r="G178" s="2">
        <v>1</v>
      </c>
      <c r="H178" s="2" t="s">
        <v>11</v>
      </c>
      <c r="I178" s="2" t="s">
        <v>11</v>
      </c>
      <c r="J178" s="2" t="str">
        <f t="shared" si="2"/>
        <v>YES</v>
      </c>
      <c r="K178" s="2" t="s">
        <v>498</v>
      </c>
    </row>
    <row r="179" spans="1:11" hidden="1" x14ac:dyDescent="0.3">
      <c r="A179" s="2" t="s">
        <v>242</v>
      </c>
      <c r="B179" s="2" t="s">
        <v>407</v>
      </c>
      <c r="C179" s="2" t="s">
        <v>408</v>
      </c>
      <c r="D179" s="2" t="s">
        <v>64</v>
      </c>
      <c r="E179" s="2" t="s">
        <v>409</v>
      </c>
      <c r="F179" s="6" t="s">
        <v>499</v>
      </c>
      <c r="G179" s="2">
        <v>1</v>
      </c>
      <c r="H179" s="2" t="s">
        <v>11</v>
      </c>
      <c r="I179" s="2" t="s">
        <v>11</v>
      </c>
      <c r="J179" s="2" t="str">
        <f t="shared" si="2"/>
        <v>YES</v>
      </c>
      <c r="K179" s="2" t="s">
        <v>499</v>
      </c>
    </row>
    <row r="180" spans="1:11" hidden="1" x14ac:dyDescent="0.3">
      <c r="A180" s="2" t="s">
        <v>242</v>
      </c>
      <c r="B180" s="2" t="s">
        <v>67</v>
      </c>
      <c r="C180" s="2" t="s">
        <v>68</v>
      </c>
      <c r="D180" s="2" t="s">
        <v>64</v>
      </c>
      <c r="E180" s="2" t="s">
        <v>69</v>
      </c>
      <c r="F180" s="6" t="s">
        <v>500</v>
      </c>
      <c r="G180" s="2">
        <v>1</v>
      </c>
      <c r="H180" s="2" t="s">
        <v>11</v>
      </c>
      <c r="I180" s="2" t="s">
        <v>501</v>
      </c>
      <c r="J180" s="2" t="str">
        <f t="shared" si="2"/>
        <v>YES</v>
      </c>
      <c r="K180" s="2" t="s">
        <v>500</v>
      </c>
    </row>
    <row r="181" spans="1:11" hidden="1" x14ac:dyDescent="0.3">
      <c r="A181" s="2" t="s">
        <v>242</v>
      </c>
      <c r="B181" s="2" t="s">
        <v>67</v>
      </c>
      <c r="C181" s="2" t="s">
        <v>68</v>
      </c>
      <c r="D181" s="2" t="s">
        <v>64</v>
      </c>
      <c r="E181" s="2" t="s">
        <v>69</v>
      </c>
      <c r="F181" s="6" t="s">
        <v>502</v>
      </c>
      <c r="G181" s="2">
        <v>1</v>
      </c>
      <c r="H181" s="2" t="s">
        <v>11</v>
      </c>
      <c r="I181" s="2" t="s">
        <v>503</v>
      </c>
      <c r="J181" s="2" t="str">
        <f t="shared" si="2"/>
        <v>YES</v>
      </c>
      <c r="K181" s="2" t="s">
        <v>502</v>
      </c>
    </row>
    <row r="182" spans="1:11" hidden="1" x14ac:dyDescent="0.3">
      <c r="A182" s="2" t="s">
        <v>242</v>
      </c>
      <c r="B182" s="2" t="s">
        <v>62</v>
      </c>
      <c r="C182" s="2" t="s">
        <v>63</v>
      </c>
      <c r="D182" s="2" t="s">
        <v>64</v>
      </c>
      <c r="E182" s="2" t="s">
        <v>65</v>
      </c>
      <c r="F182" s="6" t="s">
        <v>504</v>
      </c>
      <c r="G182" s="2">
        <v>1</v>
      </c>
      <c r="H182" s="2" t="s">
        <v>11</v>
      </c>
      <c r="I182" s="2" t="s">
        <v>505</v>
      </c>
      <c r="J182" s="2" t="str">
        <f t="shared" si="2"/>
        <v>YES</v>
      </c>
      <c r="K182" s="2" t="s">
        <v>504</v>
      </c>
    </row>
    <row r="183" spans="1:11" hidden="1" x14ac:dyDescent="0.3">
      <c r="A183" s="2" t="s">
        <v>242</v>
      </c>
      <c r="B183" s="2" t="s">
        <v>393</v>
      </c>
      <c r="C183" s="2" t="s">
        <v>394</v>
      </c>
      <c r="D183" s="2" t="s">
        <v>380</v>
      </c>
      <c r="E183" s="2" t="s">
        <v>395</v>
      </c>
      <c r="F183" s="6" t="s">
        <v>1074</v>
      </c>
      <c r="G183" s="2">
        <v>1</v>
      </c>
      <c r="H183" s="2" t="s">
        <v>505</v>
      </c>
      <c r="I183" s="2" t="s">
        <v>11</v>
      </c>
      <c r="J183" s="2" t="str">
        <f t="shared" si="2"/>
        <v>YES</v>
      </c>
      <c r="K183" s="2" t="s">
        <v>1074</v>
      </c>
    </row>
    <row r="184" spans="1:11" hidden="1" x14ac:dyDescent="0.3">
      <c r="A184" s="2" t="s">
        <v>242</v>
      </c>
      <c r="B184" s="2" t="s">
        <v>396</v>
      </c>
      <c r="C184" s="2" t="s">
        <v>397</v>
      </c>
      <c r="D184" s="2" t="s">
        <v>64</v>
      </c>
      <c r="E184" s="2" t="s">
        <v>398</v>
      </c>
      <c r="F184" s="6" t="s">
        <v>506</v>
      </c>
      <c r="G184" s="2">
        <v>1</v>
      </c>
      <c r="H184" s="2" t="s">
        <v>505</v>
      </c>
      <c r="I184" s="2" t="s">
        <v>11</v>
      </c>
      <c r="J184" s="2" t="str">
        <f t="shared" si="2"/>
        <v>YES</v>
      </c>
      <c r="K184" s="2" t="s">
        <v>506</v>
      </c>
    </row>
    <row r="185" spans="1:11" hidden="1" x14ac:dyDescent="0.3">
      <c r="A185" s="2" t="s">
        <v>242</v>
      </c>
      <c r="B185" s="2" t="s">
        <v>400</v>
      </c>
      <c r="C185" s="2" t="s">
        <v>401</v>
      </c>
      <c r="D185" s="2" t="s">
        <v>64</v>
      </c>
      <c r="E185" s="2" t="s">
        <v>402</v>
      </c>
      <c r="F185" s="6" t="s">
        <v>389</v>
      </c>
      <c r="G185" s="2">
        <v>1</v>
      </c>
      <c r="H185" s="2" t="s">
        <v>505</v>
      </c>
      <c r="I185" s="2" t="s">
        <v>11</v>
      </c>
      <c r="J185" s="2" t="str">
        <f t="shared" si="2"/>
        <v>NO</v>
      </c>
      <c r="K185" s="2" t="s">
        <v>973</v>
      </c>
    </row>
    <row r="186" spans="1:11" hidden="1" x14ac:dyDescent="0.3">
      <c r="A186" s="2" t="s">
        <v>242</v>
      </c>
      <c r="B186" s="2" t="s">
        <v>403</v>
      </c>
      <c r="C186" s="2" t="s">
        <v>404</v>
      </c>
      <c r="D186" s="2" t="s">
        <v>64</v>
      </c>
      <c r="E186" s="2" t="s">
        <v>405</v>
      </c>
      <c r="F186" s="6" t="s">
        <v>507</v>
      </c>
      <c r="G186" s="2">
        <v>1</v>
      </c>
      <c r="H186" s="2" t="s">
        <v>11</v>
      </c>
      <c r="I186" s="2" t="s">
        <v>11</v>
      </c>
      <c r="J186" s="2" t="str">
        <f t="shared" si="2"/>
        <v>YES</v>
      </c>
      <c r="K186" s="2" t="s">
        <v>507</v>
      </c>
    </row>
    <row r="187" spans="1:11" hidden="1" x14ac:dyDescent="0.3">
      <c r="A187" s="2" t="s">
        <v>242</v>
      </c>
      <c r="B187" s="2" t="s">
        <v>407</v>
      </c>
      <c r="C187" s="2" t="s">
        <v>408</v>
      </c>
      <c r="D187" s="2" t="s">
        <v>64</v>
      </c>
      <c r="E187" s="2" t="s">
        <v>409</v>
      </c>
      <c r="F187" s="6" t="s">
        <v>508</v>
      </c>
      <c r="G187" s="2">
        <v>1</v>
      </c>
      <c r="H187" s="2" t="s">
        <v>11</v>
      </c>
      <c r="I187" s="2" t="s">
        <v>11</v>
      </c>
      <c r="J187" s="2" t="str">
        <f t="shared" si="2"/>
        <v>YES</v>
      </c>
      <c r="K187" s="2" t="s">
        <v>508</v>
      </c>
    </row>
    <row r="188" spans="1:11" hidden="1" x14ac:dyDescent="0.3">
      <c r="A188" s="2" t="s">
        <v>242</v>
      </c>
      <c r="B188" s="2" t="s">
        <v>67</v>
      </c>
      <c r="C188" s="2" t="s">
        <v>68</v>
      </c>
      <c r="D188" s="2" t="s">
        <v>64</v>
      </c>
      <c r="E188" s="2" t="s">
        <v>69</v>
      </c>
      <c r="F188" s="6" t="s">
        <v>509</v>
      </c>
      <c r="G188" s="2">
        <v>1</v>
      </c>
      <c r="H188" s="2" t="s">
        <v>11</v>
      </c>
      <c r="I188" s="2" t="s">
        <v>510</v>
      </c>
      <c r="J188" s="2" t="str">
        <f t="shared" si="2"/>
        <v>YES</v>
      </c>
      <c r="K188" s="2" t="s">
        <v>509</v>
      </c>
    </row>
    <row r="189" spans="1:11" hidden="1" x14ac:dyDescent="0.3">
      <c r="A189" s="2" t="s">
        <v>242</v>
      </c>
      <c r="B189" s="2" t="s">
        <v>67</v>
      </c>
      <c r="C189" s="2" t="s">
        <v>68</v>
      </c>
      <c r="D189" s="2" t="s">
        <v>64</v>
      </c>
      <c r="E189" s="2" t="s">
        <v>69</v>
      </c>
      <c r="F189" s="6" t="s">
        <v>511</v>
      </c>
      <c r="G189" s="2">
        <v>1</v>
      </c>
      <c r="H189" s="2" t="s">
        <v>11</v>
      </c>
      <c r="I189" s="2" t="s">
        <v>512</v>
      </c>
      <c r="J189" s="2" t="str">
        <f t="shared" si="2"/>
        <v>YES</v>
      </c>
      <c r="K189" s="2" t="s">
        <v>511</v>
      </c>
    </row>
    <row r="190" spans="1:11" hidden="1" x14ac:dyDescent="0.3">
      <c r="A190" s="2" t="s">
        <v>242</v>
      </c>
      <c r="B190" s="2" t="s">
        <v>513</v>
      </c>
      <c r="C190" s="2" t="s">
        <v>514</v>
      </c>
      <c r="D190" s="2" t="s">
        <v>11</v>
      </c>
      <c r="E190" s="2" t="s">
        <v>11</v>
      </c>
      <c r="F190" s="6" t="s">
        <v>11</v>
      </c>
      <c r="G190" s="2">
        <v>1</v>
      </c>
      <c r="H190" s="2" t="s">
        <v>513</v>
      </c>
      <c r="I190" s="2" t="s">
        <v>11</v>
      </c>
      <c r="J190" s="2" t="str">
        <f t="shared" si="2"/>
        <v>NO</v>
      </c>
      <c r="K190" s="2" t="e">
        <v>#N/A</v>
      </c>
    </row>
    <row r="191" spans="1:11" hidden="1" x14ac:dyDescent="0.3">
      <c r="A191" s="2" t="s">
        <v>242</v>
      </c>
      <c r="B191" s="2" t="s">
        <v>67</v>
      </c>
      <c r="C191" s="2" t="s">
        <v>68</v>
      </c>
      <c r="D191" s="2" t="s">
        <v>64</v>
      </c>
      <c r="E191" s="2" t="s">
        <v>69</v>
      </c>
      <c r="F191" s="6" t="s">
        <v>515</v>
      </c>
      <c r="G191" s="2">
        <v>1</v>
      </c>
      <c r="H191" s="2" t="s">
        <v>11</v>
      </c>
      <c r="I191" s="2" t="s">
        <v>516</v>
      </c>
      <c r="J191" s="2" t="str">
        <f t="shared" si="2"/>
        <v>YES</v>
      </c>
      <c r="K191" s="2" t="s">
        <v>515</v>
      </c>
    </row>
    <row r="192" spans="1:11" hidden="1" x14ac:dyDescent="0.3">
      <c r="A192" s="2" t="s">
        <v>242</v>
      </c>
      <c r="B192" s="2" t="s">
        <v>67</v>
      </c>
      <c r="C192" s="2" t="s">
        <v>68</v>
      </c>
      <c r="D192" s="2" t="s">
        <v>64</v>
      </c>
      <c r="E192" s="2" t="s">
        <v>69</v>
      </c>
      <c r="F192" s="6" t="s">
        <v>517</v>
      </c>
      <c r="G192" s="2">
        <v>1</v>
      </c>
      <c r="H192" s="2" t="s">
        <v>11</v>
      </c>
      <c r="I192" s="2" t="s">
        <v>518</v>
      </c>
      <c r="J192" s="2" t="str">
        <f t="shared" si="2"/>
        <v>YES</v>
      </c>
      <c r="K192" s="2" t="s">
        <v>517</v>
      </c>
    </row>
    <row r="193" spans="1:11" hidden="1" x14ac:dyDescent="0.3">
      <c r="A193" s="2" t="s">
        <v>242</v>
      </c>
      <c r="B193" s="2" t="s">
        <v>488</v>
      </c>
      <c r="C193" s="2" t="s">
        <v>68</v>
      </c>
      <c r="D193" s="2" t="s">
        <v>64</v>
      </c>
      <c r="E193" s="2" t="s">
        <v>489</v>
      </c>
      <c r="F193" s="6" t="s">
        <v>519</v>
      </c>
      <c r="G193" s="2">
        <v>1</v>
      </c>
      <c r="H193" s="2" t="s">
        <v>11</v>
      </c>
      <c r="I193" s="2" t="s">
        <v>520</v>
      </c>
      <c r="J193" s="2" t="str">
        <f t="shared" si="2"/>
        <v>YES</v>
      </c>
      <c r="K193" s="2" t="s">
        <v>519</v>
      </c>
    </row>
    <row r="194" spans="1:11" hidden="1" x14ac:dyDescent="0.3">
      <c r="A194" s="2" t="s">
        <v>242</v>
      </c>
      <c r="B194" s="2" t="s">
        <v>488</v>
      </c>
      <c r="C194" s="2" t="s">
        <v>68</v>
      </c>
      <c r="D194" s="2" t="s">
        <v>64</v>
      </c>
      <c r="E194" s="2" t="s">
        <v>489</v>
      </c>
      <c r="F194" s="6" t="s">
        <v>521</v>
      </c>
      <c r="G194" s="2">
        <v>1</v>
      </c>
      <c r="H194" s="2" t="s">
        <v>11</v>
      </c>
      <c r="I194" s="2" t="s">
        <v>522</v>
      </c>
      <c r="J194" s="2" t="str">
        <f t="shared" si="2"/>
        <v>YES</v>
      </c>
      <c r="K194" s="2" t="s">
        <v>521</v>
      </c>
    </row>
    <row r="195" spans="1:11" hidden="1" x14ac:dyDescent="0.3">
      <c r="A195" s="2" t="s">
        <v>242</v>
      </c>
      <c r="B195" s="2" t="s">
        <v>523</v>
      </c>
      <c r="C195" s="2" t="s">
        <v>524</v>
      </c>
      <c r="D195" s="2" t="s">
        <v>11</v>
      </c>
      <c r="E195" s="2" t="s">
        <v>11</v>
      </c>
      <c r="F195" s="6" t="s">
        <v>11</v>
      </c>
      <c r="G195" s="2">
        <v>1</v>
      </c>
      <c r="H195" s="2" t="s">
        <v>523</v>
      </c>
      <c r="I195" s="2" t="s">
        <v>11</v>
      </c>
      <c r="J195" s="2" t="str">
        <f t="shared" ref="J195:J258" si="3">IF(OR(F195="",F195="_",LEFT(F195,5)="SPARE",F195="N/A"),"NO","YES")</f>
        <v>NO</v>
      </c>
      <c r="K195" s="2" t="e">
        <v>#N/A</v>
      </c>
    </row>
    <row r="196" spans="1:11" hidden="1" x14ac:dyDescent="0.3">
      <c r="A196" s="2" t="s">
        <v>242</v>
      </c>
      <c r="B196" s="2" t="s">
        <v>525</v>
      </c>
      <c r="C196" s="2" t="s">
        <v>526</v>
      </c>
      <c r="D196" s="2" t="s">
        <v>380</v>
      </c>
      <c r="E196" s="2" t="s">
        <v>527</v>
      </c>
      <c r="F196" s="6" t="s">
        <v>389</v>
      </c>
      <c r="G196" s="2">
        <v>1</v>
      </c>
      <c r="H196" s="2" t="s">
        <v>11</v>
      </c>
      <c r="I196" s="2" t="s">
        <v>528</v>
      </c>
      <c r="J196" s="2" t="str">
        <f t="shared" si="3"/>
        <v>NO</v>
      </c>
      <c r="K196" s="2" t="s">
        <v>973</v>
      </c>
    </row>
    <row r="197" spans="1:11" hidden="1" x14ac:dyDescent="0.3">
      <c r="A197" s="2" t="s">
        <v>242</v>
      </c>
      <c r="B197" s="2" t="s">
        <v>393</v>
      </c>
      <c r="C197" s="2" t="s">
        <v>394</v>
      </c>
      <c r="D197" s="2" t="s">
        <v>380</v>
      </c>
      <c r="E197" s="2" t="s">
        <v>395</v>
      </c>
      <c r="F197" s="6" t="s">
        <v>529</v>
      </c>
      <c r="G197" s="2">
        <v>1</v>
      </c>
      <c r="H197" s="2" t="s">
        <v>11</v>
      </c>
      <c r="I197" s="2" t="s">
        <v>530</v>
      </c>
      <c r="J197" s="2" t="str">
        <f t="shared" si="3"/>
        <v>YES</v>
      </c>
      <c r="K197" s="2" t="s">
        <v>529</v>
      </c>
    </row>
    <row r="198" spans="1:11" hidden="1" x14ac:dyDescent="0.3">
      <c r="A198" s="2" t="s">
        <v>242</v>
      </c>
      <c r="B198" s="2" t="s">
        <v>46</v>
      </c>
      <c r="C198" s="2" t="s">
        <v>39</v>
      </c>
      <c r="D198" s="2" t="s">
        <v>380</v>
      </c>
      <c r="E198" s="2" t="s">
        <v>47</v>
      </c>
      <c r="F198" s="21" t="s">
        <v>1038</v>
      </c>
      <c r="G198" s="2">
        <v>1</v>
      </c>
      <c r="H198" s="2" t="s">
        <v>11</v>
      </c>
      <c r="I198" s="2" t="s">
        <v>531</v>
      </c>
      <c r="J198" s="2" t="str">
        <f t="shared" si="3"/>
        <v>YES</v>
      </c>
      <c r="K198" s="21" t="s">
        <v>1038</v>
      </c>
    </row>
    <row r="199" spans="1:11" hidden="1" x14ac:dyDescent="0.3">
      <c r="A199" s="2" t="s">
        <v>242</v>
      </c>
      <c r="B199" s="2" t="s">
        <v>46</v>
      </c>
      <c r="C199" s="2" t="s">
        <v>39</v>
      </c>
      <c r="D199" s="2" t="s">
        <v>380</v>
      </c>
      <c r="E199" s="2" t="s">
        <v>47</v>
      </c>
      <c r="F199" s="21" t="s">
        <v>1037</v>
      </c>
      <c r="G199" s="2">
        <v>1</v>
      </c>
      <c r="H199" s="2" t="s">
        <v>11</v>
      </c>
      <c r="I199" s="2" t="s">
        <v>532</v>
      </c>
      <c r="J199" s="2" t="str">
        <f t="shared" si="3"/>
        <v>YES</v>
      </c>
      <c r="K199" s="21" t="s">
        <v>1037</v>
      </c>
    </row>
    <row r="200" spans="1:11" hidden="1" x14ac:dyDescent="0.3">
      <c r="A200" s="2" t="s">
        <v>242</v>
      </c>
      <c r="B200" s="2" t="s">
        <v>28</v>
      </c>
      <c r="C200" s="2" t="s">
        <v>18</v>
      </c>
      <c r="D200" s="2" t="s">
        <v>533</v>
      </c>
      <c r="E200" s="2" t="s">
        <v>29</v>
      </c>
      <c r="F200" s="6" t="s">
        <v>534</v>
      </c>
      <c r="G200" s="2">
        <v>1</v>
      </c>
      <c r="H200" s="2" t="s">
        <v>11</v>
      </c>
      <c r="I200" s="2" t="s">
        <v>535</v>
      </c>
      <c r="J200" s="2" t="str">
        <f t="shared" si="3"/>
        <v>YES</v>
      </c>
      <c r="K200" s="2" t="s">
        <v>534</v>
      </c>
    </row>
    <row r="201" spans="1:11" hidden="1" x14ac:dyDescent="0.3">
      <c r="A201" s="2" t="s">
        <v>242</v>
      </c>
      <c r="B201" s="2" t="s">
        <v>28</v>
      </c>
      <c r="C201" s="2" t="s">
        <v>18</v>
      </c>
      <c r="D201" s="2" t="s">
        <v>533</v>
      </c>
      <c r="E201" s="2" t="s">
        <v>29</v>
      </c>
      <c r="F201" s="6" t="s">
        <v>536</v>
      </c>
      <c r="G201" s="2">
        <v>1</v>
      </c>
      <c r="H201" s="2" t="s">
        <v>11</v>
      </c>
      <c r="I201" s="2" t="s">
        <v>537</v>
      </c>
      <c r="J201" s="2" t="str">
        <f t="shared" si="3"/>
        <v>YES</v>
      </c>
      <c r="K201" s="2" t="s">
        <v>536</v>
      </c>
    </row>
    <row r="202" spans="1:11" hidden="1" x14ac:dyDescent="0.3">
      <c r="A202" s="2" t="s">
        <v>242</v>
      </c>
      <c r="B202" s="2" t="s">
        <v>30</v>
      </c>
      <c r="C202" s="2" t="s">
        <v>18</v>
      </c>
      <c r="D202" s="2" t="s">
        <v>533</v>
      </c>
      <c r="E202" s="2" t="s">
        <v>31</v>
      </c>
      <c r="F202" s="6" t="s">
        <v>538</v>
      </c>
      <c r="G202" s="2">
        <v>1</v>
      </c>
      <c r="H202" s="2" t="s">
        <v>11</v>
      </c>
      <c r="I202" s="2" t="s">
        <v>539</v>
      </c>
      <c r="J202" s="2" t="str">
        <f t="shared" si="3"/>
        <v>YES</v>
      </c>
      <c r="K202" s="2" t="s">
        <v>538</v>
      </c>
    </row>
    <row r="203" spans="1:11" hidden="1" x14ac:dyDescent="0.3">
      <c r="A203" s="2" t="s">
        <v>242</v>
      </c>
      <c r="B203" s="2" t="s">
        <v>30</v>
      </c>
      <c r="C203" s="2" t="s">
        <v>18</v>
      </c>
      <c r="D203" s="2" t="s">
        <v>533</v>
      </c>
      <c r="E203" s="2" t="s">
        <v>31</v>
      </c>
      <c r="F203" s="6" t="s">
        <v>540</v>
      </c>
      <c r="G203" s="2">
        <v>1</v>
      </c>
      <c r="H203" s="2" t="s">
        <v>11</v>
      </c>
      <c r="I203" s="2" t="s">
        <v>541</v>
      </c>
      <c r="J203" s="2" t="str">
        <f t="shared" si="3"/>
        <v>YES</v>
      </c>
      <c r="K203" s="2" t="s">
        <v>540</v>
      </c>
    </row>
    <row r="204" spans="1:11" hidden="1" x14ac:dyDescent="0.3">
      <c r="A204" s="19" t="s">
        <v>242</v>
      </c>
      <c r="B204" s="2" t="s">
        <v>32</v>
      </c>
      <c r="C204" s="2" t="s">
        <v>18</v>
      </c>
      <c r="D204" s="2" t="s">
        <v>533</v>
      </c>
      <c r="E204" s="2" t="s">
        <v>33</v>
      </c>
      <c r="F204" s="21" t="s">
        <v>1024</v>
      </c>
      <c r="G204" s="2">
        <v>1</v>
      </c>
      <c r="H204" s="2" t="s">
        <v>11</v>
      </c>
      <c r="I204" s="2" t="s">
        <v>542</v>
      </c>
      <c r="J204" s="2" t="str">
        <f t="shared" si="3"/>
        <v>YES</v>
      </c>
      <c r="K204" s="2" t="s">
        <v>1024</v>
      </c>
    </row>
    <row r="205" spans="1:11" hidden="1" x14ac:dyDescent="0.3">
      <c r="A205" s="2" t="s">
        <v>543</v>
      </c>
      <c r="B205" s="2" t="s">
        <v>9</v>
      </c>
      <c r="C205" s="2" t="s">
        <v>10</v>
      </c>
      <c r="D205" s="2" t="s">
        <v>11</v>
      </c>
      <c r="E205" s="2" t="s">
        <v>11</v>
      </c>
      <c r="F205" s="6" t="s">
        <v>11</v>
      </c>
      <c r="G205" s="2">
        <v>1</v>
      </c>
      <c r="H205" s="2" t="s">
        <v>9</v>
      </c>
      <c r="I205" s="2" t="s">
        <v>11</v>
      </c>
      <c r="J205" s="2" t="str">
        <f t="shared" si="3"/>
        <v>NO</v>
      </c>
      <c r="K205" s="2" t="e">
        <f>VLOOKUP(F205,Munka1!A:A,1,0)</f>
        <v>#N/A</v>
      </c>
    </row>
    <row r="206" spans="1:11" hidden="1" x14ac:dyDescent="0.3">
      <c r="A206" s="2" t="s">
        <v>543</v>
      </c>
      <c r="B206" s="2" t="s">
        <v>12</v>
      </c>
      <c r="C206" s="2" t="s">
        <v>13</v>
      </c>
      <c r="D206" s="2" t="s">
        <v>14</v>
      </c>
      <c r="E206" s="2" t="s">
        <v>15</v>
      </c>
      <c r="F206" s="6" t="s">
        <v>544</v>
      </c>
      <c r="G206" s="2">
        <v>1</v>
      </c>
      <c r="H206" s="2" t="s">
        <v>9</v>
      </c>
      <c r="I206" s="2" t="s">
        <v>545</v>
      </c>
      <c r="J206" s="2" t="str">
        <f t="shared" si="3"/>
        <v>YES</v>
      </c>
      <c r="K206" s="2" t="str">
        <f>VLOOKUP(F206,Scan!A:A,1,0)</f>
        <v>CZJ8510C1C</v>
      </c>
    </row>
    <row r="207" spans="1:11" hidden="1" x14ac:dyDescent="0.3">
      <c r="A207" s="2" t="s">
        <v>543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546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  <c r="K207" s="2" t="str">
        <f>VLOOKUP(F207,Scan!A:A,1,0)</f>
        <v>7CR841N1WK</v>
      </c>
    </row>
    <row r="208" spans="1:11" hidden="1" x14ac:dyDescent="0.3">
      <c r="A208" s="2" t="s">
        <v>543</v>
      </c>
      <c r="B208" s="2" t="s">
        <v>17</v>
      </c>
      <c r="C208" s="2" t="s">
        <v>18</v>
      </c>
      <c r="D208" s="2" t="s">
        <v>14</v>
      </c>
      <c r="E208" s="2" t="s">
        <v>19</v>
      </c>
      <c r="F208" s="6" t="s">
        <v>547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  <c r="K208" s="2" t="str">
        <f>VLOOKUP(F208,Scan!A:A,1,0)</f>
        <v>7CR841N1WL</v>
      </c>
    </row>
    <row r="209" spans="1:11" hidden="1" x14ac:dyDescent="0.3">
      <c r="A209" s="2" t="s">
        <v>543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548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  <c r="K209" s="2" t="str">
        <f>VLOOKUP(F209,Scan!A:A,1,0)</f>
        <v>MY883701S8</v>
      </c>
    </row>
    <row r="210" spans="1:11" hidden="1" x14ac:dyDescent="0.3">
      <c r="A210" s="2" t="s">
        <v>543</v>
      </c>
      <c r="B210" s="2" t="s">
        <v>20</v>
      </c>
      <c r="C210" s="2" t="s">
        <v>18</v>
      </c>
      <c r="D210" s="2" t="s">
        <v>14</v>
      </c>
      <c r="E210" s="2" t="s">
        <v>21</v>
      </c>
      <c r="F210" s="6" t="s">
        <v>549</v>
      </c>
      <c r="G210" s="2">
        <v>1</v>
      </c>
      <c r="H210" s="2" t="s">
        <v>11</v>
      </c>
      <c r="I210" s="2" t="s">
        <v>11</v>
      </c>
      <c r="J210" s="2" t="str">
        <f t="shared" si="3"/>
        <v>YES</v>
      </c>
      <c r="K210" s="2" t="str">
        <f>VLOOKUP(F210,Scan!A:A,1,0)</f>
        <v>MY883701UL</v>
      </c>
    </row>
    <row r="211" spans="1:11" hidden="1" x14ac:dyDescent="0.3">
      <c r="A211" s="2" t="s">
        <v>543</v>
      </c>
      <c r="B211" s="2" t="s">
        <v>12</v>
      </c>
      <c r="C211" s="2" t="s">
        <v>13</v>
      </c>
      <c r="D211" s="2" t="s">
        <v>14</v>
      </c>
      <c r="E211" s="2" t="s">
        <v>15</v>
      </c>
      <c r="F211" s="6" t="s">
        <v>550</v>
      </c>
      <c r="G211" s="2">
        <v>1</v>
      </c>
      <c r="H211" s="2" t="s">
        <v>9</v>
      </c>
      <c r="I211" s="2" t="s">
        <v>551</v>
      </c>
      <c r="J211" s="2" t="str">
        <f t="shared" si="3"/>
        <v>YES</v>
      </c>
      <c r="K211" s="2" t="str">
        <f>VLOOKUP(F211,Scan!A:A,1,0)</f>
        <v>CZJ8510C1M</v>
      </c>
    </row>
    <row r="212" spans="1:11" hidden="1" x14ac:dyDescent="0.3">
      <c r="A212" s="2" t="s">
        <v>543</v>
      </c>
      <c r="B212" s="2" t="s">
        <v>17</v>
      </c>
      <c r="C212" s="2" t="s">
        <v>18</v>
      </c>
      <c r="D212" s="2" t="s">
        <v>14</v>
      </c>
      <c r="E212" s="2" t="s">
        <v>19</v>
      </c>
      <c r="F212" s="6" t="s">
        <v>552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  <c r="K212" s="2" t="str">
        <f>VLOOKUP(F212,Scan!A:A,1,0)</f>
        <v>7CR841N0NX</v>
      </c>
    </row>
    <row r="213" spans="1:11" hidden="1" x14ac:dyDescent="0.3">
      <c r="A213" s="2" t="s">
        <v>543</v>
      </c>
      <c r="B213" s="2" t="s">
        <v>17</v>
      </c>
      <c r="C213" s="2" t="s">
        <v>18</v>
      </c>
      <c r="D213" s="2" t="s">
        <v>14</v>
      </c>
      <c r="E213" s="2" t="s">
        <v>19</v>
      </c>
      <c r="F213" s="6" t="s">
        <v>553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  <c r="K213" s="2" t="str">
        <f>VLOOKUP(F213,Scan!A:A,1,0)</f>
        <v>7CR841N1W6</v>
      </c>
    </row>
    <row r="214" spans="1:11" hidden="1" x14ac:dyDescent="0.3">
      <c r="A214" s="2" t="s">
        <v>543</v>
      </c>
      <c r="B214" s="2" t="s">
        <v>20</v>
      </c>
      <c r="C214" s="2" t="s">
        <v>18</v>
      </c>
      <c r="D214" s="2" t="s">
        <v>14</v>
      </c>
      <c r="E214" s="2" t="s">
        <v>21</v>
      </c>
      <c r="F214" s="6" t="s">
        <v>554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  <c r="K214" s="2" t="str">
        <f>VLOOKUP(F214,Scan!A:A,1,0)</f>
        <v>MY883701RX</v>
      </c>
    </row>
    <row r="215" spans="1:11" hidden="1" x14ac:dyDescent="0.3">
      <c r="A215" s="2" t="s">
        <v>543</v>
      </c>
      <c r="B215" s="2" t="s">
        <v>20</v>
      </c>
      <c r="C215" s="2" t="s">
        <v>18</v>
      </c>
      <c r="D215" s="2" t="s">
        <v>14</v>
      </c>
      <c r="E215" s="2" t="s">
        <v>21</v>
      </c>
      <c r="F215" s="6" t="s">
        <v>555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  <c r="K215" s="2" t="str">
        <f>VLOOKUP(F215,Scan!A:A,1,0)</f>
        <v>MY883701UH</v>
      </c>
    </row>
    <row r="216" spans="1:11" hidden="1" x14ac:dyDescent="0.3">
      <c r="A216" s="2" t="s">
        <v>543</v>
      </c>
      <c r="B216" s="2" t="s">
        <v>23</v>
      </c>
      <c r="C216" s="2" t="s">
        <v>24</v>
      </c>
      <c r="D216" s="2" t="s">
        <v>25</v>
      </c>
      <c r="E216" s="2" t="s">
        <v>26</v>
      </c>
      <c r="F216" s="6" t="s">
        <v>556</v>
      </c>
      <c r="G216" s="2">
        <v>1</v>
      </c>
      <c r="H216" s="2" t="s">
        <v>9</v>
      </c>
      <c r="I216" s="2" t="s">
        <v>557</v>
      </c>
      <c r="J216" s="2" t="str">
        <f t="shared" si="3"/>
        <v>YES</v>
      </c>
      <c r="K216" s="2" t="str">
        <f>VLOOKUP(F216,Scan!A:A,1,0)</f>
        <v>FCW2247D0AC</v>
      </c>
    </row>
    <row r="217" spans="1:11" hidden="1" x14ac:dyDescent="0.3">
      <c r="A217" s="2" t="s">
        <v>543</v>
      </c>
      <c r="B217" s="2" t="s">
        <v>28</v>
      </c>
      <c r="C217" s="2" t="s">
        <v>18</v>
      </c>
      <c r="D217" s="2" t="s">
        <v>25</v>
      </c>
      <c r="E217" s="2" t="s">
        <v>29</v>
      </c>
      <c r="F217" s="21" t="s">
        <v>977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  <c r="K217" s="2" t="str">
        <f>VLOOKUP(F217,Scan!A:A,1,0)</f>
        <v>OPM22411UG9</v>
      </c>
    </row>
    <row r="218" spans="1:11" hidden="1" x14ac:dyDescent="0.3">
      <c r="A218" s="2" t="s">
        <v>543</v>
      </c>
      <c r="B218" s="2" t="s">
        <v>28</v>
      </c>
      <c r="C218" s="2" t="s">
        <v>18</v>
      </c>
      <c r="D218" s="2" t="s">
        <v>25</v>
      </c>
      <c r="E218" s="2" t="s">
        <v>29</v>
      </c>
      <c r="F218" s="21" t="s">
        <v>978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  <c r="K218" s="2" t="str">
        <f>VLOOKUP(F218,Scan!A:A,1,0)</f>
        <v>OPM22411UGJ</v>
      </c>
    </row>
    <row r="219" spans="1:11" hidden="1" x14ac:dyDescent="0.3">
      <c r="A219" s="2" t="s">
        <v>543</v>
      </c>
      <c r="B219" s="2" t="s">
        <v>28</v>
      </c>
      <c r="C219" s="2" t="s">
        <v>18</v>
      </c>
      <c r="D219" s="2" t="s">
        <v>25</v>
      </c>
      <c r="E219" s="2" t="s">
        <v>29</v>
      </c>
      <c r="F219" s="21" t="s">
        <v>979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  <c r="K219" s="2" t="e">
        <f>VLOOKUP(F219,Scan!A:A,1,0)</f>
        <v>#N/A</v>
      </c>
    </row>
    <row r="220" spans="1:11" hidden="1" x14ac:dyDescent="0.3">
      <c r="A220" s="2" t="s">
        <v>543</v>
      </c>
      <c r="B220" s="2" t="s">
        <v>28</v>
      </c>
      <c r="C220" s="2" t="s">
        <v>18</v>
      </c>
      <c r="D220" s="2" t="s">
        <v>25</v>
      </c>
      <c r="E220" s="2" t="s">
        <v>29</v>
      </c>
      <c r="F220" s="21" t="s">
        <v>976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  <c r="K220" s="2" t="str">
        <f>VLOOKUP(F220,Scan!A:A,1,0)</f>
        <v>OPM22411UGL</v>
      </c>
    </row>
    <row r="221" spans="1:11" hidden="1" x14ac:dyDescent="0.3">
      <c r="A221" s="2" t="s">
        <v>543</v>
      </c>
      <c r="B221" s="2" t="s">
        <v>28</v>
      </c>
      <c r="C221" s="2" t="s">
        <v>18</v>
      </c>
      <c r="D221" s="2" t="s">
        <v>25</v>
      </c>
      <c r="E221" s="2" t="s">
        <v>29</v>
      </c>
      <c r="F221" s="21" t="s">
        <v>980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  <c r="K221" s="2" t="str">
        <f>VLOOKUP(F221,Scan!A:A,1,0)</f>
        <v>OPM22411UGP</v>
      </c>
    </row>
    <row r="222" spans="1:11" hidden="1" x14ac:dyDescent="0.3">
      <c r="A222" s="2" t="s">
        <v>543</v>
      </c>
      <c r="B222" s="2" t="s">
        <v>30</v>
      </c>
      <c r="C222" s="2" t="s">
        <v>18</v>
      </c>
      <c r="D222" s="2" t="s">
        <v>25</v>
      </c>
      <c r="E222" s="2" t="s">
        <v>31</v>
      </c>
      <c r="F222" s="21" t="s">
        <v>981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  <c r="K222" s="2" t="str">
        <f>VLOOKUP(F222,Scan!A:A,1,0)</f>
        <v>OPM22390B7U</v>
      </c>
    </row>
    <row r="223" spans="1:11" hidden="1" x14ac:dyDescent="0.3">
      <c r="A223" s="2" t="s">
        <v>543</v>
      </c>
      <c r="B223" s="2" t="s">
        <v>30</v>
      </c>
      <c r="C223" s="2" t="s">
        <v>18</v>
      </c>
      <c r="D223" s="2" t="s">
        <v>25</v>
      </c>
      <c r="E223" s="2" t="s">
        <v>31</v>
      </c>
      <c r="F223" s="21" t="s">
        <v>982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  <c r="K223" s="2" t="str">
        <f>VLOOKUP(F223,Scan!A:A,1,0)</f>
        <v>OPM22390B9J</v>
      </c>
    </row>
    <row r="224" spans="1:11" hidden="1" x14ac:dyDescent="0.3">
      <c r="A224" s="2" t="s">
        <v>543</v>
      </c>
      <c r="B224" s="2" t="s">
        <v>30</v>
      </c>
      <c r="C224" s="2" t="s">
        <v>18</v>
      </c>
      <c r="D224" s="2" t="s">
        <v>25</v>
      </c>
      <c r="E224" s="2" t="s">
        <v>31</v>
      </c>
      <c r="F224" s="21" t="s">
        <v>983</v>
      </c>
      <c r="G224" s="2">
        <v>1</v>
      </c>
      <c r="H224" s="2" t="s">
        <v>11</v>
      </c>
      <c r="I224" s="2" t="s">
        <v>11</v>
      </c>
      <c r="J224" s="2" t="str">
        <f t="shared" si="3"/>
        <v>YES</v>
      </c>
      <c r="K224" s="2" t="str">
        <f>VLOOKUP(F224,Scan!A:A,1,0)</f>
        <v>OPM22390B9M</v>
      </c>
    </row>
    <row r="225" spans="1:11" hidden="1" x14ac:dyDescent="0.3">
      <c r="A225" s="2" t="s">
        <v>543</v>
      </c>
      <c r="B225" s="2" t="s">
        <v>32</v>
      </c>
      <c r="C225" s="2" t="s">
        <v>18</v>
      </c>
      <c r="D225" s="2" t="s">
        <v>25</v>
      </c>
      <c r="E225" s="2" t="s">
        <v>33</v>
      </c>
      <c r="F225" s="21" t="s">
        <v>993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  <c r="K225" s="2" t="str">
        <f>VLOOKUP(F225,Scan!A:A,1,0)</f>
        <v>MTC22380CB0</v>
      </c>
    </row>
    <row r="226" spans="1:11" hidden="1" x14ac:dyDescent="0.3">
      <c r="A226" s="2" t="s">
        <v>543</v>
      </c>
      <c r="B226" s="2" t="s">
        <v>32</v>
      </c>
      <c r="C226" s="2" t="s">
        <v>18</v>
      </c>
      <c r="D226" s="2" t="s">
        <v>25</v>
      </c>
      <c r="E226" s="2" t="s">
        <v>33</v>
      </c>
      <c r="F226" s="21" t="s">
        <v>992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  <c r="K226" s="2" t="str">
        <f>VLOOKUP(F226,Scan!A:A,1,0)</f>
        <v>MTC22380CB6</v>
      </c>
    </row>
    <row r="227" spans="1:11" hidden="1" x14ac:dyDescent="0.3">
      <c r="A227" s="2" t="s">
        <v>543</v>
      </c>
      <c r="B227" s="2" t="s">
        <v>32</v>
      </c>
      <c r="C227" s="2" t="s">
        <v>18</v>
      </c>
      <c r="D227" s="2" t="s">
        <v>25</v>
      </c>
      <c r="E227" s="2" t="s">
        <v>33</v>
      </c>
      <c r="F227" s="21" t="s">
        <v>994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  <c r="K227" s="2" t="str">
        <f>VLOOKUP(F227,Scan!A:A,1,0)</f>
        <v>MTC22380AY5</v>
      </c>
    </row>
    <row r="228" spans="1:11" hidden="1" x14ac:dyDescent="0.3">
      <c r="A228" s="2" t="s">
        <v>543</v>
      </c>
      <c r="B228" s="2" t="s">
        <v>32</v>
      </c>
      <c r="C228" s="2" t="s">
        <v>18</v>
      </c>
      <c r="D228" s="2" t="s">
        <v>25</v>
      </c>
      <c r="E228" s="2" t="s">
        <v>33</v>
      </c>
      <c r="F228" s="21" t="s">
        <v>995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  <c r="K228" s="2" t="str">
        <f>VLOOKUP(F228,Scan!A:A,1,0)</f>
        <v>MTC22380B9B</v>
      </c>
    </row>
    <row r="229" spans="1:11" hidden="1" x14ac:dyDescent="0.3">
      <c r="A229" s="2" t="s">
        <v>543</v>
      </c>
      <c r="B229" s="2" t="s">
        <v>23</v>
      </c>
      <c r="C229" s="2" t="s">
        <v>24</v>
      </c>
      <c r="D229" s="2" t="s">
        <v>25</v>
      </c>
      <c r="E229" s="2" t="s">
        <v>26</v>
      </c>
      <c r="F229" s="6" t="s">
        <v>558</v>
      </c>
      <c r="G229" s="2">
        <v>1</v>
      </c>
      <c r="H229" s="2" t="s">
        <v>9</v>
      </c>
      <c r="I229" s="2" t="s">
        <v>559</v>
      </c>
      <c r="J229" s="2" t="str">
        <f t="shared" si="3"/>
        <v>YES</v>
      </c>
      <c r="K229" s="2" t="str">
        <f>VLOOKUP(F229,Scan!A:A,1,0)</f>
        <v>FOC2247X096</v>
      </c>
    </row>
    <row r="230" spans="1:11" hidden="1" x14ac:dyDescent="0.3">
      <c r="A230" s="2" t="s">
        <v>543</v>
      </c>
      <c r="B230" s="2" t="s">
        <v>28</v>
      </c>
      <c r="C230" s="2" t="s">
        <v>18</v>
      </c>
      <c r="D230" s="2" t="s">
        <v>25</v>
      </c>
      <c r="E230" s="2" t="s">
        <v>29</v>
      </c>
      <c r="F230" s="21" t="s">
        <v>984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  <c r="K230" s="2" t="str">
        <f>VLOOKUP(F230,Scan!A:A,1,0)</f>
        <v>OPM22411SU3</v>
      </c>
    </row>
    <row r="231" spans="1:11" hidden="1" x14ac:dyDescent="0.3">
      <c r="A231" s="2" t="s">
        <v>543</v>
      </c>
      <c r="B231" s="2" t="s">
        <v>28</v>
      </c>
      <c r="C231" s="2" t="s">
        <v>18</v>
      </c>
      <c r="D231" s="2" t="s">
        <v>25</v>
      </c>
      <c r="E231" s="2" t="s">
        <v>29</v>
      </c>
      <c r="F231" s="21" t="s">
        <v>985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  <c r="K231" s="2" t="str">
        <f>VLOOKUP(F231,Scan!A:A,1,0)</f>
        <v>OPM22411SU5</v>
      </c>
    </row>
    <row r="232" spans="1:11" hidden="1" x14ac:dyDescent="0.3">
      <c r="A232" s="2" t="s">
        <v>543</v>
      </c>
      <c r="B232" s="2" t="s">
        <v>28</v>
      </c>
      <c r="C232" s="2" t="s">
        <v>18</v>
      </c>
      <c r="D232" s="2" t="s">
        <v>25</v>
      </c>
      <c r="E232" s="2" t="s">
        <v>29</v>
      </c>
      <c r="F232" s="21" t="s">
        <v>986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  <c r="K232" s="2" t="str">
        <f>VLOOKUP(F232,Scan!A:A,1,0)</f>
        <v>OPM22411SU7</v>
      </c>
    </row>
    <row r="233" spans="1:11" hidden="1" x14ac:dyDescent="0.3">
      <c r="A233" s="2" t="s">
        <v>543</v>
      </c>
      <c r="B233" s="2" t="s">
        <v>28</v>
      </c>
      <c r="C233" s="2" t="s">
        <v>18</v>
      </c>
      <c r="D233" s="2" t="s">
        <v>25</v>
      </c>
      <c r="E233" s="2" t="s">
        <v>29</v>
      </c>
      <c r="F233" s="21" t="s">
        <v>987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  <c r="K233" s="2" t="str">
        <f>VLOOKUP(F233,Scan!A:A,1,0)</f>
        <v>OPM22411SU8</v>
      </c>
    </row>
    <row r="234" spans="1:11" hidden="1" x14ac:dyDescent="0.3">
      <c r="A234" s="2" t="s">
        <v>543</v>
      </c>
      <c r="B234" s="2" t="s">
        <v>28</v>
      </c>
      <c r="C234" s="2" t="s">
        <v>18</v>
      </c>
      <c r="D234" s="2" t="s">
        <v>25</v>
      </c>
      <c r="E234" s="2" t="s">
        <v>29</v>
      </c>
      <c r="F234" s="21" t="s">
        <v>988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  <c r="K234" s="2" t="str">
        <f>VLOOKUP(F234,Scan!A:A,1,0)</f>
        <v>OPM22411SUL</v>
      </c>
    </row>
    <row r="235" spans="1:11" hidden="1" x14ac:dyDescent="0.3">
      <c r="A235" s="2" t="s">
        <v>543</v>
      </c>
      <c r="B235" s="2" t="s">
        <v>30</v>
      </c>
      <c r="C235" s="2" t="s">
        <v>18</v>
      </c>
      <c r="D235" s="2" t="s">
        <v>25</v>
      </c>
      <c r="E235" s="2" t="s">
        <v>31</v>
      </c>
      <c r="F235" s="21" t="s">
        <v>989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  <c r="K235" s="2" t="str">
        <f>VLOOKUP(F235,Scan!A:A,1,0)</f>
        <v>OPM22390B7X</v>
      </c>
    </row>
    <row r="236" spans="1:11" hidden="1" x14ac:dyDescent="0.3">
      <c r="A236" s="2" t="s">
        <v>543</v>
      </c>
      <c r="B236" s="2" t="s">
        <v>30</v>
      </c>
      <c r="C236" s="2" t="s">
        <v>18</v>
      </c>
      <c r="D236" s="2" t="s">
        <v>25</v>
      </c>
      <c r="E236" s="2" t="s">
        <v>31</v>
      </c>
      <c r="F236" s="21" t="s">
        <v>990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  <c r="K236" s="2" t="str">
        <f>VLOOKUP(F236,Scan!A:A,1,0)</f>
        <v>OPM22390B8G</v>
      </c>
    </row>
    <row r="237" spans="1:11" hidden="1" x14ac:dyDescent="0.3">
      <c r="A237" s="2" t="s">
        <v>543</v>
      </c>
      <c r="B237" s="2" t="s">
        <v>30</v>
      </c>
      <c r="C237" s="2" t="s">
        <v>18</v>
      </c>
      <c r="D237" s="2" t="s">
        <v>25</v>
      </c>
      <c r="E237" s="2" t="s">
        <v>31</v>
      </c>
      <c r="F237" s="21" t="s">
        <v>991</v>
      </c>
      <c r="G237" s="2">
        <v>1</v>
      </c>
      <c r="H237" s="2" t="s">
        <v>11</v>
      </c>
      <c r="I237" s="2" t="s">
        <v>11</v>
      </c>
      <c r="J237" s="2" t="str">
        <f t="shared" si="3"/>
        <v>YES</v>
      </c>
      <c r="K237" s="2" t="str">
        <f>VLOOKUP(F237,Scan!A:A,1,0)</f>
        <v>OPM22390BG1</v>
      </c>
    </row>
    <row r="238" spans="1:11" hidden="1" x14ac:dyDescent="0.3">
      <c r="A238" s="2" t="s">
        <v>543</v>
      </c>
      <c r="B238" s="2" t="s">
        <v>32</v>
      </c>
      <c r="C238" s="2" t="s">
        <v>18</v>
      </c>
      <c r="D238" s="2" t="s">
        <v>25</v>
      </c>
      <c r="E238" s="2" t="s">
        <v>33</v>
      </c>
      <c r="F238" s="21" t="s">
        <v>996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  <c r="K238" s="2" t="str">
        <f>VLOOKUP(F238,Scan!A:A,1,0)</f>
        <v>MTC22380AWU</v>
      </c>
    </row>
    <row r="239" spans="1:11" hidden="1" x14ac:dyDescent="0.3">
      <c r="A239" s="2" t="s">
        <v>543</v>
      </c>
      <c r="B239" s="2" t="s">
        <v>32</v>
      </c>
      <c r="C239" s="2" t="s">
        <v>18</v>
      </c>
      <c r="D239" s="2" t="s">
        <v>25</v>
      </c>
      <c r="E239" s="2" t="s">
        <v>33</v>
      </c>
      <c r="F239" s="21" t="s">
        <v>997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  <c r="K239" s="2" t="str">
        <f>VLOOKUP(F239,Scan!A:A,1,0)</f>
        <v>MTC22380BHK</v>
      </c>
    </row>
    <row r="240" spans="1:11" hidden="1" x14ac:dyDescent="0.3">
      <c r="A240" s="2" t="s">
        <v>543</v>
      </c>
      <c r="B240" s="2" t="s">
        <v>32</v>
      </c>
      <c r="C240" s="2" t="s">
        <v>18</v>
      </c>
      <c r="D240" s="2" t="s">
        <v>25</v>
      </c>
      <c r="E240" s="2" t="s">
        <v>33</v>
      </c>
      <c r="F240" s="21" t="s">
        <v>998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  <c r="K240" s="2" t="str">
        <f>VLOOKUP(F240,Scan!A:A,1,0)</f>
        <v>MTC22380AXR</v>
      </c>
    </row>
    <row r="241" spans="1:11" hidden="1" x14ac:dyDescent="0.3">
      <c r="A241" s="2" t="s">
        <v>543</v>
      </c>
      <c r="B241" s="2" t="s">
        <v>32</v>
      </c>
      <c r="C241" s="2" t="s">
        <v>18</v>
      </c>
      <c r="D241" s="2" t="s">
        <v>25</v>
      </c>
      <c r="E241" s="2" t="s">
        <v>33</v>
      </c>
      <c r="F241" s="21" t="s">
        <v>999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  <c r="K241" s="2" t="str">
        <f>VLOOKUP(F241,Scan!A:A,1,0)</f>
        <v>MTC223808K0</v>
      </c>
    </row>
    <row r="242" spans="1:11" hidden="1" x14ac:dyDescent="0.3">
      <c r="A242" s="2" t="s">
        <v>543</v>
      </c>
      <c r="B242" s="2" t="s">
        <v>35</v>
      </c>
      <c r="C242" s="2" t="s">
        <v>10</v>
      </c>
      <c r="D242" s="2" t="s">
        <v>11</v>
      </c>
      <c r="E242" s="2" t="s">
        <v>11</v>
      </c>
      <c r="F242" s="6" t="s">
        <v>11</v>
      </c>
      <c r="G242" s="2">
        <v>1</v>
      </c>
      <c r="H242" s="2" t="s">
        <v>35</v>
      </c>
      <c r="I242" s="2" t="s">
        <v>11</v>
      </c>
      <c r="J242" s="2" t="str">
        <f t="shared" si="3"/>
        <v>NO</v>
      </c>
      <c r="K242" s="6" t="s">
        <v>573</v>
      </c>
    </row>
    <row r="243" spans="1:11" hidden="1" x14ac:dyDescent="0.3">
      <c r="A243" s="2" t="s">
        <v>543</v>
      </c>
      <c r="B243" s="2" t="s">
        <v>12</v>
      </c>
      <c r="C243" s="2" t="s">
        <v>13</v>
      </c>
      <c r="D243" s="2" t="s">
        <v>14</v>
      </c>
      <c r="E243" s="2" t="s">
        <v>15</v>
      </c>
      <c r="F243" s="6" t="s">
        <v>560</v>
      </c>
      <c r="G243" s="2">
        <v>1</v>
      </c>
      <c r="H243" s="2" t="s">
        <v>35</v>
      </c>
      <c r="I243" s="2" t="s">
        <v>561</v>
      </c>
      <c r="J243" s="2" t="str">
        <f t="shared" si="3"/>
        <v>YES</v>
      </c>
      <c r="K243" s="6" t="s">
        <v>575</v>
      </c>
    </row>
    <row r="244" spans="1:11" hidden="1" x14ac:dyDescent="0.3">
      <c r="A244" s="2" t="s">
        <v>543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562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  <c r="K244" s="2" t="str">
        <f>VLOOKUP(F244,Scan!A:A,1,0)</f>
        <v>7CR841N1UB</v>
      </c>
    </row>
    <row r="245" spans="1:11" hidden="1" x14ac:dyDescent="0.3">
      <c r="A245" s="2" t="s">
        <v>543</v>
      </c>
      <c r="B245" s="2" t="s">
        <v>17</v>
      </c>
      <c r="C245" s="2" t="s">
        <v>18</v>
      </c>
      <c r="D245" s="2" t="s">
        <v>14</v>
      </c>
      <c r="E245" s="2" t="s">
        <v>19</v>
      </c>
      <c r="F245" s="6" t="s">
        <v>563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  <c r="K245" s="2" t="str">
        <f>VLOOKUP(F245,Scan!A:A,1,0)</f>
        <v>7CR841N1VW</v>
      </c>
    </row>
    <row r="246" spans="1:11" hidden="1" x14ac:dyDescent="0.3">
      <c r="A246" s="2" t="s">
        <v>543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564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  <c r="K246" s="2" t="str">
        <f>VLOOKUP(F246,Scan!A:A,1,0)</f>
        <v>MY883701UC</v>
      </c>
    </row>
    <row r="247" spans="1:11" hidden="1" x14ac:dyDescent="0.3">
      <c r="A247" s="2" t="s">
        <v>543</v>
      </c>
      <c r="B247" s="2" t="s">
        <v>20</v>
      </c>
      <c r="C247" s="2" t="s">
        <v>18</v>
      </c>
      <c r="D247" s="2" t="s">
        <v>14</v>
      </c>
      <c r="E247" s="2" t="s">
        <v>21</v>
      </c>
      <c r="F247" s="6" t="s">
        <v>565</v>
      </c>
      <c r="G247" s="2">
        <v>1</v>
      </c>
      <c r="H247" s="2" t="s">
        <v>11</v>
      </c>
      <c r="I247" s="2" t="s">
        <v>11</v>
      </c>
      <c r="J247" s="2" t="str">
        <f t="shared" si="3"/>
        <v>YES</v>
      </c>
      <c r="K247" s="2" t="str">
        <f>VLOOKUP(F247,Scan!A:A,1,0)</f>
        <v>MY883701UD</v>
      </c>
    </row>
    <row r="248" spans="1:11" hidden="1" x14ac:dyDescent="0.3">
      <c r="A248" s="2" t="s">
        <v>543</v>
      </c>
      <c r="B248" s="2" t="s">
        <v>12</v>
      </c>
      <c r="C248" s="2" t="s">
        <v>13</v>
      </c>
      <c r="D248" s="2" t="s">
        <v>14</v>
      </c>
      <c r="E248" s="2" t="s">
        <v>15</v>
      </c>
      <c r="F248" s="6" t="s">
        <v>566</v>
      </c>
      <c r="G248" s="2">
        <v>1</v>
      </c>
      <c r="H248" s="2" t="s">
        <v>35</v>
      </c>
      <c r="I248" s="2" t="s">
        <v>567</v>
      </c>
      <c r="J248" s="2" t="str">
        <f t="shared" si="3"/>
        <v>YES</v>
      </c>
      <c r="K248" s="2" t="str">
        <f>VLOOKUP(F248,Scan!A:A,1,0)</f>
        <v>CZJ8510C17</v>
      </c>
    </row>
    <row r="249" spans="1:11" hidden="1" x14ac:dyDescent="0.3">
      <c r="A249" s="2" t="s">
        <v>543</v>
      </c>
      <c r="B249" s="2" t="s">
        <v>17</v>
      </c>
      <c r="C249" s="2" t="s">
        <v>18</v>
      </c>
      <c r="D249" s="2" t="s">
        <v>14</v>
      </c>
      <c r="E249" s="2" t="s">
        <v>19</v>
      </c>
      <c r="F249" s="6" t="s">
        <v>568</v>
      </c>
      <c r="G249" s="2">
        <v>1</v>
      </c>
      <c r="H249" s="2" t="s">
        <v>11</v>
      </c>
      <c r="I249" s="2" t="s">
        <v>11</v>
      </c>
      <c r="J249" s="2" t="str">
        <f t="shared" si="3"/>
        <v>YES</v>
      </c>
      <c r="K249" s="2" t="str">
        <f>VLOOKUP(F249,Scan!A:A,1,0)</f>
        <v>7CR841N1VZ</v>
      </c>
    </row>
    <row r="250" spans="1:11" hidden="1" x14ac:dyDescent="0.3">
      <c r="A250" s="2" t="s">
        <v>543</v>
      </c>
      <c r="B250" s="2" t="s">
        <v>17</v>
      </c>
      <c r="C250" s="2" t="s">
        <v>18</v>
      </c>
      <c r="D250" s="2" t="s">
        <v>14</v>
      </c>
      <c r="E250" s="2" t="s">
        <v>19</v>
      </c>
      <c r="F250" s="6" t="s">
        <v>569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  <c r="K250" s="2" t="str">
        <f>VLOOKUP(F250,Scan!A:A,1,0)</f>
        <v>7CR841N1WH</v>
      </c>
    </row>
    <row r="251" spans="1:11" hidden="1" x14ac:dyDescent="0.3">
      <c r="A251" s="2" t="s">
        <v>543</v>
      </c>
      <c r="B251" s="2" t="s">
        <v>20</v>
      </c>
      <c r="C251" s="2" t="s">
        <v>18</v>
      </c>
      <c r="D251" s="2" t="s">
        <v>14</v>
      </c>
      <c r="E251" s="2" t="s">
        <v>21</v>
      </c>
      <c r="F251" s="6" t="s">
        <v>570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  <c r="K251" s="2" t="str">
        <f>VLOOKUP(F251,Scan!A:A,1,0)</f>
        <v>MY884805UV</v>
      </c>
    </row>
    <row r="252" spans="1:11" hidden="1" x14ac:dyDescent="0.3">
      <c r="A252" s="2" t="s">
        <v>543</v>
      </c>
      <c r="B252" s="2" t="s">
        <v>20</v>
      </c>
      <c r="C252" s="2" t="s">
        <v>18</v>
      </c>
      <c r="D252" s="2" t="s">
        <v>14</v>
      </c>
      <c r="E252" s="2" t="s">
        <v>21</v>
      </c>
      <c r="F252" s="6" t="s">
        <v>571</v>
      </c>
      <c r="G252" s="2">
        <v>1</v>
      </c>
      <c r="H252" s="2" t="s">
        <v>11</v>
      </c>
      <c r="I252" s="2" t="s">
        <v>11</v>
      </c>
      <c r="J252" s="2" t="str">
        <f t="shared" si="3"/>
        <v>YES</v>
      </c>
      <c r="K252" s="2" t="str">
        <f>VLOOKUP(F252,Scan!A:A,1,0)</f>
        <v>MY884805PC</v>
      </c>
    </row>
    <row r="253" spans="1:11" hidden="1" x14ac:dyDescent="0.3">
      <c r="A253" s="2" t="s">
        <v>543</v>
      </c>
      <c r="B253" s="2" t="s">
        <v>38</v>
      </c>
      <c r="C253" s="2" t="s">
        <v>39</v>
      </c>
      <c r="D253" s="2" t="s">
        <v>14</v>
      </c>
      <c r="E253" s="2" t="s">
        <v>572</v>
      </c>
      <c r="F253" s="6" t="s">
        <v>573</v>
      </c>
      <c r="G253" s="2">
        <v>1</v>
      </c>
      <c r="H253" s="2" t="s">
        <v>574</v>
      </c>
      <c r="I253" s="2" t="s">
        <v>11</v>
      </c>
      <c r="J253" s="2" t="str">
        <f t="shared" si="3"/>
        <v>YES</v>
      </c>
      <c r="K253" s="6" t="s">
        <v>575</v>
      </c>
    </row>
    <row r="254" spans="1:11" hidden="1" x14ac:dyDescent="0.3">
      <c r="A254" s="2" t="s">
        <v>543</v>
      </c>
      <c r="B254" s="2" t="s">
        <v>38</v>
      </c>
      <c r="C254" s="2" t="s">
        <v>39</v>
      </c>
      <c r="D254" s="2" t="s">
        <v>14</v>
      </c>
      <c r="E254" s="2" t="s">
        <v>572</v>
      </c>
      <c r="F254" s="6" t="s">
        <v>575</v>
      </c>
      <c r="G254" s="2">
        <v>1</v>
      </c>
      <c r="H254" s="2" t="s">
        <v>576</v>
      </c>
      <c r="I254" s="2" t="s">
        <v>11</v>
      </c>
      <c r="J254" s="2" t="str">
        <f t="shared" si="3"/>
        <v>YES</v>
      </c>
      <c r="K254" s="2" t="e">
        <f>VLOOKUP(F254,Scan!A:A,1,0)</f>
        <v>#N/A</v>
      </c>
    </row>
    <row r="255" spans="1:11" hidden="1" x14ac:dyDescent="0.3">
      <c r="A255" s="2" t="s">
        <v>543</v>
      </c>
      <c r="B255" s="2" t="s">
        <v>40</v>
      </c>
      <c r="C255" s="2" t="s">
        <v>41</v>
      </c>
      <c r="D255" s="2" t="s">
        <v>14</v>
      </c>
      <c r="E255" s="2" t="s">
        <v>42</v>
      </c>
      <c r="F255" s="6" t="s">
        <v>577</v>
      </c>
      <c r="G255" s="2">
        <v>1</v>
      </c>
      <c r="H255" s="2" t="s">
        <v>35</v>
      </c>
      <c r="I255" s="2" t="s">
        <v>578</v>
      </c>
      <c r="J255" s="2" t="str">
        <f t="shared" si="3"/>
        <v>YES</v>
      </c>
      <c r="K255" s="2" t="str">
        <f>VLOOKUP(F255,Scan!A:A,1,0)</f>
        <v>2S6849B200</v>
      </c>
    </row>
    <row r="256" spans="1:11" hidden="1" x14ac:dyDescent="0.3">
      <c r="A256" s="2" t="s">
        <v>543</v>
      </c>
      <c r="B256" s="2" t="s">
        <v>44</v>
      </c>
      <c r="C256" s="2" t="s">
        <v>41</v>
      </c>
      <c r="D256" s="2" t="s">
        <v>14</v>
      </c>
      <c r="E256" s="2" t="s">
        <v>45</v>
      </c>
      <c r="F256" s="6" t="s">
        <v>579</v>
      </c>
      <c r="G256" s="2">
        <v>1</v>
      </c>
      <c r="H256" s="2" t="s">
        <v>11</v>
      </c>
      <c r="I256" s="2" t="s">
        <v>11</v>
      </c>
      <c r="J256" s="2" t="str">
        <f t="shared" si="3"/>
        <v>YES</v>
      </c>
      <c r="K256" s="2" t="str">
        <f>VLOOKUP(F256,Scan!A:A,1,0)</f>
        <v>7CE847M249</v>
      </c>
    </row>
    <row r="257" spans="1:11" hidden="1" x14ac:dyDescent="0.3">
      <c r="A257" s="2" t="s">
        <v>543</v>
      </c>
      <c r="B257" s="2" t="s">
        <v>44</v>
      </c>
      <c r="C257" s="2" t="s">
        <v>41</v>
      </c>
      <c r="D257" s="2" t="s">
        <v>14</v>
      </c>
      <c r="E257" s="2" t="s">
        <v>45</v>
      </c>
      <c r="F257" s="6" t="s">
        <v>580</v>
      </c>
      <c r="G257" s="2">
        <v>1</v>
      </c>
      <c r="H257" s="2" t="s">
        <v>11</v>
      </c>
      <c r="I257" s="2" t="s">
        <v>11</v>
      </c>
      <c r="J257" s="2" t="str">
        <f t="shared" si="3"/>
        <v>YES</v>
      </c>
      <c r="K257" s="2" t="str">
        <f>VLOOKUP(F257,Scan!A:A,1,0)</f>
        <v>7CE847M256</v>
      </c>
    </row>
    <row r="258" spans="1:11" hidden="1" x14ac:dyDescent="0.3">
      <c r="A258" s="2" t="s">
        <v>543</v>
      </c>
      <c r="B258" s="2" t="s">
        <v>46</v>
      </c>
      <c r="C258" s="2" t="s">
        <v>39</v>
      </c>
      <c r="D258" s="2" t="s">
        <v>14</v>
      </c>
      <c r="E258" s="2" t="s">
        <v>47</v>
      </c>
      <c r="F258" s="6" t="s">
        <v>581</v>
      </c>
      <c r="G258" s="2">
        <v>1</v>
      </c>
      <c r="H258" s="2" t="s">
        <v>582</v>
      </c>
      <c r="I258" s="2" t="s">
        <v>11</v>
      </c>
      <c r="J258" s="2" t="str">
        <f t="shared" si="3"/>
        <v>YES</v>
      </c>
      <c r="K258" s="2" t="e">
        <f>VLOOKUP(F258,Scan!A:A,1,0)</f>
        <v>#N/A</v>
      </c>
    </row>
    <row r="259" spans="1:11" hidden="1" x14ac:dyDescent="0.3">
      <c r="A259" s="2" t="s">
        <v>543</v>
      </c>
      <c r="B259" s="2" t="s">
        <v>46</v>
      </c>
      <c r="C259" s="2" t="s">
        <v>39</v>
      </c>
      <c r="D259" s="2" t="s">
        <v>14</v>
      </c>
      <c r="E259" s="2" t="s">
        <v>47</v>
      </c>
      <c r="F259" s="6" t="s">
        <v>583</v>
      </c>
      <c r="G259" s="2">
        <v>1</v>
      </c>
      <c r="H259" s="2" t="s">
        <v>584</v>
      </c>
      <c r="I259" s="2" t="s">
        <v>11</v>
      </c>
      <c r="J259" s="2" t="str">
        <f t="shared" ref="J259:J322" si="4">IF(OR(F259="",F259="_",LEFT(F259,5)="SPARE",F259="N/A"),"NO","YES")</f>
        <v>YES</v>
      </c>
      <c r="K259" s="2" t="e">
        <f>VLOOKUP(F259,Scan!A:A,1,0)</f>
        <v>#N/A</v>
      </c>
    </row>
    <row r="260" spans="1:11" hidden="1" x14ac:dyDescent="0.3">
      <c r="A260" s="2" t="s">
        <v>543</v>
      </c>
      <c r="B260" s="2" t="s">
        <v>46</v>
      </c>
      <c r="C260" s="2" t="s">
        <v>39</v>
      </c>
      <c r="D260" s="2" t="s">
        <v>14</v>
      </c>
      <c r="E260" s="2" t="s">
        <v>47</v>
      </c>
      <c r="F260" s="6" t="s">
        <v>585</v>
      </c>
      <c r="G260" s="2">
        <v>1</v>
      </c>
      <c r="H260" s="2" t="s">
        <v>586</v>
      </c>
      <c r="I260" s="2" t="s">
        <v>11</v>
      </c>
      <c r="J260" s="2" t="str">
        <f t="shared" si="4"/>
        <v>YES</v>
      </c>
      <c r="K260" s="2" t="e">
        <f>VLOOKUP(F260,Scan!A:A,1,0)</f>
        <v>#N/A</v>
      </c>
    </row>
    <row r="261" spans="1:11" hidden="1" x14ac:dyDescent="0.3">
      <c r="A261" s="2" t="s">
        <v>543</v>
      </c>
      <c r="B261" s="2" t="s">
        <v>46</v>
      </c>
      <c r="C261" s="2" t="s">
        <v>39</v>
      </c>
      <c r="D261" s="2" t="s">
        <v>14</v>
      </c>
      <c r="E261" s="2" t="s">
        <v>47</v>
      </c>
      <c r="F261" s="6" t="s">
        <v>587</v>
      </c>
      <c r="G261" s="2">
        <v>1</v>
      </c>
      <c r="H261" s="2" t="s">
        <v>588</v>
      </c>
      <c r="I261" s="2" t="s">
        <v>11</v>
      </c>
      <c r="J261" s="2" t="str">
        <f t="shared" si="4"/>
        <v>YES</v>
      </c>
      <c r="K261" s="2" t="e">
        <f>VLOOKUP(F261,Scan!A:A,1,0)</f>
        <v>#N/A</v>
      </c>
    </row>
    <row r="262" spans="1:11" hidden="1" x14ac:dyDescent="0.3">
      <c r="A262" s="2" t="s">
        <v>543</v>
      </c>
      <c r="B262" s="2" t="s">
        <v>46</v>
      </c>
      <c r="C262" s="2" t="s">
        <v>39</v>
      </c>
      <c r="D262" s="2" t="s">
        <v>14</v>
      </c>
      <c r="E262" s="2" t="s">
        <v>47</v>
      </c>
      <c r="F262" s="6" t="s">
        <v>589</v>
      </c>
      <c r="G262" s="2">
        <v>1</v>
      </c>
      <c r="H262" s="2" t="s">
        <v>590</v>
      </c>
      <c r="I262" s="2" t="s">
        <v>11</v>
      </c>
      <c r="J262" s="2" t="str">
        <f t="shared" si="4"/>
        <v>YES</v>
      </c>
      <c r="K262" s="2" t="e">
        <f>VLOOKUP(F262,Scan!A:A,1,0)</f>
        <v>#N/A</v>
      </c>
    </row>
    <row r="263" spans="1:11" hidden="1" x14ac:dyDescent="0.3">
      <c r="A263" s="2" t="s">
        <v>543</v>
      </c>
      <c r="B263" s="2" t="s">
        <v>46</v>
      </c>
      <c r="C263" s="2" t="s">
        <v>39</v>
      </c>
      <c r="D263" s="2" t="s">
        <v>14</v>
      </c>
      <c r="E263" s="2" t="s">
        <v>47</v>
      </c>
      <c r="F263" s="6" t="s">
        <v>591</v>
      </c>
      <c r="G263" s="2">
        <v>1</v>
      </c>
      <c r="H263" s="2" t="s">
        <v>592</v>
      </c>
      <c r="I263" s="2" t="s">
        <v>11</v>
      </c>
      <c r="J263" s="2" t="str">
        <f t="shared" si="4"/>
        <v>YES</v>
      </c>
      <c r="K263" s="2" t="e">
        <f>VLOOKUP(F263,Scan!A:A,1,0)</f>
        <v>#N/A</v>
      </c>
    </row>
    <row r="264" spans="1:11" hidden="1" x14ac:dyDescent="0.3">
      <c r="A264" s="2" t="s">
        <v>543</v>
      </c>
      <c r="B264" s="2" t="s">
        <v>46</v>
      </c>
      <c r="C264" s="2" t="s">
        <v>39</v>
      </c>
      <c r="D264" s="2" t="s">
        <v>14</v>
      </c>
      <c r="E264" s="2" t="s">
        <v>47</v>
      </c>
      <c r="F264" s="6" t="s">
        <v>593</v>
      </c>
      <c r="G264" s="2">
        <v>1</v>
      </c>
      <c r="H264" s="2" t="s">
        <v>594</v>
      </c>
      <c r="I264" s="2" t="s">
        <v>11</v>
      </c>
      <c r="J264" s="2" t="str">
        <f t="shared" si="4"/>
        <v>YES</v>
      </c>
      <c r="K264" s="2" t="e">
        <f>VLOOKUP(F264,Scan!A:A,1,0)</f>
        <v>#N/A</v>
      </c>
    </row>
    <row r="265" spans="1:11" hidden="1" x14ac:dyDescent="0.3">
      <c r="A265" s="2" t="s">
        <v>543</v>
      </c>
      <c r="B265" s="2" t="s">
        <v>46</v>
      </c>
      <c r="C265" s="2" t="s">
        <v>39</v>
      </c>
      <c r="D265" s="2" t="s">
        <v>14</v>
      </c>
      <c r="E265" s="2" t="s">
        <v>47</v>
      </c>
      <c r="F265" s="6" t="s">
        <v>595</v>
      </c>
      <c r="G265" s="2">
        <v>1</v>
      </c>
      <c r="H265" s="2" t="s">
        <v>596</v>
      </c>
      <c r="I265" s="2" t="s">
        <v>11</v>
      </c>
      <c r="J265" s="2" t="str">
        <f t="shared" si="4"/>
        <v>YES</v>
      </c>
      <c r="K265" s="2" t="e">
        <f>VLOOKUP(F265,Scan!A:A,1,0)</f>
        <v>#N/A</v>
      </c>
    </row>
    <row r="266" spans="1:11" hidden="1" x14ac:dyDescent="0.3">
      <c r="A266" s="2" t="s">
        <v>543</v>
      </c>
      <c r="B266" s="2" t="s">
        <v>46</v>
      </c>
      <c r="C266" s="2" t="s">
        <v>39</v>
      </c>
      <c r="D266" s="2" t="s">
        <v>14</v>
      </c>
      <c r="E266" s="2" t="s">
        <v>47</v>
      </c>
      <c r="F266" s="6" t="s">
        <v>597</v>
      </c>
      <c r="G266" s="2">
        <v>1</v>
      </c>
      <c r="H266" s="2" t="s">
        <v>598</v>
      </c>
      <c r="I266" s="2" t="s">
        <v>11</v>
      </c>
      <c r="J266" s="2" t="str">
        <f t="shared" si="4"/>
        <v>YES</v>
      </c>
      <c r="K266" s="2" t="e">
        <f>VLOOKUP(F266,Scan!A:A,1,0)</f>
        <v>#N/A</v>
      </c>
    </row>
    <row r="267" spans="1:11" hidden="1" x14ac:dyDescent="0.3">
      <c r="A267" s="2" t="s">
        <v>543</v>
      </c>
      <c r="B267" s="2" t="s">
        <v>46</v>
      </c>
      <c r="C267" s="2" t="s">
        <v>39</v>
      </c>
      <c r="D267" s="2" t="s">
        <v>14</v>
      </c>
      <c r="E267" s="2" t="s">
        <v>47</v>
      </c>
      <c r="F267" s="6" t="s">
        <v>599</v>
      </c>
      <c r="G267" s="2">
        <v>1</v>
      </c>
      <c r="H267" s="2" t="s">
        <v>600</v>
      </c>
      <c r="I267" s="2" t="s">
        <v>11</v>
      </c>
      <c r="J267" s="2" t="str">
        <f t="shared" si="4"/>
        <v>YES</v>
      </c>
      <c r="K267" s="2" t="e">
        <f>VLOOKUP(F267,Scan!A:A,1,0)</f>
        <v>#N/A</v>
      </c>
    </row>
    <row r="268" spans="1:11" hidden="1" x14ac:dyDescent="0.3">
      <c r="A268" s="2" t="s">
        <v>543</v>
      </c>
      <c r="B268" s="2" t="s">
        <v>46</v>
      </c>
      <c r="C268" s="2" t="s">
        <v>39</v>
      </c>
      <c r="D268" s="2" t="s">
        <v>14</v>
      </c>
      <c r="E268" s="2" t="s">
        <v>47</v>
      </c>
      <c r="F268" s="6" t="s">
        <v>601</v>
      </c>
      <c r="G268" s="2">
        <v>1</v>
      </c>
      <c r="H268" s="2" t="s">
        <v>602</v>
      </c>
      <c r="I268" s="2" t="s">
        <v>11</v>
      </c>
      <c r="J268" s="2" t="str">
        <f t="shared" si="4"/>
        <v>YES</v>
      </c>
      <c r="K268" s="2" t="e">
        <f>VLOOKUP(F268,Scan!A:A,1,0)</f>
        <v>#N/A</v>
      </c>
    </row>
    <row r="269" spans="1:11" hidden="1" x14ac:dyDescent="0.3">
      <c r="A269" s="2" t="s">
        <v>543</v>
      </c>
      <c r="B269" s="2" t="s">
        <v>46</v>
      </c>
      <c r="C269" s="2" t="s">
        <v>39</v>
      </c>
      <c r="D269" s="2" t="s">
        <v>14</v>
      </c>
      <c r="E269" s="2" t="s">
        <v>47</v>
      </c>
      <c r="F269" s="6" t="s">
        <v>603</v>
      </c>
      <c r="G269" s="2">
        <v>1</v>
      </c>
      <c r="H269" s="2" t="s">
        <v>604</v>
      </c>
      <c r="I269" s="2" t="s">
        <v>11</v>
      </c>
      <c r="J269" s="2" t="str">
        <f t="shared" si="4"/>
        <v>YES</v>
      </c>
      <c r="K269" s="2" t="e">
        <f>VLOOKUP(F269,Scan!A:A,1,0)</f>
        <v>#N/A</v>
      </c>
    </row>
    <row r="270" spans="1:11" hidden="1" x14ac:dyDescent="0.3">
      <c r="A270" s="2" t="s">
        <v>543</v>
      </c>
      <c r="B270" s="2" t="s">
        <v>48</v>
      </c>
      <c r="C270" s="2" t="s">
        <v>18</v>
      </c>
      <c r="D270" s="2" t="s">
        <v>14</v>
      </c>
      <c r="E270" s="2" t="s">
        <v>49</v>
      </c>
      <c r="F270" s="6" t="s">
        <v>605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  <c r="K270" s="2" t="str">
        <f>VLOOKUP(F270,Scan!A:A,1,0)</f>
        <v>MY884204T3</v>
      </c>
    </row>
    <row r="271" spans="1:11" hidden="1" x14ac:dyDescent="0.3">
      <c r="A271" s="2" t="s">
        <v>543</v>
      </c>
      <c r="B271" s="2" t="s">
        <v>48</v>
      </c>
      <c r="C271" s="2" t="s">
        <v>18</v>
      </c>
      <c r="D271" s="2" t="s">
        <v>14</v>
      </c>
      <c r="E271" s="2" t="s">
        <v>49</v>
      </c>
      <c r="F271" s="6" t="s">
        <v>606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  <c r="K271" s="2" t="str">
        <f>VLOOKUP(F271,Scan!A:A,1,0)</f>
        <v>MY884204FU</v>
      </c>
    </row>
    <row r="272" spans="1:11" hidden="1" x14ac:dyDescent="0.3">
      <c r="A272" s="2" t="s">
        <v>543</v>
      </c>
      <c r="B272" s="2" t="s">
        <v>48</v>
      </c>
      <c r="C272" s="2" t="s">
        <v>18</v>
      </c>
      <c r="D272" s="2" t="s">
        <v>14</v>
      </c>
      <c r="E272" s="2" t="s">
        <v>49</v>
      </c>
      <c r="F272" s="6" t="s">
        <v>607</v>
      </c>
      <c r="G272" s="2">
        <v>1</v>
      </c>
      <c r="H272" s="2" t="s">
        <v>11</v>
      </c>
      <c r="I272" s="2" t="s">
        <v>11</v>
      </c>
      <c r="J272" s="2" t="str">
        <f t="shared" si="4"/>
        <v>YES</v>
      </c>
      <c r="K272" s="2" t="str">
        <f>VLOOKUP(F272,Scan!A:A,1,0)</f>
        <v>MY884201PP</v>
      </c>
    </row>
    <row r="273" spans="1:11" hidden="1" x14ac:dyDescent="0.3">
      <c r="A273" s="2" t="s">
        <v>543</v>
      </c>
      <c r="B273" s="2" t="s">
        <v>48</v>
      </c>
      <c r="C273" s="2" t="s">
        <v>18</v>
      </c>
      <c r="D273" s="2" t="s">
        <v>14</v>
      </c>
      <c r="E273" s="2" t="s">
        <v>49</v>
      </c>
      <c r="F273" s="6" t="s">
        <v>608</v>
      </c>
      <c r="G273" s="2">
        <v>1</v>
      </c>
      <c r="H273" s="2" t="s">
        <v>11</v>
      </c>
      <c r="I273" s="2" t="s">
        <v>11</v>
      </c>
      <c r="J273" s="2" t="str">
        <f t="shared" si="4"/>
        <v>YES</v>
      </c>
      <c r="K273" s="2" t="str">
        <f>VLOOKUP(F273,Scan!A:A,1,0)</f>
        <v>MY884201N9</v>
      </c>
    </row>
    <row r="274" spans="1:11" hidden="1" x14ac:dyDescent="0.3">
      <c r="A274" s="2" t="s">
        <v>543</v>
      </c>
      <c r="B274" s="2" t="s">
        <v>48</v>
      </c>
      <c r="C274" s="2" t="s">
        <v>18</v>
      </c>
      <c r="D274" s="2" t="s">
        <v>14</v>
      </c>
      <c r="E274" s="2" t="s">
        <v>49</v>
      </c>
      <c r="F274" s="6" t="s">
        <v>609</v>
      </c>
      <c r="G274" s="2">
        <v>1</v>
      </c>
      <c r="H274" s="2" t="s">
        <v>11</v>
      </c>
      <c r="I274" s="2" t="s">
        <v>11</v>
      </c>
      <c r="J274" s="2" t="str">
        <f t="shared" si="4"/>
        <v>YES</v>
      </c>
      <c r="K274" s="2" t="str">
        <f>VLOOKUP(F274,Scan!A:A,1,0)</f>
        <v>MY884204ZQ</v>
      </c>
    </row>
    <row r="275" spans="1:11" hidden="1" x14ac:dyDescent="0.3">
      <c r="A275" s="2" t="s">
        <v>543</v>
      </c>
      <c r="B275" s="2" t="s">
        <v>48</v>
      </c>
      <c r="C275" s="2" t="s">
        <v>18</v>
      </c>
      <c r="D275" s="2" t="s">
        <v>14</v>
      </c>
      <c r="E275" s="2" t="s">
        <v>49</v>
      </c>
      <c r="F275" s="6" t="s">
        <v>610</v>
      </c>
      <c r="G275" s="2">
        <v>1</v>
      </c>
      <c r="H275" s="2" t="s">
        <v>11</v>
      </c>
      <c r="I275" s="2" t="s">
        <v>11</v>
      </c>
      <c r="J275" s="2" t="str">
        <f t="shared" si="4"/>
        <v>YES</v>
      </c>
      <c r="K275" s="2" t="str">
        <f>VLOOKUP(F275,Scan!A:A,1,0)</f>
        <v>MY884302B7</v>
      </c>
    </row>
    <row r="276" spans="1:11" hidden="1" x14ac:dyDescent="0.3">
      <c r="A276" s="2" t="s">
        <v>543</v>
      </c>
      <c r="B276" s="2" t="s">
        <v>48</v>
      </c>
      <c r="C276" s="2" t="s">
        <v>18</v>
      </c>
      <c r="D276" s="2" t="s">
        <v>14</v>
      </c>
      <c r="E276" s="2" t="s">
        <v>49</v>
      </c>
      <c r="F276" s="6" t="s">
        <v>611</v>
      </c>
      <c r="G276" s="2">
        <v>1</v>
      </c>
      <c r="H276" s="2" t="s">
        <v>11</v>
      </c>
      <c r="I276" s="2" t="s">
        <v>11</v>
      </c>
      <c r="J276" s="2" t="str">
        <f t="shared" si="4"/>
        <v>YES</v>
      </c>
      <c r="K276" s="2" t="str">
        <f>VLOOKUP(F276,Scan!A:A,1,0)</f>
        <v>MY884201PE</v>
      </c>
    </row>
    <row r="277" spans="1:11" hidden="1" x14ac:dyDescent="0.3">
      <c r="A277" s="2" t="s">
        <v>543</v>
      </c>
      <c r="B277" s="2" t="s">
        <v>48</v>
      </c>
      <c r="C277" s="2" t="s">
        <v>18</v>
      </c>
      <c r="D277" s="2" t="s">
        <v>14</v>
      </c>
      <c r="E277" s="2" t="s">
        <v>49</v>
      </c>
      <c r="F277" s="6" t="s">
        <v>612</v>
      </c>
      <c r="G277" s="2">
        <v>1</v>
      </c>
      <c r="H277" s="2" t="s">
        <v>11</v>
      </c>
      <c r="I277" s="2" t="s">
        <v>11</v>
      </c>
      <c r="J277" s="2" t="str">
        <f t="shared" si="4"/>
        <v>YES</v>
      </c>
      <c r="K277" s="2" t="str">
        <f>VLOOKUP(F277,Scan!A:A,1,0)</f>
        <v>MY884201CG</v>
      </c>
    </row>
    <row r="278" spans="1:11" hidden="1" x14ac:dyDescent="0.3">
      <c r="A278" s="2" t="s">
        <v>543</v>
      </c>
      <c r="B278" s="2" t="s">
        <v>50</v>
      </c>
      <c r="C278" s="2" t="s">
        <v>10</v>
      </c>
      <c r="D278" s="2" t="s">
        <v>11</v>
      </c>
      <c r="E278" s="2" t="s">
        <v>11</v>
      </c>
      <c r="F278" s="6" t="s">
        <v>11</v>
      </c>
      <c r="G278" s="2">
        <v>1</v>
      </c>
      <c r="H278" s="2" t="s">
        <v>50</v>
      </c>
      <c r="I278" s="2" t="s">
        <v>11</v>
      </c>
      <c r="J278" s="2" t="str">
        <f t="shared" si="4"/>
        <v>NO</v>
      </c>
      <c r="K278" s="2" t="e">
        <f>VLOOKUP(F278,Munka1!A:A,1,0)</f>
        <v>#N/A</v>
      </c>
    </row>
    <row r="279" spans="1:11" hidden="1" x14ac:dyDescent="0.3">
      <c r="A279" s="2" t="s">
        <v>543</v>
      </c>
      <c r="B279" s="2" t="s">
        <v>51</v>
      </c>
      <c r="C279" s="2" t="s">
        <v>52</v>
      </c>
      <c r="D279" s="2" t="s">
        <v>53</v>
      </c>
      <c r="E279" s="2" t="s">
        <v>54</v>
      </c>
      <c r="F279" s="6" t="s">
        <v>613</v>
      </c>
      <c r="G279" s="2">
        <v>1</v>
      </c>
      <c r="H279" s="2" t="s">
        <v>50</v>
      </c>
      <c r="I279" s="2" t="s">
        <v>614</v>
      </c>
      <c r="J279" s="2" t="str">
        <f t="shared" si="4"/>
        <v>YES</v>
      </c>
      <c r="K279" s="2" t="str">
        <f>VLOOKUP(F279,Scan!A:A,1,0)</f>
        <v>0814292</v>
      </c>
    </row>
    <row r="280" spans="1:11" hidden="1" x14ac:dyDescent="0.3">
      <c r="A280" s="2" t="s">
        <v>543</v>
      </c>
      <c r="B280" s="2" t="s">
        <v>56</v>
      </c>
      <c r="C280" s="2" t="s">
        <v>57</v>
      </c>
      <c r="D280" s="2" t="s">
        <v>14</v>
      </c>
      <c r="E280" s="2" t="s">
        <v>58</v>
      </c>
      <c r="F280" s="6" t="s">
        <v>615</v>
      </c>
      <c r="G280" s="2">
        <v>1</v>
      </c>
      <c r="H280" s="2" t="s">
        <v>50</v>
      </c>
      <c r="I280" s="2" t="s">
        <v>616</v>
      </c>
      <c r="J280" s="2" t="str">
        <f t="shared" si="4"/>
        <v>YES</v>
      </c>
      <c r="K280" s="2" t="str">
        <f>VLOOKUP(F280,Scan!A:A,1,0)</f>
        <v>ACC8390056</v>
      </c>
    </row>
    <row r="281" spans="1:11" hidden="1" x14ac:dyDescent="0.3">
      <c r="A281" s="2" t="s">
        <v>543</v>
      </c>
      <c r="B281" s="2" t="s">
        <v>617</v>
      </c>
      <c r="C281" s="2" t="s">
        <v>61</v>
      </c>
      <c r="D281" s="2" t="s">
        <v>11</v>
      </c>
      <c r="E281" s="2" t="s">
        <v>11</v>
      </c>
      <c r="F281" s="6" t="s">
        <v>11</v>
      </c>
      <c r="G281" s="2">
        <v>1</v>
      </c>
      <c r="H281" s="2" t="s">
        <v>617</v>
      </c>
      <c r="I281" s="2" t="s">
        <v>11</v>
      </c>
      <c r="J281" s="2" t="str">
        <f t="shared" si="4"/>
        <v>NO</v>
      </c>
      <c r="K281" s="2" t="e">
        <f>VLOOKUP(F281,Munka1!A:A,1,0)</f>
        <v>#N/A</v>
      </c>
    </row>
    <row r="282" spans="1:11" hidden="1" x14ac:dyDescent="0.3">
      <c r="A282" s="2" t="s">
        <v>543</v>
      </c>
      <c r="B282" s="2" t="s">
        <v>378</v>
      </c>
      <c r="C282" s="2" t="s">
        <v>379</v>
      </c>
      <c r="D282" s="2" t="s">
        <v>380</v>
      </c>
      <c r="E282" s="2" t="s">
        <v>381</v>
      </c>
      <c r="F282" s="6" t="s">
        <v>618</v>
      </c>
      <c r="H282" s="2" t="s">
        <v>11</v>
      </c>
      <c r="I282" s="2" t="s">
        <v>11</v>
      </c>
      <c r="J282" s="2" t="str">
        <f t="shared" si="4"/>
        <v>YES</v>
      </c>
      <c r="K282" s="2" t="e">
        <f>VLOOKUP(F282,Scan!A:A,1,0)</f>
        <v>#N/A</v>
      </c>
    </row>
    <row r="283" spans="1:11" hidden="1" x14ac:dyDescent="0.3">
      <c r="A283" s="2" t="s">
        <v>543</v>
      </c>
      <c r="B283" s="2" t="s">
        <v>383</v>
      </c>
      <c r="C283" s="2" t="s">
        <v>384</v>
      </c>
      <c r="D283" s="2" t="s">
        <v>380</v>
      </c>
      <c r="E283" s="2" t="s">
        <v>385</v>
      </c>
      <c r="F283" s="6" t="s">
        <v>619</v>
      </c>
      <c r="H283" s="2" t="s">
        <v>11</v>
      </c>
      <c r="I283" s="2" t="s">
        <v>11</v>
      </c>
      <c r="J283" s="2" t="str">
        <f t="shared" si="4"/>
        <v>YES</v>
      </c>
      <c r="K283" s="2" t="e">
        <f>VLOOKUP(F283,Scan!A:A,1,0)</f>
        <v>#N/A</v>
      </c>
    </row>
    <row r="284" spans="1:11" hidden="1" x14ac:dyDescent="0.3">
      <c r="A284" s="2" t="s">
        <v>543</v>
      </c>
      <c r="B284" s="2" t="s">
        <v>387</v>
      </c>
      <c r="C284" s="2" t="s">
        <v>388</v>
      </c>
      <c r="D284" s="2" t="s">
        <v>380</v>
      </c>
      <c r="E284" s="2" t="s">
        <v>388</v>
      </c>
      <c r="F284" s="6" t="s">
        <v>389</v>
      </c>
      <c r="G284" s="2">
        <v>1</v>
      </c>
      <c r="H284" s="2" t="s">
        <v>11</v>
      </c>
      <c r="I284" s="2" t="s">
        <v>11</v>
      </c>
      <c r="J284" s="2" t="str">
        <f t="shared" si="4"/>
        <v>NO</v>
      </c>
      <c r="K284" s="2" t="e">
        <f>VLOOKUP(F284,Scan!A:A,1,0)</f>
        <v>#N/A</v>
      </c>
    </row>
    <row r="285" spans="1:11" hidden="1" x14ac:dyDescent="0.3">
      <c r="A285" s="2" t="s">
        <v>543</v>
      </c>
      <c r="B285" s="2" t="s">
        <v>387</v>
      </c>
      <c r="C285" s="2" t="s">
        <v>388</v>
      </c>
      <c r="D285" s="2" t="s">
        <v>380</v>
      </c>
      <c r="E285" s="2" t="s">
        <v>388</v>
      </c>
      <c r="F285" s="6" t="s">
        <v>389</v>
      </c>
      <c r="G285" s="2">
        <v>1</v>
      </c>
      <c r="H285" s="2" t="s">
        <v>11</v>
      </c>
      <c r="I285" s="2" t="s">
        <v>11</v>
      </c>
      <c r="J285" s="2" t="str">
        <f t="shared" si="4"/>
        <v>NO</v>
      </c>
      <c r="K285" s="2" t="e">
        <f>VLOOKUP(F285,Scan!A:A,1,0)</f>
        <v>#N/A</v>
      </c>
    </row>
    <row r="286" spans="1:11" hidden="1" x14ac:dyDescent="0.3">
      <c r="A286" s="2" t="s">
        <v>543</v>
      </c>
      <c r="B286" s="2" t="s">
        <v>62</v>
      </c>
      <c r="C286" s="2" t="s">
        <v>63</v>
      </c>
      <c r="D286" s="2" t="s">
        <v>64</v>
      </c>
      <c r="E286" s="2" t="s">
        <v>65</v>
      </c>
      <c r="F286" s="6" t="s">
        <v>620</v>
      </c>
      <c r="G286" s="2">
        <v>1</v>
      </c>
      <c r="H286" s="2" t="s">
        <v>621</v>
      </c>
      <c r="I286" s="2" t="s">
        <v>622</v>
      </c>
      <c r="J286" s="2" t="str">
        <f t="shared" si="4"/>
        <v>YES</v>
      </c>
      <c r="K286" s="2" t="str">
        <f>VLOOKUP(F286,Scan!A:A,1,0)</f>
        <v>2019.01.3204</v>
      </c>
    </row>
    <row r="287" spans="1:11" hidden="1" x14ac:dyDescent="0.3">
      <c r="A287" s="2" t="s">
        <v>543</v>
      </c>
      <c r="B287" s="2" t="s">
        <v>393</v>
      </c>
      <c r="C287" s="2" t="s">
        <v>394</v>
      </c>
      <c r="D287" s="2" t="s">
        <v>380</v>
      </c>
      <c r="E287" s="2" t="s">
        <v>395</v>
      </c>
      <c r="F287" s="6" t="s">
        <v>1080</v>
      </c>
      <c r="G287" s="2">
        <v>1</v>
      </c>
      <c r="H287" s="2" t="s">
        <v>622</v>
      </c>
      <c r="I287" s="2" t="s">
        <v>11</v>
      </c>
      <c r="J287" s="2" t="str">
        <f t="shared" si="4"/>
        <v>YES</v>
      </c>
      <c r="K287" s="2" t="e">
        <f>VLOOKUP(F287,Munka1!A:A,1,0)</f>
        <v>#N/A</v>
      </c>
    </row>
    <row r="288" spans="1:11" hidden="1" x14ac:dyDescent="0.3">
      <c r="A288" s="2" t="s">
        <v>543</v>
      </c>
      <c r="B288" s="2" t="s">
        <v>623</v>
      </c>
      <c r="C288" s="2" t="s">
        <v>624</v>
      </c>
      <c r="D288" s="2" t="s">
        <v>380</v>
      </c>
      <c r="E288" s="2" t="s">
        <v>625</v>
      </c>
      <c r="F288" s="6" t="s">
        <v>1079</v>
      </c>
      <c r="G288" s="2">
        <v>1</v>
      </c>
      <c r="H288" s="2" t="s">
        <v>622</v>
      </c>
      <c r="I288" s="2" t="s">
        <v>11</v>
      </c>
      <c r="J288" s="2" t="str">
        <f t="shared" si="4"/>
        <v>YES</v>
      </c>
      <c r="K288" s="2" t="e">
        <f>VLOOKUP(F288,Munka1!A:A,1,0)</f>
        <v>#N/A</v>
      </c>
    </row>
    <row r="289" spans="1:11" hidden="1" x14ac:dyDescent="0.3">
      <c r="A289" s="2" t="s">
        <v>543</v>
      </c>
      <c r="B289" s="2" t="s">
        <v>396</v>
      </c>
      <c r="C289" s="2" t="s">
        <v>397</v>
      </c>
      <c r="D289" s="2" t="s">
        <v>64</v>
      </c>
      <c r="E289" s="2" t="s">
        <v>398</v>
      </c>
      <c r="F289" s="6" t="s">
        <v>626</v>
      </c>
      <c r="G289" s="2">
        <v>1</v>
      </c>
      <c r="H289" s="2" t="s">
        <v>622</v>
      </c>
      <c r="I289" s="2" t="s">
        <v>11</v>
      </c>
      <c r="J289" s="2" t="str">
        <f t="shared" si="4"/>
        <v>YES</v>
      </c>
      <c r="K289" s="2" t="str">
        <f>VLOOKUP(F289,Scan!A:A,1,0)</f>
        <v>2019.01.3268</v>
      </c>
    </row>
    <row r="290" spans="1:11" hidden="1" x14ac:dyDescent="0.3">
      <c r="A290" s="2" t="s">
        <v>543</v>
      </c>
      <c r="B290" s="2" t="s">
        <v>400</v>
      </c>
      <c r="C290" s="2" t="s">
        <v>401</v>
      </c>
      <c r="D290" s="2" t="s">
        <v>64</v>
      </c>
      <c r="E290" s="2" t="s">
        <v>402</v>
      </c>
      <c r="F290" s="6" t="s">
        <v>389</v>
      </c>
      <c r="G290" s="2">
        <v>1</v>
      </c>
      <c r="H290" s="2" t="s">
        <v>622</v>
      </c>
      <c r="I290" s="2" t="s">
        <v>11</v>
      </c>
      <c r="J290" s="2" t="str">
        <f t="shared" si="4"/>
        <v>NO</v>
      </c>
      <c r="K290" s="2" t="e">
        <f>VLOOKUP(F290,Scan!A:A,1,0)</f>
        <v>#N/A</v>
      </c>
    </row>
    <row r="291" spans="1:11" hidden="1" x14ac:dyDescent="0.3">
      <c r="A291" s="2" t="s">
        <v>543</v>
      </c>
      <c r="B291" s="2" t="s">
        <v>407</v>
      </c>
      <c r="C291" s="2" t="s">
        <v>408</v>
      </c>
      <c r="D291" s="2" t="s">
        <v>64</v>
      </c>
      <c r="E291" s="2" t="s">
        <v>409</v>
      </c>
      <c r="F291" s="6" t="s">
        <v>627</v>
      </c>
      <c r="G291" s="2">
        <v>1</v>
      </c>
      <c r="H291" s="2" t="s">
        <v>622</v>
      </c>
      <c r="I291" s="2" t="s">
        <v>11</v>
      </c>
      <c r="J291" s="2" t="str">
        <f t="shared" si="4"/>
        <v>YES</v>
      </c>
      <c r="K291" s="2" t="str">
        <f>VLOOKUP(F291,Scan!A:A,1,0)</f>
        <v>2019.01.3088</v>
      </c>
    </row>
    <row r="292" spans="1:11" hidden="1" x14ac:dyDescent="0.3">
      <c r="A292" s="2" t="s">
        <v>543</v>
      </c>
      <c r="B292" s="2" t="s">
        <v>67</v>
      </c>
      <c r="C292" s="2" t="s">
        <v>68</v>
      </c>
      <c r="D292" s="2" t="s">
        <v>64</v>
      </c>
      <c r="E292" s="2" t="s">
        <v>69</v>
      </c>
      <c r="F292" s="6" t="s">
        <v>628</v>
      </c>
      <c r="G292" s="2">
        <v>1</v>
      </c>
      <c r="H292" s="2" t="s">
        <v>622</v>
      </c>
      <c r="I292" s="2" t="s">
        <v>629</v>
      </c>
      <c r="J292" s="2" t="str">
        <f t="shared" si="4"/>
        <v>YES</v>
      </c>
      <c r="K292" s="2" t="str">
        <f>VLOOKUP(F292,Scan!A:A,1,0)</f>
        <v>2019.01.3529</v>
      </c>
    </row>
    <row r="293" spans="1:11" hidden="1" x14ac:dyDescent="0.3">
      <c r="A293" s="2" t="s">
        <v>543</v>
      </c>
      <c r="B293" s="2" t="s">
        <v>67</v>
      </c>
      <c r="C293" s="2" t="s">
        <v>68</v>
      </c>
      <c r="D293" s="2" t="s">
        <v>64</v>
      </c>
      <c r="E293" s="2" t="s">
        <v>69</v>
      </c>
      <c r="F293" s="6" t="s">
        <v>630</v>
      </c>
      <c r="G293" s="2">
        <v>1</v>
      </c>
      <c r="H293" s="2" t="s">
        <v>622</v>
      </c>
      <c r="I293" s="2" t="s">
        <v>631</v>
      </c>
      <c r="J293" s="2" t="str">
        <f t="shared" si="4"/>
        <v>YES</v>
      </c>
      <c r="K293" s="2" t="str">
        <f>VLOOKUP(F293,Scan!A:A,1,0)</f>
        <v>2019.01.3530</v>
      </c>
    </row>
    <row r="294" spans="1:11" hidden="1" x14ac:dyDescent="0.3">
      <c r="A294" s="2" t="s">
        <v>543</v>
      </c>
      <c r="B294" s="2" t="s">
        <v>632</v>
      </c>
      <c r="C294" s="2" t="s">
        <v>633</v>
      </c>
      <c r="D294" s="2" t="s">
        <v>64</v>
      </c>
      <c r="E294" s="2" t="s">
        <v>385</v>
      </c>
      <c r="F294" s="6" t="s">
        <v>634</v>
      </c>
      <c r="H294" s="2" t="s">
        <v>622</v>
      </c>
      <c r="I294" s="2" t="s">
        <v>11</v>
      </c>
      <c r="J294" s="2" t="str">
        <f t="shared" si="4"/>
        <v>YES</v>
      </c>
      <c r="K294" s="2" t="str">
        <f>VLOOKUP(F294,Scan!A:A,1,0)</f>
        <v>2019.01.3118</v>
      </c>
    </row>
    <row r="295" spans="1:11" hidden="1" x14ac:dyDescent="0.3">
      <c r="A295" s="2" t="s">
        <v>543</v>
      </c>
      <c r="B295" s="2" t="s">
        <v>632</v>
      </c>
      <c r="C295" s="2" t="s">
        <v>633</v>
      </c>
      <c r="D295" s="2" t="s">
        <v>64</v>
      </c>
      <c r="E295" s="2" t="s">
        <v>385</v>
      </c>
      <c r="F295" s="6" t="s">
        <v>635</v>
      </c>
      <c r="H295" s="2" t="s">
        <v>622</v>
      </c>
      <c r="I295" s="2" t="s">
        <v>11</v>
      </c>
      <c r="J295" s="2" t="str">
        <f t="shared" si="4"/>
        <v>YES</v>
      </c>
      <c r="K295" s="2" t="str">
        <f>VLOOKUP(F295,Scan!A:A,1,0)</f>
        <v>2019.01.3117</v>
      </c>
    </row>
    <row r="296" spans="1:11" hidden="1" x14ac:dyDescent="0.3">
      <c r="A296" s="2" t="s">
        <v>543</v>
      </c>
      <c r="B296" s="2" t="s">
        <v>62</v>
      </c>
      <c r="C296" s="2" t="s">
        <v>63</v>
      </c>
      <c r="D296" s="2" t="s">
        <v>64</v>
      </c>
      <c r="E296" s="2" t="s">
        <v>65</v>
      </c>
      <c r="F296" s="6" t="s">
        <v>636</v>
      </c>
      <c r="G296" s="2">
        <v>1</v>
      </c>
      <c r="H296" s="2" t="s">
        <v>417</v>
      </c>
      <c r="I296" s="2" t="s">
        <v>637</v>
      </c>
      <c r="J296" s="2" t="str">
        <f t="shared" si="4"/>
        <v>YES</v>
      </c>
      <c r="K296" s="2" t="str">
        <f>VLOOKUP(F296,Scan!A:A,1,0)</f>
        <v>2019.01.3175</v>
      </c>
    </row>
    <row r="297" spans="1:11" hidden="1" x14ac:dyDescent="0.3">
      <c r="A297" s="2" t="s">
        <v>543</v>
      </c>
      <c r="B297" s="2" t="s">
        <v>393</v>
      </c>
      <c r="C297" s="2" t="s">
        <v>394</v>
      </c>
      <c r="D297" s="2" t="s">
        <v>380</v>
      </c>
      <c r="E297" s="2" t="s">
        <v>395</v>
      </c>
      <c r="F297" s="6" t="s">
        <v>1078</v>
      </c>
      <c r="G297" s="2">
        <v>1</v>
      </c>
      <c r="H297" s="2" t="s">
        <v>637</v>
      </c>
      <c r="I297" s="2" t="s">
        <v>11</v>
      </c>
      <c r="J297" s="2" t="str">
        <f t="shared" si="4"/>
        <v>YES</v>
      </c>
      <c r="K297" s="2" t="e">
        <f>VLOOKUP(F297,Munka1!A:A,1,0)</f>
        <v>#N/A</v>
      </c>
    </row>
    <row r="298" spans="1:11" hidden="1" x14ac:dyDescent="0.3">
      <c r="A298" s="2" t="s">
        <v>543</v>
      </c>
      <c r="B298" s="2" t="s">
        <v>396</v>
      </c>
      <c r="C298" s="2" t="s">
        <v>397</v>
      </c>
      <c r="D298" s="2" t="s">
        <v>64</v>
      </c>
      <c r="E298" s="2" t="s">
        <v>398</v>
      </c>
      <c r="F298" s="6" t="s">
        <v>638</v>
      </c>
      <c r="G298" s="2">
        <v>1</v>
      </c>
      <c r="H298" s="2" t="s">
        <v>637</v>
      </c>
      <c r="I298" s="2" t="s">
        <v>11</v>
      </c>
      <c r="J298" s="2" t="str">
        <f t="shared" si="4"/>
        <v>YES</v>
      </c>
      <c r="K298" s="2" t="str">
        <f>VLOOKUP(F298,Scan!A:A,1,0)</f>
        <v>2019.01.3239</v>
      </c>
    </row>
    <row r="299" spans="1:11" hidden="1" x14ac:dyDescent="0.3">
      <c r="A299" s="2" t="s">
        <v>543</v>
      </c>
      <c r="B299" s="2" t="s">
        <v>400</v>
      </c>
      <c r="C299" s="2" t="s">
        <v>401</v>
      </c>
      <c r="D299" s="2" t="s">
        <v>64</v>
      </c>
      <c r="E299" s="2" t="s">
        <v>402</v>
      </c>
      <c r="F299" s="6" t="s">
        <v>389</v>
      </c>
      <c r="G299" s="2">
        <v>1</v>
      </c>
      <c r="H299" s="2" t="s">
        <v>637</v>
      </c>
      <c r="I299" s="2" t="s">
        <v>11</v>
      </c>
      <c r="J299" s="2" t="str">
        <f t="shared" si="4"/>
        <v>NO</v>
      </c>
      <c r="K299" s="2" t="e">
        <f>VLOOKUP(F299,Scan!A:A,1,0)</f>
        <v>#N/A</v>
      </c>
    </row>
    <row r="300" spans="1:11" hidden="1" x14ac:dyDescent="0.3">
      <c r="A300" s="2" t="s">
        <v>543</v>
      </c>
      <c r="B300" s="2" t="s">
        <v>403</v>
      </c>
      <c r="C300" s="2" t="s">
        <v>404</v>
      </c>
      <c r="D300" s="2" t="s">
        <v>64</v>
      </c>
      <c r="E300" s="2" t="s">
        <v>405</v>
      </c>
      <c r="F300" s="6" t="s">
        <v>639</v>
      </c>
      <c r="G300" s="2">
        <v>1</v>
      </c>
      <c r="H300" s="2" t="s">
        <v>637</v>
      </c>
      <c r="I300" s="2" t="s">
        <v>11</v>
      </c>
      <c r="J300" s="2" t="str">
        <f t="shared" si="4"/>
        <v>YES</v>
      </c>
      <c r="K300" s="2" t="str">
        <f>VLOOKUP(F300,Scan!A:A,1,0)</f>
        <v>2019.01.3012</v>
      </c>
    </row>
    <row r="301" spans="1:11" hidden="1" x14ac:dyDescent="0.3">
      <c r="A301" s="2" t="s">
        <v>543</v>
      </c>
      <c r="B301" s="2" t="s">
        <v>407</v>
      </c>
      <c r="C301" s="2" t="s">
        <v>408</v>
      </c>
      <c r="D301" s="2" t="s">
        <v>64</v>
      </c>
      <c r="E301" s="2" t="s">
        <v>409</v>
      </c>
      <c r="F301" s="6" t="s">
        <v>640</v>
      </c>
      <c r="G301" s="2">
        <v>1</v>
      </c>
      <c r="H301" s="2" t="s">
        <v>637</v>
      </c>
      <c r="I301" s="2" t="s">
        <v>11</v>
      </c>
      <c r="J301" s="2" t="str">
        <f t="shared" si="4"/>
        <v>YES</v>
      </c>
      <c r="K301" s="2" t="str">
        <f>VLOOKUP(F301,Scan!A:A,1,0)</f>
        <v>2019.01.3087</v>
      </c>
    </row>
    <row r="302" spans="1:11" hidden="1" x14ac:dyDescent="0.3">
      <c r="A302" s="2" t="s">
        <v>543</v>
      </c>
      <c r="B302" s="2" t="s">
        <v>67</v>
      </c>
      <c r="C302" s="2" t="s">
        <v>68</v>
      </c>
      <c r="D302" s="2" t="s">
        <v>64</v>
      </c>
      <c r="E302" s="2" t="s">
        <v>69</v>
      </c>
      <c r="F302" s="6" t="s">
        <v>641</v>
      </c>
      <c r="G302" s="2">
        <v>1</v>
      </c>
      <c r="H302" s="2" t="s">
        <v>637</v>
      </c>
      <c r="I302" s="2" t="s">
        <v>642</v>
      </c>
      <c r="J302" s="2" t="str">
        <f t="shared" si="4"/>
        <v>YES</v>
      </c>
      <c r="K302" s="2" t="str">
        <f>VLOOKUP(F302,Scan!A:A,1,0)</f>
        <v>2019.01.3531</v>
      </c>
    </row>
    <row r="303" spans="1:11" hidden="1" x14ac:dyDescent="0.3">
      <c r="A303" s="2" t="s">
        <v>543</v>
      </c>
      <c r="B303" s="2" t="s">
        <v>67</v>
      </c>
      <c r="C303" s="2" t="s">
        <v>68</v>
      </c>
      <c r="D303" s="2" t="s">
        <v>64</v>
      </c>
      <c r="E303" s="2" t="s">
        <v>69</v>
      </c>
      <c r="F303" s="6" t="s">
        <v>643</v>
      </c>
      <c r="G303" s="2">
        <v>1</v>
      </c>
      <c r="H303" s="2" t="s">
        <v>637</v>
      </c>
      <c r="I303" s="2" t="s">
        <v>644</v>
      </c>
      <c r="J303" s="2" t="str">
        <f t="shared" si="4"/>
        <v>YES</v>
      </c>
      <c r="K303" s="2" t="str">
        <f>VLOOKUP(F303,Scan!A:A,1,0)</f>
        <v>2019.01.3532</v>
      </c>
    </row>
    <row r="304" spans="1:11" hidden="1" x14ac:dyDescent="0.3">
      <c r="A304" s="2" t="s">
        <v>543</v>
      </c>
      <c r="B304" s="2" t="s">
        <v>645</v>
      </c>
      <c r="C304" s="2" t="s">
        <v>76</v>
      </c>
      <c r="D304" s="2" t="s">
        <v>11</v>
      </c>
      <c r="E304" s="2" t="s">
        <v>11</v>
      </c>
      <c r="F304" s="6" t="s">
        <v>11</v>
      </c>
      <c r="G304" s="2">
        <v>1</v>
      </c>
      <c r="H304" s="2" t="s">
        <v>645</v>
      </c>
      <c r="I304" s="2" t="s">
        <v>11</v>
      </c>
      <c r="J304" s="2" t="str">
        <f t="shared" si="4"/>
        <v>NO</v>
      </c>
      <c r="K304" s="2" t="e">
        <f>VLOOKUP(F304,Munka1!A:A,1,0)</f>
        <v>#N/A</v>
      </c>
    </row>
    <row r="305" spans="1:11" hidden="1" x14ac:dyDescent="0.3">
      <c r="A305" s="2" t="s">
        <v>543</v>
      </c>
      <c r="B305" s="2" t="s">
        <v>62</v>
      </c>
      <c r="C305" s="2" t="s">
        <v>63</v>
      </c>
      <c r="D305" s="2" t="s">
        <v>64</v>
      </c>
      <c r="E305" s="2" t="s">
        <v>65</v>
      </c>
      <c r="F305" s="6" t="s">
        <v>646</v>
      </c>
      <c r="G305" s="2">
        <v>1</v>
      </c>
      <c r="H305" s="2" t="s">
        <v>417</v>
      </c>
      <c r="I305" s="2" t="s">
        <v>647</v>
      </c>
      <c r="J305" s="2" t="str">
        <f t="shared" si="4"/>
        <v>YES</v>
      </c>
      <c r="K305" s="2" t="str">
        <f>VLOOKUP(F305,Scan!A:A,1,0)</f>
        <v>2019.01.3176</v>
      </c>
    </row>
    <row r="306" spans="1:11" hidden="1" x14ac:dyDescent="0.3">
      <c r="A306" s="2" t="s">
        <v>543</v>
      </c>
      <c r="B306" s="2" t="s">
        <v>393</v>
      </c>
      <c r="C306" s="2" t="s">
        <v>394</v>
      </c>
      <c r="D306" s="2" t="s">
        <v>380</v>
      </c>
      <c r="E306" s="2" t="s">
        <v>395</v>
      </c>
      <c r="F306" s="6" t="s">
        <v>1076</v>
      </c>
      <c r="G306" s="2">
        <v>1</v>
      </c>
      <c r="H306" s="2" t="s">
        <v>647</v>
      </c>
      <c r="I306" s="2" t="s">
        <v>11</v>
      </c>
      <c r="J306" s="2" t="str">
        <f t="shared" si="4"/>
        <v>YES</v>
      </c>
      <c r="K306" s="2" t="e">
        <f>VLOOKUP(F306,Munka1!A:A,1,0)</f>
        <v>#N/A</v>
      </c>
    </row>
    <row r="307" spans="1:11" hidden="1" x14ac:dyDescent="0.3">
      <c r="A307" s="2" t="s">
        <v>543</v>
      </c>
      <c r="B307" s="2" t="s">
        <v>396</v>
      </c>
      <c r="C307" s="2" t="s">
        <v>397</v>
      </c>
      <c r="D307" s="2" t="s">
        <v>64</v>
      </c>
      <c r="E307" s="2" t="s">
        <v>398</v>
      </c>
      <c r="F307" s="6" t="s">
        <v>648</v>
      </c>
      <c r="G307" s="2">
        <v>1</v>
      </c>
      <c r="H307" s="2" t="s">
        <v>647</v>
      </c>
      <c r="I307" s="2" t="s">
        <v>11</v>
      </c>
      <c r="J307" s="2" t="str">
        <f t="shared" si="4"/>
        <v>YES</v>
      </c>
      <c r="K307" s="2" t="str">
        <f>VLOOKUP(F307,Scan!A:A,1,0)</f>
        <v>2019.01.3240</v>
      </c>
    </row>
    <row r="308" spans="1:11" hidden="1" x14ac:dyDescent="0.3">
      <c r="A308" s="2" t="s">
        <v>543</v>
      </c>
      <c r="B308" s="2" t="s">
        <v>400</v>
      </c>
      <c r="C308" s="2" t="s">
        <v>401</v>
      </c>
      <c r="D308" s="2" t="s">
        <v>64</v>
      </c>
      <c r="E308" s="2" t="s">
        <v>402</v>
      </c>
      <c r="F308" s="6" t="s">
        <v>389</v>
      </c>
      <c r="G308" s="2">
        <v>1</v>
      </c>
      <c r="H308" s="2" t="s">
        <v>647</v>
      </c>
      <c r="I308" s="2" t="s">
        <v>11</v>
      </c>
      <c r="J308" s="2" t="str">
        <f t="shared" si="4"/>
        <v>NO</v>
      </c>
      <c r="K308" s="2" t="e">
        <f>VLOOKUP(F308,Scan!A:A,1,0)</f>
        <v>#N/A</v>
      </c>
    </row>
    <row r="309" spans="1:11" hidden="1" x14ac:dyDescent="0.3">
      <c r="A309" s="2" t="s">
        <v>543</v>
      </c>
      <c r="B309" s="2" t="s">
        <v>403</v>
      </c>
      <c r="C309" s="2" t="s">
        <v>404</v>
      </c>
      <c r="D309" s="2" t="s">
        <v>64</v>
      </c>
      <c r="E309" s="2" t="s">
        <v>405</v>
      </c>
      <c r="F309" s="6" t="s">
        <v>649</v>
      </c>
      <c r="G309" s="2">
        <v>1</v>
      </c>
      <c r="H309" s="2" t="s">
        <v>647</v>
      </c>
      <c r="I309" s="2" t="s">
        <v>11</v>
      </c>
      <c r="J309" s="2" t="str">
        <f t="shared" si="4"/>
        <v>YES</v>
      </c>
      <c r="K309" s="2" t="str">
        <f>VLOOKUP(F309,Scan!A:A,1,0)</f>
        <v>2019.01.3009</v>
      </c>
    </row>
    <row r="310" spans="1:11" hidden="1" x14ac:dyDescent="0.3">
      <c r="A310" s="2" t="s">
        <v>543</v>
      </c>
      <c r="B310" s="2" t="s">
        <v>407</v>
      </c>
      <c r="C310" s="2" t="s">
        <v>408</v>
      </c>
      <c r="D310" s="2" t="s">
        <v>64</v>
      </c>
      <c r="E310" s="2" t="s">
        <v>409</v>
      </c>
      <c r="F310" s="6" t="s">
        <v>650</v>
      </c>
      <c r="G310" s="2">
        <v>1</v>
      </c>
      <c r="H310" s="2" t="s">
        <v>647</v>
      </c>
      <c r="I310" s="2" t="s">
        <v>11</v>
      </c>
      <c r="J310" s="2" t="str">
        <f t="shared" si="4"/>
        <v>YES</v>
      </c>
      <c r="K310" s="2" t="str">
        <f>VLOOKUP(F310,Scan!A:A,1,0)</f>
        <v>2019.01.3086</v>
      </c>
    </row>
    <row r="311" spans="1:11" hidden="1" x14ac:dyDescent="0.3">
      <c r="A311" s="2" t="s">
        <v>543</v>
      </c>
      <c r="B311" s="2" t="s">
        <v>67</v>
      </c>
      <c r="C311" s="2" t="s">
        <v>68</v>
      </c>
      <c r="D311" s="2" t="s">
        <v>64</v>
      </c>
      <c r="E311" s="2" t="s">
        <v>69</v>
      </c>
      <c r="F311" s="6" t="s">
        <v>651</v>
      </c>
      <c r="G311" s="2">
        <v>1</v>
      </c>
      <c r="H311" s="2" t="s">
        <v>647</v>
      </c>
      <c r="I311" s="2" t="s">
        <v>652</v>
      </c>
      <c r="J311" s="2" t="str">
        <f t="shared" si="4"/>
        <v>YES</v>
      </c>
      <c r="K311" s="2" t="str">
        <f>VLOOKUP(F311,Scan!A:A,1,0)</f>
        <v>2019.01.3533</v>
      </c>
    </row>
    <row r="312" spans="1:11" hidden="1" x14ac:dyDescent="0.3">
      <c r="A312" s="2" t="s">
        <v>543</v>
      </c>
      <c r="B312" s="2" t="s">
        <v>67</v>
      </c>
      <c r="C312" s="2" t="s">
        <v>68</v>
      </c>
      <c r="D312" s="2" t="s">
        <v>64</v>
      </c>
      <c r="E312" s="2" t="s">
        <v>69</v>
      </c>
      <c r="F312" s="6" t="s">
        <v>653</v>
      </c>
      <c r="G312" s="2">
        <v>1</v>
      </c>
      <c r="H312" s="2" t="s">
        <v>647</v>
      </c>
      <c r="I312" s="2" t="s">
        <v>654</v>
      </c>
      <c r="J312" s="2" t="str">
        <f t="shared" si="4"/>
        <v>YES</v>
      </c>
      <c r="K312" s="2" t="str">
        <f>VLOOKUP(F312,Scan!A:A,1,0)</f>
        <v>2019.01.3534</v>
      </c>
    </row>
    <row r="313" spans="1:11" hidden="1" x14ac:dyDescent="0.3">
      <c r="A313" s="2" t="s">
        <v>543</v>
      </c>
      <c r="B313" s="2" t="s">
        <v>62</v>
      </c>
      <c r="C313" s="2" t="s">
        <v>63</v>
      </c>
      <c r="D313" s="2" t="s">
        <v>64</v>
      </c>
      <c r="E313" s="2" t="s">
        <v>65</v>
      </c>
      <c r="F313" s="6" t="s">
        <v>655</v>
      </c>
      <c r="G313" s="2">
        <v>1</v>
      </c>
      <c r="H313" s="2" t="s">
        <v>11</v>
      </c>
      <c r="I313" s="2" t="s">
        <v>656</v>
      </c>
      <c r="J313" s="2" t="str">
        <f t="shared" si="4"/>
        <v>YES</v>
      </c>
      <c r="K313" s="2" t="str">
        <f>VLOOKUP(F313,Scan!A:A,1,0)</f>
        <v>2019.01.3177</v>
      </c>
    </row>
    <row r="314" spans="1:11" hidden="1" x14ac:dyDescent="0.3">
      <c r="A314" s="2" t="s">
        <v>543</v>
      </c>
      <c r="B314" s="2" t="s">
        <v>393</v>
      </c>
      <c r="C314" s="2" t="s">
        <v>394</v>
      </c>
      <c r="D314" s="2" t="s">
        <v>380</v>
      </c>
      <c r="E314" s="2" t="s">
        <v>395</v>
      </c>
      <c r="F314" s="6" t="s">
        <v>1075</v>
      </c>
      <c r="G314" s="2">
        <v>1</v>
      </c>
      <c r="H314" s="2" t="s">
        <v>656</v>
      </c>
      <c r="I314" s="2" t="s">
        <v>11</v>
      </c>
      <c r="J314" s="2" t="str">
        <f t="shared" si="4"/>
        <v>YES</v>
      </c>
      <c r="K314" s="2" t="e">
        <f>VLOOKUP(F314,Munka1!A:A,1,0)</f>
        <v>#N/A</v>
      </c>
    </row>
    <row r="315" spans="1:11" hidden="1" x14ac:dyDescent="0.3">
      <c r="A315" s="2" t="s">
        <v>543</v>
      </c>
      <c r="B315" s="2" t="s">
        <v>396</v>
      </c>
      <c r="C315" s="2" t="s">
        <v>397</v>
      </c>
      <c r="D315" s="2" t="s">
        <v>64</v>
      </c>
      <c r="E315" s="2" t="s">
        <v>398</v>
      </c>
      <c r="F315" s="6" t="s">
        <v>657</v>
      </c>
      <c r="G315" s="2">
        <v>1</v>
      </c>
      <c r="H315" s="2" t="s">
        <v>656</v>
      </c>
      <c r="I315" s="2" t="s">
        <v>11</v>
      </c>
      <c r="J315" s="2" t="str">
        <f t="shared" si="4"/>
        <v>YES</v>
      </c>
      <c r="K315" s="2" t="str">
        <f>VLOOKUP(F315,Scan!A:A,1,0)</f>
        <v>2019.01.3241</v>
      </c>
    </row>
    <row r="316" spans="1:11" hidden="1" x14ac:dyDescent="0.3">
      <c r="A316" s="2" t="s">
        <v>543</v>
      </c>
      <c r="B316" s="2" t="s">
        <v>400</v>
      </c>
      <c r="C316" s="2" t="s">
        <v>401</v>
      </c>
      <c r="D316" s="2" t="s">
        <v>64</v>
      </c>
      <c r="E316" s="2" t="s">
        <v>402</v>
      </c>
      <c r="F316" s="6" t="s">
        <v>389</v>
      </c>
      <c r="G316" s="2">
        <v>1</v>
      </c>
      <c r="H316" s="2" t="s">
        <v>656</v>
      </c>
      <c r="I316" s="2" t="s">
        <v>11</v>
      </c>
      <c r="J316" s="2" t="str">
        <f t="shared" si="4"/>
        <v>NO</v>
      </c>
      <c r="K316" s="2" t="e">
        <f>VLOOKUP(F316,Scan!A:A,1,0)</f>
        <v>#N/A</v>
      </c>
    </row>
    <row r="317" spans="1:11" hidden="1" x14ac:dyDescent="0.3">
      <c r="A317" s="2" t="s">
        <v>543</v>
      </c>
      <c r="B317" s="2" t="s">
        <v>403</v>
      </c>
      <c r="C317" s="2" t="s">
        <v>404</v>
      </c>
      <c r="D317" s="2" t="s">
        <v>64</v>
      </c>
      <c r="E317" s="2" t="s">
        <v>405</v>
      </c>
      <c r="F317" s="6" t="s">
        <v>658</v>
      </c>
      <c r="G317" s="2">
        <v>1</v>
      </c>
      <c r="H317" s="2" t="s">
        <v>656</v>
      </c>
      <c r="I317" s="2" t="s">
        <v>11</v>
      </c>
      <c r="J317" s="2" t="str">
        <f t="shared" si="4"/>
        <v>YES</v>
      </c>
      <c r="K317" s="2" t="str">
        <f>VLOOKUP(F317,Scan!A:A,1,0)</f>
        <v>2019.01.3011</v>
      </c>
    </row>
    <row r="318" spans="1:11" hidden="1" x14ac:dyDescent="0.3">
      <c r="A318" s="2" t="s">
        <v>543</v>
      </c>
      <c r="B318" s="2" t="s">
        <v>407</v>
      </c>
      <c r="C318" s="2" t="s">
        <v>408</v>
      </c>
      <c r="D318" s="2" t="s">
        <v>64</v>
      </c>
      <c r="E318" s="2" t="s">
        <v>409</v>
      </c>
      <c r="F318" s="6" t="s">
        <v>659</v>
      </c>
      <c r="G318" s="2">
        <v>1</v>
      </c>
      <c r="H318" s="2" t="s">
        <v>656</v>
      </c>
      <c r="I318" s="2" t="s">
        <v>11</v>
      </c>
      <c r="J318" s="2" t="str">
        <f t="shared" si="4"/>
        <v>YES</v>
      </c>
      <c r="K318" s="2" t="str">
        <f>VLOOKUP(F318,Scan!A:A,1,0)</f>
        <v>2019.01.3085</v>
      </c>
    </row>
    <row r="319" spans="1:11" hidden="1" x14ac:dyDescent="0.3">
      <c r="A319" s="2" t="s">
        <v>543</v>
      </c>
      <c r="B319" s="2" t="s">
        <v>67</v>
      </c>
      <c r="C319" s="2" t="s">
        <v>68</v>
      </c>
      <c r="D319" s="2" t="s">
        <v>64</v>
      </c>
      <c r="E319" s="2" t="s">
        <v>69</v>
      </c>
      <c r="F319" s="6" t="s">
        <v>660</v>
      </c>
      <c r="G319" s="2">
        <v>1</v>
      </c>
      <c r="H319" s="2" t="s">
        <v>656</v>
      </c>
      <c r="I319" s="2" t="s">
        <v>661</v>
      </c>
      <c r="J319" s="2" t="str">
        <f t="shared" si="4"/>
        <v>YES</v>
      </c>
      <c r="K319" s="2" t="str">
        <f>VLOOKUP(F319,Scan!A:A,1,0)</f>
        <v>2019.01.3535</v>
      </c>
    </row>
    <row r="320" spans="1:11" hidden="1" x14ac:dyDescent="0.3">
      <c r="A320" s="2" t="s">
        <v>543</v>
      </c>
      <c r="B320" s="2" t="s">
        <v>67</v>
      </c>
      <c r="C320" s="2" t="s">
        <v>68</v>
      </c>
      <c r="D320" s="2" t="s">
        <v>64</v>
      </c>
      <c r="E320" s="2" t="s">
        <v>69</v>
      </c>
      <c r="F320" s="6" t="s">
        <v>662</v>
      </c>
      <c r="G320" s="2">
        <v>1</v>
      </c>
      <c r="H320" s="2" t="s">
        <v>656</v>
      </c>
      <c r="I320" s="2" t="s">
        <v>663</v>
      </c>
      <c r="J320" s="2" t="str">
        <f t="shared" si="4"/>
        <v>YES</v>
      </c>
      <c r="K320" s="2" t="str">
        <f>VLOOKUP(F320,Scan!A:A,1,0)</f>
        <v>2019.01.3536</v>
      </c>
    </row>
    <row r="321" spans="1:11" hidden="1" x14ac:dyDescent="0.3">
      <c r="A321" s="2" t="s">
        <v>543</v>
      </c>
      <c r="B321" s="2" t="s">
        <v>664</v>
      </c>
      <c r="C321" s="2" t="s">
        <v>84</v>
      </c>
      <c r="D321" s="2" t="s">
        <v>11</v>
      </c>
      <c r="E321" s="2" t="s">
        <v>11</v>
      </c>
      <c r="F321" s="6" t="s">
        <v>11</v>
      </c>
      <c r="G321" s="2">
        <v>1</v>
      </c>
      <c r="H321" s="2" t="s">
        <v>664</v>
      </c>
      <c r="I321" s="2" t="s">
        <v>11</v>
      </c>
      <c r="J321" s="2" t="str">
        <f t="shared" si="4"/>
        <v>NO</v>
      </c>
      <c r="K321" s="2" t="e">
        <f>VLOOKUP(F321,Munka1!A:A,1,0)</f>
        <v>#N/A</v>
      </c>
    </row>
    <row r="322" spans="1:11" hidden="1" x14ac:dyDescent="0.3">
      <c r="A322" s="2" t="s">
        <v>543</v>
      </c>
      <c r="B322" s="2" t="s">
        <v>62</v>
      </c>
      <c r="C322" s="2" t="s">
        <v>63</v>
      </c>
      <c r="D322" s="2" t="s">
        <v>64</v>
      </c>
      <c r="E322" s="2" t="s">
        <v>65</v>
      </c>
      <c r="F322" s="6" t="s">
        <v>665</v>
      </c>
      <c r="G322" s="2">
        <v>1</v>
      </c>
      <c r="H322" s="2" t="s">
        <v>11</v>
      </c>
      <c r="I322" s="2" t="s">
        <v>666</v>
      </c>
      <c r="J322" s="2" t="str">
        <f t="shared" si="4"/>
        <v>YES</v>
      </c>
      <c r="K322" s="2" t="str">
        <f>VLOOKUP(F322,Scan!A:A,1,0)</f>
        <v>2019.01.3178</v>
      </c>
    </row>
    <row r="323" spans="1:11" hidden="1" x14ac:dyDescent="0.3">
      <c r="A323" s="2" t="s">
        <v>543</v>
      </c>
      <c r="B323" s="2" t="s">
        <v>393</v>
      </c>
      <c r="C323" s="2" t="s">
        <v>394</v>
      </c>
      <c r="D323" s="2" t="s">
        <v>380</v>
      </c>
      <c r="E323" s="2" t="s">
        <v>395</v>
      </c>
      <c r="F323" s="6" t="s">
        <v>1077</v>
      </c>
      <c r="G323" s="2">
        <v>1</v>
      </c>
      <c r="H323" s="2" t="s">
        <v>666</v>
      </c>
      <c r="I323" s="2" t="s">
        <v>11</v>
      </c>
      <c r="J323" s="2" t="str">
        <f t="shared" ref="J323:J386" si="5">IF(OR(F323="",F323="_",LEFT(F323,5)="SPARE",F323="N/A"),"NO","YES")</f>
        <v>YES</v>
      </c>
      <c r="K323" s="2" t="e">
        <f>VLOOKUP(F323,Munka1!A:A,1,0)</f>
        <v>#N/A</v>
      </c>
    </row>
    <row r="324" spans="1:11" hidden="1" x14ac:dyDescent="0.3">
      <c r="A324" s="2" t="s">
        <v>543</v>
      </c>
      <c r="B324" s="2" t="s">
        <v>396</v>
      </c>
      <c r="C324" s="2" t="s">
        <v>397</v>
      </c>
      <c r="D324" s="2" t="s">
        <v>64</v>
      </c>
      <c r="E324" s="2" t="s">
        <v>398</v>
      </c>
      <c r="F324" s="6" t="s">
        <v>667</v>
      </c>
      <c r="G324" s="2">
        <v>1</v>
      </c>
      <c r="H324" s="2" t="s">
        <v>666</v>
      </c>
      <c r="I324" s="2" t="s">
        <v>11</v>
      </c>
      <c r="J324" s="2" t="str">
        <f t="shared" si="5"/>
        <v>YES</v>
      </c>
      <c r="K324" s="2" t="str">
        <f>VLOOKUP(F324,Scan!A:A,1,0)</f>
        <v>2019.01.3242</v>
      </c>
    </row>
    <row r="325" spans="1:11" hidden="1" x14ac:dyDescent="0.3">
      <c r="A325" s="2" t="s">
        <v>543</v>
      </c>
      <c r="B325" s="2" t="s">
        <v>400</v>
      </c>
      <c r="C325" s="2" t="s">
        <v>401</v>
      </c>
      <c r="D325" s="2" t="s">
        <v>64</v>
      </c>
      <c r="E325" s="2" t="s">
        <v>402</v>
      </c>
      <c r="F325" s="6" t="s">
        <v>389</v>
      </c>
      <c r="G325" s="2">
        <v>1</v>
      </c>
      <c r="H325" s="2" t="s">
        <v>666</v>
      </c>
      <c r="I325" s="2" t="s">
        <v>11</v>
      </c>
      <c r="J325" s="2" t="str">
        <f t="shared" si="5"/>
        <v>NO</v>
      </c>
      <c r="K325" s="2" t="e">
        <f>VLOOKUP(F325,Scan!A:A,1,0)</f>
        <v>#N/A</v>
      </c>
    </row>
    <row r="326" spans="1:11" hidden="1" x14ac:dyDescent="0.3">
      <c r="A326" s="2" t="s">
        <v>543</v>
      </c>
      <c r="B326" s="2" t="s">
        <v>403</v>
      </c>
      <c r="C326" s="2" t="s">
        <v>404</v>
      </c>
      <c r="D326" s="2" t="s">
        <v>64</v>
      </c>
      <c r="E326" s="2" t="s">
        <v>405</v>
      </c>
      <c r="F326" s="6" t="s">
        <v>668</v>
      </c>
      <c r="G326" s="2">
        <v>1</v>
      </c>
      <c r="H326" s="2" t="s">
        <v>666</v>
      </c>
      <c r="I326" s="2" t="s">
        <v>11</v>
      </c>
      <c r="J326" s="2" t="str">
        <f t="shared" si="5"/>
        <v>YES</v>
      </c>
      <c r="K326" s="2" t="str">
        <f>VLOOKUP(F326,Scan!A:A,1,0)</f>
        <v>2019.01.3010</v>
      </c>
    </row>
    <row r="327" spans="1:11" hidden="1" x14ac:dyDescent="0.3">
      <c r="A327" s="2" t="s">
        <v>543</v>
      </c>
      <c r="B327" s="2" t="s">
        <v>407</v>
      </c>
      <c r="C327" s="2" t="s">
        <v>408</v>
      </c>
      <c r="D327" s="2" t="s">
        <v>64</v>
      </c>
      <c r="E327" s="2" t="s">
        <v>409</v>
      </c>
      <c r="F327" s="6" t="s">
        <v>669</v>
      </c>
      <c r="G327" s="2">
        <v>1</v>
      </c>
      <c r="H327" s="2" t="s">
        <v>666</v>
      </c>
      <c r="I327" s="2" t="s">
        <v>11</v>
      </c>
      <c r="J327" s="2" t="str">
        <f t="shared" si="5"/>
        <v>YES</v>
      </c>
      <c r="K327" s="2" t="str">
        <f>VLOOKUP(F327,Scan!A:A,1,0)</f>
        <v>2019.01.3084</v>
      </c>
    </row>
    <row r="328" spans="1:11" hidden="1" x14ac:dyDescent="0.3">
      <c r="A328" s="2" t="s">
        <v>543</v>
      </c>
      <c r="B328" s="2" t="s">
        <v>67</v>
      </c>
      <c r="C328" s="2" t="s">
        <v>68</v>
      </c>
      <c r="D328" s="2" t="s">
        <v>64</v>
      </c>
      <c r="E328" s="2" t="s">
        <v>69</v>
      </c>
      <c r="F328" s="6" t="s">
        <v>670</v>
      </c>
      <c r="G328" s="2">
        <v>1</v>
      </c>
      <c r="H328" s="2" t="s">
        <v>666</v>
      </c>
      <c r="I328" s="2" t="s">
        <v>671</v>
      </c>
      <c r="J328" s="2" t="str">
        <f t="shared" si="5"/>
        <v>YES</v>
      </c>
      <c r="K328" s="2" t="str">
        <f>VLOOKUP(F328,Scan!A:A,1,0)</f>
        <v>2019.01.3537</v>
      </c>
    </row>
    <row r="329" spans="1:11" hidden="1" x14ac:dyDescent="0.3">
      <c r="A329" s="2" t="s">
        <v>543</v>
      </c>
      <c r="B329" s="2" t="s">
        <v>67</v>
      </c>
      <c r="C329" s="2" t="s">
        <v>68</v>
      </c>
      <c r="D329" s="2" t="s">
        <v>64</v>
      </c>
      <c r="E329" s="2" t="s">
        <v>69</v>
      </c>
      <c r="F329" s="6" t="s">
        <v>672</v>
      </c>
      <c r="G329" s="2">
        <v>1</v>
      </c>
      <c r="H329" s="2" t="s">
        <v>666</v>
      </c>
      <c r="I329" s="2" t="s">
        <v>673</v>
      </c>
      <c r="J329" s="2" t="str">
        <f t="shared" si="5"/>
        <v>YES</v>
      </c>
      <c r="K329" s="2" t="str">
        <f>VLOOKUP(F329,Scan!A:A,1,0)</f>
        <v>2019.01.3538</v>
      </c>
    </row>
    <row r="330" spans="1:11" hidden="1" x14ac:dyDescent="0.3">
      <c r="A330" s="2" t="s">
        <v>543</v>
      </c>
      <c r="B330" s="2" t="s">
        <v>674</v>
      </c>
      <c r="C330" s="2" t="s">
        <v>97</v>
      </c>
      <c r="D330" s="2" t="s">
        <v>11</v>
      </c>
      <c r="E330" s="2" t="s">
        <v>11</v>
      </c>
      <c r="F330" s="6" t="s">
        <v>11</v>
      </c>
      <c r="G330" s="2">
        <v>1</v>
      </c>
      <c r="H330" s="2" t="s">
        <v>674</v>
      </c>
      <c r="I330" s="2" t="s">
        <v>11</v>
      </c>
      <c r="J330" s="2" t="str">
        <f t="shared" si="5"/>
        <v>NO</v>
      </c>
      <c r="K330" s="2" t="e">
        <f>VLOOKUP(F330,Munka1!A:A,1,0)</f>
        <v>#N/A</v>
      </c>
    </row>
    <row r="331" spans="1:11" hidden="1" x14ac:dyDescent="0.3">
      <c r="A331" s="2" t="s">
        <v>543</v>
      </c>
      <c r="B331" s="2" t="s">
        <v>62</v>
      </c>
      <c r="C331" s="2" t="s">
        <v>63</v>
      </c>
      <c r="D331" s="2" t="s">
        <v>64</v>
      </c>
      <c r="E331" s="2" t="s">
        <v>65</v>
      </c>
      <c r="F331" s="6" t="s">
        <v>675</v>
      </c>
      <c r="G331" s="2">
        <v>1</v>
      </c>
      <c r="H331" s="2" t="s">
        <v>11</v>
      </c>
      <c r="I331" s="2" t="s">
        <v>676</v>
      </c>
      <c r="J331" s="2" t="str">
        <f t="shared" si="5"/>
        <v>YES</v>
      </c>
      <c r="K331" s="2" t="str">
        <f>VLOOKUP(F331,Scan!A:A,1,0)</f>
        <v>2019.01.3195</v>
      </c>
    </row>
    <row r="332" spans="1:11" hidden="1" x14ac:dyDescent="0.3">
      <c r="A332" s="2" t="s">
        <v>543</v>
      </c>
      <c r="B332" s="2" t="s">
        <v>393</v>
      </c>
      <c r="C332" s="2" t="s">
        <v>394</v>
      </c>
      <c r="D332" s="2" t="s">
        <v>380</v>
      </c>
      <c r="E332" s="2" t="s">
        <v>395</v>
      </c>
      <c r="F332" s="6" t="s">
        <v>1082</v>
      </c>
      <c r="G332" s="2">
        <v>1</v>
      </c>
      <c r="H332" s="2" t="s">
        <v>676</v>
      </c>
      <c r="I332" s="2" t="s">
        <v>11</v>
      </c>
      <c r="J332" s="2" t="str">
        <f t="shared" si="5"/>
        <v>YES</v>
      </c>
      <c r="K332" s="2" t="e">
        <f>VLOOKUP(F332,Munka1!A:A,1,0)</f>
        <v>#N/A</v>
      </c>
    </row>
    <row r="333" spans="1:11" hidden="1" x14ac:dyDescent="0.3">
      <c r="A333" s="2" t="s">
        <v>543</v>
      </c>
      <c r="B333" s="2" t="s">
        <v>623</v>
      </c>
      <c r="C333" s="2" t="s">
        <v>624</v>
      </c>
      <c r="D333" s="2" t="s">
        <v>380</v>
      </c>
      <c r="E333" s="2" t="s">
        <v>625</v>
      </c>
      <c r="F333" s="6" t="s">
        <v>1081</v>
      </c>
      <c r="G333" s="2">
        <v>1</v>
      </c>
      <c r="H333" s="2" t="s">
        <v>676</v>
      </c>
      <c r="I333" s="2" t="s">
        <v>11</v>
      </c>
      <c r="J333" s="2" t="str">
        <f t="shared" si="5"/>
        <v>YES</v>
      </c>
      <c r="K333" s="2" t="e">
        <f>VLOOKUP(F333,Munka1!A:A,1,0)</f>
        <v>#N/A</v>
      </c>
    </row>
    <row r="334" spans="1:11" hidden="1" x14ac:dyDescent="0.3">
      <c r="A334" s="2" t="s">
        <v>543</v>
      </c>
      <c r="B334" s="2" t="s">
        <v>396</v>
      </c>
      <c r="C334" s="2" t="s">
        <v>397</v>
      </c>
      <c r="D334" s="2" t="s">
        <v>64</v>
      </c>
      <c r="E334" s="2" t="s">
        <v>398</v>
      </c>
      <c r="F334" s="6" t="s">
        <v>677</v>
      </c>
      <c r="G334" s="2">
        <v>1</v>
      </c>
      <c r="H334" s="2" t="s">
        <v>676</v>
      </c>
      <c r="I334" s="2" t="s">
        <v>11</v>
      </c>
      <c r="J334" s="2" t="str">
        <f t="shared" si="5"/>
        <v>YES</v>
      </c>
      <c r="K334" s="2" t="str">
        <f>VLOOKUP(F334,Scan!A:A,1,0)</f>
        <v>2019.01.3259</v>
      </c>
    </row>
    <row r="335" spans="1:11" hidden="1" x14ac:dyDescent="0.3">
      <c r="A335" s="2" t="s">
        <v>543</v>
      </c>
      <c r="B335" s="2" t="s">
        <v>400</v>
      </c>
      <c r="C335" s="2" t="s">
        <v>401</v>
      </c>
      <c r="D335" s="2" t="s">
        <v>64</v>
      </c>
      <c r="E335" s="2" t="s">
        <v>402</v>
      </c>
      <c r="F335" s="6" t="s">
        <v>389</v>
      </c>
      <c r="G335" s="2">
        <v>1</v>
      </c>
      <c r="H335" s="2" t="s">
        <v>676</v>
      </c>
      <c r="I335" s="2" t="s">
        <v>11</v>
      </c>
      <c r="J335" s="2" t="str">
        <f t="shared" si="5"/>
        <v>NO</v>
      </c>
      <c r="K335" s="2" t="e">
        <f>VLOOKUP(F335,Scan!A:A,1,0)</f>
        <v>#N/A</v>
      </c>
    </row>
    <row r="336" spans="1:11" hidden="1" x14ac:dyDescent="0.3">
      <c r="A336" s="2" t="s">
        <v>543</v>
      </c>
      <c r="B336" s="2" t="s">
        <v>67</v>
      </c>
      <c r="C336" s="2" t="s">
        <v>68</v>
      </c>
      <c r="D336" s="2" t="s">
        <v>64</v>
      </c>
      <c r="E336" s="2" t="s">
        <v>69</v>
      </c>
      <c r="F336" s="6" t="s">
        <v>678</v>
      </c>
      <c r="G336" s="2">
        <v>1</v>
      </c>
      <c r="H336" s="2" t="s">
        <v>11</v>
      </c>
      <c r="I336" s="2" t="s">
        <v>679</v>
      </c>
      <c r="J336" s="2" t="str">
        <f t="shared" si="5"/>
        <v>YES</v>
      </c>
      <c r="K336" s="2" t="str">
        <f>VLOOKUP(F336,Scan!A:A,1,0)</f>
        <v>2019.01.3539</v>
      </c>
    </row>
    <row r="337" spans="1:11" hidden="1" x14ac:dyDescent="0.3">
      <c r="A337" s="2" t="s">
        <v>543</v>
      </c>
      <c r="B337" s="2" t="s">
        <v>67</v>
      </c>
      <c r="C337" s="2" t="s">
        <v>68</v>
      </c>
      <c r="D337" s="2" t="s">
        <v>64</v>
      </c>
      <c r="E337" s="2" t="s">
        <v>69</v>
      </c>
      <c r="F337" s="6" t="s">
        <v>680</v>
      </c>
      <c r="G337" s="2">
        <v>1</v>
      </c>
      <c r="H337" s="2" t="s">
        <v>11</v>
      </c>
      <c r="I337" s="2" t="s">
        <v>681</v>
      </c>
      <c r="J337" s="2" t="str">
        <f t="shared" si="5"/>
        <v>YES</v>
      </c>
      <c r="K337" s="2" t="str">
        <f>VLOOKUP(F337,Scan!A:A,1,0)</f>
        <v>2019.01.3554</v>
      </c>
    </row>
    <row r="338" spans="1:11" hidden="1" x14ac:dyDescent="0.3">
      <c r="A338" s="2" t="s">
        <v>543</v>
      </c>
      <c r="B338" s="2" t="s">
        <v>62</v>
      </c>
      <c r="C338" s="2" t="s">
        <v>63</v>
      </c>
      <c r="D338" s="2" t="s">
        <v>64</v>
      </c>
      <c r="E338" s="2" t="s">
        <v>65</v>
      </c>
      <c r="F338" s="6" t="s">
        <v>682</v>
      </c>
      <c r="G338" s="2">
        <v>1</v>
      </c>
      <c r="H338" s="2" t="s">
        <v>11</v>
      </c>
      <c r="I338" s="2" t="s">
        <v>683</v>
      </c>
      <c r="J338" s="2" t="str">
        <f t="shared" si="5"/>
        <v>YES</v>
      </c>
      <c r="K338" s="2" t="str">
        <f>VLOOKUP(F338,Scan!A:A,1,0)</f>
        <v>2019.01.3192</v>
      </c>
    </row>
    <row r="339" spans="1:11" hidden="1" x14ac:dyDescent="0.3">
      <c r="A339" s="2" t="s">
        <v>543</v>
      </c>
      <c r="B339" s="2" t="s">
        <v>393</v>
      </c>
      <c r="C339" s="2" t="s">
        <v>394</v>
      </c>
      <c r="D339" s="2" t="s">
        <v>380</v>
      </c>
      <c r="E339" s="2" t="s">
        <v>395</v>
      </c>
      <c r="F339" s="6" t="s">
        <v>1083</v>
      </c>
      <c r="G339" s="2">
        <v>1</v>
      </c>
      <c r="H339" s="2" t="s">
        <v>683</v>
      </c>
      <c r="I339" s="2" t="s">
        <v>11</v>
      </c>
      <c r="J339" s="2" t="str">
        <f t="shared" si="5"/>
        <v>YES</v>
      </c>
      <c r="K339" s="2" t="e">
        <f>VLOOKUP(F339,Munka1!A:A,1,0)</f>
        <v>#N/A</v>
      </c>
    </row>
    <row r="340" spans="1:11" hidden="1" x14ac:dyDescent="0.3">
      <c r="A340" s="2" t="s">
        <v>543</v>
      </c>
      <c r="B340" s="2" t="s">
        <v>396</v>
      </c>
      <c r="C340" s="2" t="s">
        <v>397</v>
      </c>
      <c r="D340" s="2" t="s">
        <v>64</v>
      </c>
      <c r="E340" s="2" t="s">
        <v>398</v>
      </c>
      <c r="F340" s="6" t="s">
        <v>684</v>
      </c>
      <c r="G340" s="2">
        <v>1</v>
      </c>
      <c r="H340" s="2" t="s">
        <v>683</v>
      </c>
      <c r="I340" s="2" t="s">
        <v>11</v>
      </c>
      <c r="J340" s="2" t="str">
        <f t="shared" si="5"/>
        <v>YES</v>
      </c>
      <c r="K340" s="2" t="str">
        <f>VLOOKUP(F340,Scan!A:A,1,0)</f>
        <v>2019.01.3256</v>
      </c>
    </row>
    <row r="341" spans="1:11" hidden="1" x14ac:dyDescent="0.3">
      <c r="A341" s="2" t="s">
        <v>543</v>
      </c>
      <c r="B341" s="2" t="s">
        <v>400</v>
      </c>
      <c r="C341" s="2" t="s">
        <v>401</v>
      </c>
      <c r="D341" s="2" t="s">
        <v>64</v>
      </c>
      <c r="E341" s="2" t="s">
        <v>402</v>
      </c>
      <c r="F341" s="6" t="s">
        <v>389</v>
      </c>
      <c r="G341" s="2">
        <v>1</v>
      </c>
      <c r="H341" s="2" t="s">
        <v>683</v>
      </c>
      <c r="I341" s="2" t="s">
        <v>11</v>
      </c>
      <c r="J341" s="2" t="str">
        <f t="shared" si="5"/>
        <v>NO</v>
      </c>
      <c r="K341" s="2" t="e">
        <f>VLOOKUP(F341,Scan!A:A,1,0)</f>
        <v>#N/A</v>
      </c>
    </row>
    <row r="342" spans="1:11" hidden="1" x14ac:dyDescent="0.3">
      <c r="A342" s="2" t="s">
        <v>543</v>
      </c>
      <c r="B342" s="2" t="s">
        <v>67</v>
      </c>
      <c r="C342" s="2" t="s">
        <v>68</v>
      </c>
      <c r="D342" s="2" t="s">
        <v>64</v>
      </c>
      <c r="E342" s="2" t="s">
        <v>69</v>
      </c>
      <c r="F342" s="6" t="s">
        <v>685</v>
      </c>
      <c r="G342" s="2">
        <v>1</v>
      </c>
      <c r="H342" s="2" t="s">
        <v>11</v>
      </c>
      <c r="I342" s="2" t="s">
        <v>686</v>
      </c>
      <c r="J342" s="2" t="str">
        <f t="shared" si="5"/>
        <v>YES</v>
      </c>
      <c r="K342" s="2" t="str">
        <f>VLOOKUP(F342,Scan!A:A,1,0)</f>
        <v>2019.01.3555</v>
      </c>
    </row>
    <row r="343" spans="1:11" hidden="1" x14ac:dyDescent="0.3">
      <c r="A343" s="2" t="s">
        <v>543</v>
      </c>
      <c r="B343" s="2" t="s">
        <v>67</v>
      </c>
      <c r="C343" s="2" t="s">
        <v>68</v>
      </c>
      <c r="D343" s="2" t="s">
        <v>64</v>
      </c>
      <c r="E343" s="2" t="s">
        <v>69</v>
      </c>
      <c r="F343" s="6" t="s">
        <v>687</v>
      </c>
      <c r="G343" s="2">
        <v>1</v>
      </c>
      <c r="H343" s="2" t="s">
        <v>11</v>
      </c>
      <c r="I343" s="2" t="s">
        <v>688</v>
      </c>
      <c r="J343" s="2" t="str">
        <f t="shared" si="5"/>
        <v>YES</v>
      </c>
      <c r="K343" s="2" t="str">
        <f>VLOOKUP(F343,Scan!A:A,1,0)</f>
        <v>2019.01.3556</v>
      </c>
    </row>
    <row r="344" spans="1:11" hidden="1" x14ac:dyDescent="0.3">
      <c r="A344" s="2" t="s">
        <v>543</v>
      </c>
      <c r="B344" s="2" t="s">
        <v>403</v>
      </c>
      <c r="C344" s="2" t="s">
        <v>404</v>
      </c>
      <c r="D344" s="2" t="s">
        <v>64</v>
      </c>
      <c r="E344" s="2" t="s">
        <v>405</v>
      </c>
      <c r="F344" s="6" t="s">
        <v>689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  <c r="K344" s="2" t="str">
        <f>VLOOKUP(F344,Scan!A:A,1,0)</f>
        <v>2019.01.3008</v>
      </c>
    </row>
    <row r="345" spans="1:11" hidden="1" x14ac:dyDescent="0.3">
      <c r="A345" s="2" t="s">
        <v>543</v>
      </c>
      <c r="B345" s="2" t="s">
        <v>407</v>
      </c>
      <c r="C345" s="2" t="s">
        <v>408</v>
      </c>
      <c r="D345" s="2" t="s">
        <v>64</v>
      </c>
      <c r="E345" s="2" t="s">
        <v>409</v>
      </c>
      <c r="F345" s="6" t="s">
        <v>690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  <c r="K345" s="2" t="str">
        <f>VLOOKUP(F345,Scan!A:A,1,0)</f>
        <v>2019.01.3083</v>
      </c>
    </row>
    <row r="346" spans="1:11" hidden="1" x14ac:dyDescent="0.3">
      <c r="A346" s="2" t="s">
        <v>543</v>
      </c>
      <c r="B346" s="2" t="s">
        <v>407</v>
      </c>
      <c r="C346" s="2" t="s">
        <v>408</v>
      </c>
      <c r="D346" s="2" t="s">
        <v>64</v>
      </c>
      <c r="E346" s="2" t="s">
        <v>409</v>
      </c>
      <c r="F346" s="6" t="s">
        <v>691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  <c r="K346" s="2" t="str">
        <f>VLOOKUP(F346,Scan!A:A,1,0)</f>
        <v>2019.01.3082</v>
      </c>
    </row>
    <row r="347" spans="1:11" hidden="1" x14ac:dyDescent="0.3">
      <c r="A347" s="2" t="s">
        <v>543</v>
      </c>
      <c r="B347" s="2" t="s">
        <v>692</v>
      </c>
      <c r="C347" s="2" t="s">
        <v>693</v>
      </c>
      <c r="D347" s="2" t="s">
        <v>11</v>
      </c>
      <c r="E347" s="2" t="s">
        <v>11</v>
      </c>
      <c r="F347" s="6" t="s">
        <v>11</v>
      </c>
      <c r="G347" s="2">
        <v>1</v>
      </c>
      <c r="H347" s="2" t="s">
        <v>692</v>
      </c>
      <c r="I347" s="2" t="s">
        <v>11</v>
      </c>
      <c r="J347" s="2" t="str">
        <f t="shared" si="5"/>
        <v>NO</v>
      </c>
      <c r="K347" s="2" t="e">
        <f>VLOOKUP(F347,Munka1!A:A,1,0)</f>
        <v>#N/A</v>
      </c>
    </row>
    <row r="348" spans="1:11" hidden="1" x14ac:dyDescent="0.3">
      <c r="A348" s="2" t="s">
        <v>543</v>
      </c>
      <c r="B348" s="2" t="s">
        <v>694</v>
      </c>
      <c r="C348" s="2" t="s">
        <v>695</v>
      </c>
      <c r="D348" s="2" t="s">
        <v>696</v>
      </c>
      <c r="E348" s="2" t="s">
        <v>697</v>
      </c>
      <c r="F348" s="6" t="s">
        <v>389</v>
      </c>
      <c r="G348" s="2">
        <v>1</v>
      </c>
      <c r="H348" s="2" t="s">
        <v>11</v>
      </c>
      <c r="I348" s="2" t="s">
        <v>698</v>
      </c>
      <c r="J348" s="2" t="str">
        <f t="shared" si="5"/>
        <v>NO</v>
      </c>
      <c r="K348" s="2" t="e">
        <f>VLOOKUP(F348,Scan!A:A,1,0)</f>
        <v>#N/A</v>
      </c>
    </row>
    <row r="349" spans="1:11" hidden="1" x14ac:dyDescent="0.3">
      <c r="A349" s="2" t="s">
        <v>543</v>
      </c>
      <c r="B349" s="2" t="s">
        <v>525</v>
      </c>
      <c r="C349" s="2" t="s">
        <v>526</v>
      </c>
      <c r="D349" s="2" t="s">
        <v>380</v>
      </c>
      <c r="E349" s="2" t="s">
        <v>527</v>
      </c>
      <c r="F349" s="6" t="s">
        <v>389</v>
      </c>
      <c r="G349" s="2">
        <v>1</v>
      </c>
      <c r="H349" s="2" t="s">
        <v>11</v>
      </c>
      <c r="I349" s="2" t="s">
        <v>699</v>
      </c>
      <c r="J349" s="2" t="str">
        <f t="shared" si="5"/>
        <v>NO</v>
      </c>
      <c r="K349" s="2" t="e">
        <f>VLOOKUP(F349,Scan!A:A,1,0)</f>
        <v>#N/A</v>
      </c>
    </row>
    <row r="350" spans="1:11" hidden="1" x14ac:dyDescent="0.3">
      <c r="A350" s="2" t="s">
        <v>543</v>
      </c>
      <c r="B350" s="2" t="s">
        <v>38</v>
      </c>
      <c r="C350" s="2" t="s">
        <v>39</v>
      </c>
      <c r="D350" s="2" t="s">
        <v>14</v>
      </c>
      <c r="E350" s="2" t="s">
        <v>572</v>
      </c>
      <c r="F350" s="6" t="s">
        <v>700</v>
      </c>
      <c r="G350" s="2">
        <v>1</v>
      </c>
      <c r="H350" s="2" t="s">
        <v>11</v>
      </c>
      <c r="I350" s="2" t="s">
        <v>701</v>
      </c>
      <c r="J350" s="2" t="str">
        <f t="shared" si="5"/>
        <v>YES</v>
      </c>
      <c r="K350" s="2" t="str">
        <f>VLOOKUP(F350,Scan!A:A,1,0)</f>
        <v>5C3905J06A</v>
      </c>
    </row>
    <row r="351" spans="1:11" hidden="1" x14ac:dyDescent="0.3">
      <c r="A351" s="2" t="s">
        <v>543</v>
      </c>
      <c r="B351" s="2" t="s">
        <v>393</v>
      </c>
      <c r="C351" s="2" t="s">
        <v>394</v>
      </c>
      <c r="D351" s="2" t="s">
        <v>380</v>
      </c>
      <c r="E351" s="2" t="s">
        <v>395</v>
      </c>
      <c r="F351" s="6" t="s">
        <v>702</v>
      </c>
      <c r="G351" s="2">
        <v>1</v>
      </c>
      <c r="H351" s="2" t="s">
        <v>11</v>
      </c>
      <c r="I351" s="2" t="s">
        <v>703</v>
      </c>
      <c r="J351" s="2" t="str">
        <f t="shared" si="5"/>
        <v>YES</v>
      </c>
      <c r="K351" s="2" t="e">
        <f>VLOOKUP(F351,Scan!A:A,1,0)</f>
        <v>#N/A</v>
      </c>
    </row>
    <row r="352" spans="1:11" hidden="1" x14ac:dyDescent="0.3">
      <c r="A352" s="2" t="s">
        <v>543</v>
      </c>
      <c r="B352" s="2" t="s">
        <v>46</v>
      </c>
      <c r="C352" s="2" t="s">
        <v>39</v>
      </c>
      <c r="D352" s="2" t="s">
        <v>380</v>
      </c>
      <c r="E352" s="2" t="s">
        <v>47</v>
      </c>
      <c r="F352" s="21" t="s">
        <v>1084</v>
      </c>
      <c r="G352" s="2">
        <v>1</v>
      </c>
      <c r="H352" s="2" t="s">
        <v>11</v>
      </c>
      <c r="I352" s="2" t="s">
        <v>705</v>
      </c>
      <c r="J352" s="2" t="str">
        <f t="shared" si="5"/>
        <v>YES</v>
      </c>
      <c r="K352" s="2" t="str">
        <f>VLOOKUP(F352,Scan!A:A,1,0)</f>
        <v>B118C300CC3</v>
      </c>
    </row>
    <row r="353" spans="1:11" hidden="1" x14ac:dyDescent="0.3">
      <c r="A353" s="2" t="s">
        <v>543</v>
      </c>
      <c r="B353" s="2" t="s">
        <v>46</v>
      </c>
      <c r="C353" s="2" t="s">
        <v>39</v>
      </c>
      <c r="D353" s="2" t="s">
        <v>380</v>
      </c>
      <c r="E353" s="2" t="s">
        <v>47</v>
      </c>
      <c r="F353" s="21" t="s">
        <v>1085</v>
      </c>
      <c r="G353" s="2">
        <v>1</v>
      </c>
      <c r="H353" s="2" t="s">
        <v>11</v>
      </c>
      <c r="I353" s="2" t="s">
        <v>707</v>
      </c>
      <c r="J353" s="2" t="str">
        <f t="shared" si="5"/>
        <v>YES</v>
      </c>
      <c r="K353" s="2" t="str">
        <f>VLOOKUP(F353,Scan!A:A,1,0)</f>
        <v>B118C300CCC</v>
      </c>
    </row>
    <row r="354" spans="1:11" hidden="1" x14ac:dyDescent="0.3">
      <c r="A354" s="2" t="s">
        <v>543</v>
      </c>
      <c r="B354" s="2" t="s">
        <v>28</v>
      </c>
      <c r="C354" s="2" t="s">
        <v>18</v>
      </c>
      <c r="D354" s="2" t="s">
        <v>533</v>
      </c>
      <c r="E354" s="2" t="s">
        <v>29</v>
      </c>
      <c r="F354" s="6" t="s">
        <v>708</v>
      </c>
      <c r="G354" s="2">
        <v>1</v>
      </c>
      <c r="H354" s="2" t="s">
        <v>11</v>
      </c>
      <c r="I354" s="2" t="s">
        <v>709</v>
      </c>
      <c r="J354" s="2" t="str">
        <f t="shared" si="5"/>
        <v>YES</v>
      </c>
      <c r="K354" s="2" t="e">
        <f>VLOOKUP(F354,Scan!A:A,1,0)</f>
        <v>#N/A</v>
      </c>
    </row>
    <row r="355" spans="1:11" hidden="1" x14ac:dyDescent="0.3">
      <c r="A355" s="2" t="s">
        <v>543</v>
      </c>
      <c r="B355" s="2" t="s">
        <v>28</v>
      </c>
      <c r="C355" s="2" t="s">
        <v>18</v>
      </c>
      <c r="D355" s="2" t="s">
        <v>533</v>
      </c>
      <c r="E355" s="2" t="s">
        <v>29</v>
      </c>
      <c r="F355" s="6" t="s">
        <v>710</v>
      </c>
      <c r="G355" s="2">
        <v>1</v>
      </c>
      <c r="H355" s="2" t="s">
        <v>11</v>
      </c>
      <c r="I355" s="2" t="s">
        <v>711</v>
      </c>
      <c r="J355" s="2" t="str">
        <f t="shared" si="5"/>
        <v>YES</v>
      </c>
      <c r="K355" s="2" t="e">
        <f>VLOOKUP(F355,Scan!A:A,1,0)</f>
        <v>#N/A</v>
      </c>
    </row>
    <row r="356" spans="1:11" hidden="1" x14ac:dyDescent="0.3">
      <c r="A356" s="2" t="s">
        <v>543</v>
      </c>
      <c r="B356" s="2" t="s">
        <v>30</v>
      </c>
      <c r="C356" s="2" t="s">
        <v>18</v>
      </c>
      <c r="D356" s="2" t="s">
        <v>533</v>
      </c>
      <c r="E356" s="2" t="s">
        <v>31</v>
      </c>
      <c r="F356" s="6" t="s">
        <v>712</v>
      </c>
      <c r="G356" s="2">
        <v>1</v>
      </c>
      <c r="H356" s="2" t="s">
        <v>11</v>
      </c>
      <c r="I356" s="2" t="s">
        <v>713</v>
      </c>
      <c r="J356" s="2" t="str">
        <f t="shared" si="5"/>
        <v>YES</v>
      </c>
      <c r="K356" s="2" t="e">
        <f>VLOOKUP(F356,Scan!A:A,1,0)</f>
        <v>#N/A</v>
      </c>
    </row>
    <row r="357" spans="1:11" hidden="1" x14ac:dyDescent="0.3">
      <c r="A357" s="2" t="s">
        <v>543</v>
      </c>
      <c r="B357" s="2" t="s">
        <v>30</v>
      </c>
      <c r="C357" s="2" t="s">
        <v>18</v>
      </c>
      <c r="D357" s="2" t="s">
        <v>533</v>
      </c>
      <c r="E357" s="2" t="s">
        <v>31</v>
      </c>
      <c r="F357" s="6" t="s">
        <v>714</v>
      </c>
      <c r="G357" s="2">
        <v>1</v>
      </c>
      <c r="H357" s="2" t="s">
        <v>11</v>
      </c>
      <c r="I357" s="2" t="s">
        <v>715</v>
      </c>
      <c r="J357" s="2" t="str">
        <f t="shared" si="5"/>
        <v>YES</v>
      </c>
      <c r="K357" s="2" t="e">
        <f>VLOOKUP(F357,Scan!A:A,1,0)</f>
        <v>#N/A</v>
      </c>
    </row>
    <row r="358" spans="1:11" hidden="1" x14ac:dyDescent="0.3">
      <c r="A358" s="2" t="s">
        <v>543</v>
      </c>
      <c r="B358" s="2" t="s">
        <v>32</v>
      </c>
      <c r="C358" s="2" t="s">
        <v>18</v>
      </c>
      <c r="D358" s="2" t="s">
        <v>533</v>
      </c>
      <c r="E358" s="2" t="s">
        <v>33</v>
      </c>
      <c r="F358" s="21" t="s">
        <v>1000</v>
      </c>
      <c r="G358" s="2">
        <v>1</v>
      </c>
      <c r="H358" s="2" t="s">
        <v>11</v>
      </c>
      <c r="I358" s="2" t="s">
        <v>716</v>
      </c>
      <c r="J358" s="2" t="str">
        <f t="shared" si="5"/>
        <v>YES</v>
      </c>
      <c r="K358" s="2" t="e">
        <f>VLOOKUP(F358,Scan!A:A,1,0)</f>
        <v>#N/A</v>
      </c>
    </row>
    <row r="359" spans="1:11" hidden="1" x14ac:dyDescent="0.3">
      <c r="A359" s="2" t="s">
        <v>108</v>
      </c>
      <c r="B359" s="2" t="s">
        <v>9</v>
      </c>
      <c r="C359" s="2" t="s">
        <v>10</v>
      </c>
      <c r="D359" s="2" t="s">
        <v>11</v>
      </c>
      <c r="E359" s="2" t="s">
        <v>11</v>
      </c>
      <c r="F359" s="6" t="s">
        <v>11</v>
      </c>
      <c r="G359" s="2">
        <v>1</v>
      </c>
      <c r="H359" s="2" t="s">
        <v>9</v>
      </c>
      <c r="I359" s="2" t="s">
        <v>11</v>
      </c>
      <c r="J359" s="2" t="str">
        <f t="shared" si="5"/>
        <v>NO</v>
      </c>
      <c r="K359" s="2" t="e">
        <f>VLOOKUP(F359,Scan!A:A,1,0)</f>
        <v>#N/A</v>
      </c>
    </row>
    <row r="360" spans="1:11" hidden="1" x14ac:dyDescent="0.3">
      <c r="A360" s="2" t="s">
        <v>108</v>
      </c>
      <c r="B360" s="2" t="s">
        <v>12</v>
      </c>
      <c r="C360" s="2" t="s">
        <v>13</v>
      </c>
      <c r="D360" s="2" t="s">
        <v>14</v>
      </c>
      <c r="E360" s="2" t="s">
        <v>15</v>
      </c>
      <c r="F360" s="6" t="s">
        <v>109</v>
      </c>
      <c r="G360" s="2">
        <v>1</v>
      </c>
      <c r="H360" s="2" t="s">
        <v>9</v>
      </c>
      <c r="I360" s="2" t="s">
        <v>16</v>
      </c>
      <c r="J360" s="2" t="str">
        <f t="shared" si="5"/>
        <v>YES</v>
      </c>
      <c r="K360" s="2" t="e">
        <f>VLOOKUP(F360,Scan!A:A,1,0)</f>
        <v>#N/A</v>
      </c>
    </row>
    <row r="361" spans="1:11" hidden="1" x14ac:dyDescent="0.3">
      <c r="A361" s="2" t="s">
        <v>108</v>
      </c>
      <c r="B361" s="2" t="s">
        <v>17</v>
      </c>
      <c r="C361" s="2" t="s">
        <v>18</v>
      </c>
      <c r="D361" s="2" t="s">
        <v>14</v>
      </c>
      <c r="E361" s="2" t="s">
        <v>19</v>
      </c>
      <c r="F361" s="6" t="s">
        <v>110</v>
      </c>
      <c r="G361" s="2">
        <v>1</v>
      </c>
      <c r="H361" s="2" t="s">
        <v>11</v>
      </c>
      <c r="I361" s="2" t="s">
        <v>11</v>
      </c>
      <c r="J361" s="2" t="str">
        <f t="shared" si="5"/>
        <v>YES</v>
      </c>
      <c r="K361" s="2" t="e">
        <f>VLOOKUP(F361,Scan!A:A,1,0)</f>
        <v>#N/A</v>
      </c>
    </row>
    <row r="362" spans="1:11" hidden="1" x14ac:dyDescent="0.3">
      <c r="A362" s="2" t="s">
        <v>108</v>
      </c>
      <c r="B362" s="2" t="s">
        <v>17</v>
      </c>
      <c r="C362" s="2" t="s">
        <v>18</v>
      </c>
      <c r="D362" s="2" t="s">
        <v>14</v>
      </c>
      <c r="E362" s="2" t="s">
        <v>19</v>
      </c>
      <c r="F362" s="6" t="s">
        <v>111</v>
      </c>
      <c r="G362" s="2">
        <v>1</v>
      </c>
      <c r="H362" s="2" t="s">
        <v>11</v>
      </c>
      <c r="I362" s="2" t="s">
        <v>11</v>
      </c>
      <c r="J362" s="2" t="str">
        <f t="shared" si="5"/>
        <v>YES</v>
      </c>
      <c r="K362" s="2" t="e">
        <f>VLOOKUP(F362,Scan!A:A,1,0)</f>
        <v>#N/A</v>
      </c>
    </row>
    <row r="363" spans="1:11" hidden="1" x14ac:dyDescent="0.3">
      <c r="A363" s="2" t="s">
        <v>108</v>
      </c>
      <c r="B363" s="2" t="s">
        <v>20</v>
      </c>
      <c r="C363" s="2" t="s">
        <v>18</v>
      </c>
      <c r="D363" s="2" t="s">
        <v>14</v>
      </c>
      <c r="E363" s="2" t="s">
        <v>21</v>
      </c>
      <c r="F363" s="6" t="s">
        <v>112</v>
      </c>
      <c r="G363" s="2">
        <v>1</v>
      </c>
      <c r="H363" s="2" t="s">
        <v>11</v>
      </c>
      <c r="I363" s="2" t="s">
        <v>11</v>
      </c>
      <c r="J363" s="2" t="str">
        <f t="shared" si="5"/>
        <v>YES</v>
      </c>
      <c r="K363" s="2" t="e">
        <f>VLOOKUP(F363,Scan!A:A,1,0)</f>
        <v>#N/A</v>
      </c>
    </row>
    <row r="364" spans="1:11" hidden="1" x14ac:dyDescent="0.3">
      <c r="A364" s="2" t="s">
        <v>108</v>
      </c>
      <c r="B364" s="2" t="s">
        <v>20</v>
      </c>
      <c r="C364" s="2" t="s">
        <v>18</v>
      </c>
      <c r="D364" s="2" t="s">
        <v>14</v>
      </c>
      <c r="E364" s="2" t="s">
        <v>21</v>
      </c>
      <c r="F364" s="6" t="s">
        <v>113</v>
      </c>
      <c r="G364" s="2">
        <v>1</v>
      </c>
      <c r="H364" s="2" t="s">
        <v>11</v>
      </c>
      <c r="I364" s="2" t="s">
        <v>11</v>
      </c>
      <c r="J364" s="2" t="str">
        <f t="shared" si="5"/>
        <v>YES</v>
      </c>
      <c r="K364" s="2" t="e">
        <f>VLOOKUP(F364,Scan!A:A,1,0)</f>
        <v>#N/A</v>
      </c>
    </row>
    <row r="365" spans="1:11" hidden="1" x14ac:dyDescent="0.3">
      <c r="A365" s="2" t="s">
        <v>108</v>
      </c>
      <c r="B365" s="2" t="s">
        <v>12</v>
      </c>
      <c r="C365" s="2" t="s">
        <v>13</v>
      </c>
      <c r="D365" s="2" t="s">
        <v>14</v>
      </c>
      <c r="E365" s="2" t="s">
        <v>15</v>
      </c>
      <c r="F365" s="6" t="s">
        <v>114</v>
      </c>
      <c r="G365" s="2">
        <v>1</v>
      </c>
      <c r="H365" s="2" t="s">
        <v>9</v>
      </c>
      <c r="I365" s="2" t="s">
        <v>22</v>
      </c>
      <c r="J365" s="2" t="str">
        <f t="shared" si="5"/>
        <v>YES</v>
      </c>
      <c r="K365" s="2" t="e">
        <f>VLOOKUP(F365,Scan!A:A,1,0)</f>
        <v>#N/A</v>
      </c>
    </row>
    <row r="366" spans="1:11" hidden="1" x14ac:dyDescent="0.3">
      <c r="A366" s="2" t="s">
        <v>108</v>
      </c>
      <c r="B366" s="2" t="s">
        <v>17</v>
      </c>
      <c r="C366" s="2" t="s">
        <v>18</v>
      </c>
      <c r="D366" s="2" t="s">
        <v>14</v>
      </c>
      <c r="E366" s="2" t="s">
        <v>19</v>
      </c>
      <c r="F366" s="6" t="s">
        <v>115</v>
      </c>
      <c r="G366" s="2">
        <v>1</v>
      </c>
      <c r="H366" s="2" t="s">
        <v>11</v>
      </c>
      <c r="I366" s="2" t="s">
        <v>11</v>
      </c>
      <c r="J366" s="2" t="str">
        <f t="shared" si="5"/>
        <v>YES</v>
      </c>
      <c r="K366" s="2" t="e">
        <f>VLOOKUP(F366,Scan!A:A,1,0)</f>
        <v>#N/A</v>
      </c>
    </row>
    <row r="367" spans="1:11" hidden="1" x14ac:dyDescent="0.3">
      <c r="A367" s="2" t="s">
        <v>108</v>
      </c>
      <c r="B367" s="2" t="s">
        <v>17</v>
      </c>
      <c r="C367" s="2" t="s">
        <v>18</v>
      </c>
      <c r="D367" s="2" t="s">
        <v>14</v>
      </c>
      <c r="E367" s="2" t="s">
        <v>19</v>
      </c>
      <c r="F367" s="6" t="s">
        <v>116</v>
      </c>
      <c r="G367" s="2">
        <v>1</v>
      </c>
      <c r="H367" s="2" t="s">
        <v>11</v>
      </c>
      <c r="I367" s="2" t="s">
        <v>11</v>
      </c>
      <c r="J367" s="2" t="str">
        <f t="shared" si="5"/>
        <v>YES</v>
      </c>
      <c r="K367" s="2" t="e">
        <f>VLOOKUP(F367,Scan!A:A,1,0)</f>
        <v>#N/A</v>
      </c>
    </row>
    <row r="368" spans="1:11" hidden="1" x14ac:dyDescent="0.3">
      <c r="A368" s="2" t="s">
        <v>108</v>
      </c>
      <c r="B368" s="2" t="s">
        <v>20</v>
      </c>
      <c r="C368" s="2" t="s">
        <v>18</v>
      </c>
      <c r="D368" s="2" t="s">
        <v>14</v>
      </c>
      <c r="E368" s="2" t="s">
        <v>21</v>
      </c>
      <c r="F368" s="6" t="s">
        <v>117</v>
      </c>
      <c r="G368" s="2">
        <v>1</v>
      </c>
      <c r="H368" s="2" t="s">
        <v>11</v>
      </c>
      <c r="I368" s="2" t="s">
        <v>11</v>
      </c>
      <c r="J368" s="2" t="str">
        <f t="shared" si="5"/>
        <v>YES</v>
      </c>
      <c r="K368" s="2" t="e">
        <f>VLOOKUP(F368,Scan!A:A,1,0)</f>
        <v>#N/A</v>
      </c>
    </row>
    <row r="369" spans="1:11" hidden="1" x14ac:dyDescent="0.3">
      <c r="A369" s="2" t="s">
        <v>108</v>
      </c>
      <c r="B369" s="2" t="s">
        <v>20</v>
      </c>
      <c r="C369" s="2" t="s">
        <v>18</v>
      </c>
      <c r="D369" s="2" t="s">
        <v>14</v>
      </c>
      <c r="E369" s="2" t="s">
        <v>21</v>
      </c>
      <c r="F369" s="6" t="s">
        <v>118</v>
      </c>
      <c r="G369" s="2">
        <v>1</v>
      </c>
      <c r="H369" s="2" t="s">
        <v>11</v>
      </c>
      <c r="I369" s="2" t="s">
        <v>11</v>
      </c>
      <c r="J369" s="2" t="str">
        <f t="shared" si="5"/>
        <v>YES</v>
      </c>
      <c r="K369" s="2" t="e">
        <f>VLOOKUP(F369,Scan!A:A,1,0)</f>
        <v>#N/A</v>
      </c>
    </row>
    <row r="370" spans="1:11" hidden="1" x14ac:dyDescent="0.3">
      <c r="A370" s="2" t="s">
        <v>108</v>
      </c>
      <c r="B370" s="2" t="s">
        <v>23</v>
      </c>
      <c r="C370" s="2" t="s">
        <v>24</v>
      </c>
      <c r="D370" s="2" t="s">
        <v>25</v>
      </c>
      <c r="E370" s="2" t="s">
        <v>26</v>
      </c>
      <c r="F370" s="6" t="s">
        <v>119</v>
      </c>
      <c r="G370" s="2">
        <v>1</v>
      </c>
      <c r="H370" s="2" t="s">
        <v>9</v>
      </c>
      <c r="I370" s="2" t="s">
        <v>27</v>
      </c>
      <c r="J370" s="2" t="str">
        <f t="shared" si="5"/>
        <v>YES</v>
      </c>
      <c r="K370" s="2" t="e">
        <f>VLOOKUP(F370,Scan!A:A,1,0)</f>
        <v>#N/A</v>
      </c>
    </row>
    <row r="371" spans="1:11" hidden="1" x14ac:dyDescent="0.3">
      <c r="A371" s="2" t="s">
        <v>108</v>
      </c>
      <c r="B371" s="2" t="s">
        <v>28</v>
      </c>
      <c r="C371" s="2" t="s">
        <v>18</v>
      </c>
      <c r="D371" s="2" t="s">
        <v>25</v>
      </c>
      <c r="E371" s="2" t="s">
        <v>29</v>
      </c>
      <c r="F371" s="6" t="s">
        <v>120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  <c r="K371" s="2" t="e">
        <f>VLOOKUP(F371,Scan!A:A,1,0)</f>
        <v>#N/A</v>
      </c>
    </row>
    <row r="372" spans="1:11" hidden="1" x14ac:dyDescent="0.3">
      <c r="A372" s="2" t="s">
        <v>108</v>
      </c>
      <c r="B372" s="2" t="s">
        <v>28</v>
      </c>
      <c r="C372" s="2" t="s">
        <v>18</v>
      </c>
      <c r="D372" s="2" t="s">
        <v>25</v>
      </c>
      <c r="E372" s="2" t="s">
        <v>29</v>
      </c>
      <c r="F372" s="6" t="s">
        <v>121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  <c r="K372" s="2" t="e">
        <f>VLOOKUP(F372,Scan!A:A,1,0)</f>
        <v>#N/A</v>
      </c>
    </row>
    <row r="373" spans="1:11" hidden="1" x14ac:dyDescent="0.3">
      <c r="A373" s="2" t="s">
        <v>108</v>
      </c>
      <c r="B373" s="2" t="s">
        <v>28</v>
      </c>
      <c r="C373" s="2" t="s">
        <v>18</v>
      </c>
      <c r="D373" s="2" t="s">
        <v>25</v>
      </c>
      <c r="E373" s="2" t="s">
        <v>29</v>
      </c>
      <c r="F373" s="6" t="s">
        <v>122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  <c r="K373" s="2" t="e">
        <f>VLOOKUP(F373,Scan!A:A,1,0)</f>
        <v>#N/A</v>
      </c>
    </row>
    <row r="374" spans="1:11" hidden="1" x14ac:dyDescent="0.3">
      <c r="A374" s="2" t="s">
        <v>108</v>
      </c>
      <c r="B374" s="2" t="s">
        <v>28</v>
      </c>
      <c r="C374" s="2" t="s">
        <v>18</v>
      </c>
      <c r="D374" s="2" t="s">
        <v>25</v>
      </c>
      <c r="E374" s="2" t="s">
        <v>29</v>
      </c>
      <c r="F374" s="6" t="s">
        <v>123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  <c r="K374" s="2" t="e">
        <f>VLOOKUP(F374,Scan!A:A,1,0)</f>
        <v>#N/A</v>
      </c>
    </row>
    <row r="375" spans="1:11" hidden="1" x14ac:dyDescent="0.3">
      <c r="A375" s="2" t="s">
        <v>108</v>
      </c>
      <c r="B375" s="2" t="s">
        <v>28</v>
      </c>
      <c r="C375" s="2" t="s">
        <v>18</v>
      </c>
      <c r="D375" s="2" t="s">
        <v>25</v>
      </c>
      <c r="E375" s="2" t="s">
        <v>29</v>
      </c>
      <c r="F375" s="6" t="s">
        <v>124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  <c r="K375" s="2" t="e">
        <f>VLOOKUP(F375,Scan!A:A,1,0)</f>
        <v>#N/A</v>
      </c>
    </row>
    <row r="376" spans="1:11" hidden="1" x14ac:dyDescent="0.3">
      <c r="A376" s="2" t="s">
        <v>108</v>
      </c>
      <c r="B376" s="2" t="s">
        <v>30</v>
      </c>
      <c r="C376" s="2" t="s">
        <v>18</v>
      </c>
      <c r="D376" s="2" t="s">
        <v>25</v>
      </c>
      <c r="E376" s="2" t="s">
        <v>31</v>
      </c>
      <c r="F376" s="6" t="s">
        <v>125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  <c r="K376" s="2" t="e">
        <f>VLOOKUP(F376,Scan!A:A,1,0)</f>
        <v>#N/A</v>
      </c>
    </row>
    <row r="377" spans="1:11" hidden="1" x14ac:dyDescent="0.3">
      <c r="A377" s="2" t="s">
        <v>108</v>
      </c>
      <c r="B377" s="2" t="s">
        <v>30</v>
      </c>
      <c r="C377" s="2" t="s">
        <v>18</v>
      </c>
      <c r="D377" s="2" t="s">
        <v>25</v>
      </c>
      <c r="E377" s="2" t="s">
        <v>31</v>
      </c>
      <c r="F377" s="6" t="s">
        <v>126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  <c r="K377" s="2" t="e">
        <f>VLOOKUP(F377,Scan!A:A,1,0)</f>
        <v>#N/A</v>
      </c>
    </row>
    <row r="378" spans="1:11" hidden="1" x14ac:dyDescent="0.3">
      <c r="A378" s="2" t="s">
        <v>108</v>
      </c>
      <c r="B378" s="2" t="s">
        <v>30</v>
      </c>
      <c r="C378" s="2" t="s">
        <v>18</v>
      </c>
      <c r="D378" s="2" t="s">
        <v>25</v>
      </c>
      <c r="E378" s="2" t="s">
        <v>31</v>
      </c>
      <c r="F378" s="6" t="s">
        <v>127</v>
      </c>
      <c r="G378" s="2">
        <v>1</v>
      </c>
      <c r="H378" s="2" t="s">
        <v>11</v>
      </c>
      <c r="I378" s="2" t="s">
        <v>11</v>
      </c>
      <c r="J378" s="2" t="str">
        <f t="shared" si="5"/>
        <v>YES</v>
      </c>
      <c r="K378" s="2" t="e">
        <f>VLOOKUP(F378,Scan!A:A,1,0)</f>
        <v>#N/A</v>
      </c>
    </row>
    <row r="379" spans="1:11" hidden="1" x14ac:dyDescent="0.3">
      <c r="A379" s="2" t="s">
        <v>108</v>
      </c>
      <c r="B379" s="2" t="s">
        <v>30</v>
      </c>
      <c r="C379" s="2" t="s">
        <v>18</v>
      </c>
      <c r="D379" s="2" t="s">
        <v>25</v>
      </c>
      <c r="E379" s="2" t="s">
        <v>31</v>
      </c>
      <c r="F379" s="6" t="s">
        <v>128</v>
      </c>
      <c r="G379" s="2">
        <v>1</v>
      </c>
      <c r="H379" s="2" t="s">
        <v>11</v>
      </c>
      <c r="I379" s="2" t="s">
        <v>11</v>
      </c>
      <c r="J379" s="2" t="str">
        <f t="shared" si="5"/>
        <v>YES</v>
      </c>
      <c r="K379" s="2" t="e">
        <f>VLOOKUP(F379,Scan!A:A,1,0)</f>
        <v>#N/A</v>
      </c>
    </row>
    <row r="380" spans="1:11" hidden="1" x14ac:dyDescent="0.3">
      <c r="A380" s="2" t="s">
        <v>108</v>
      </c>
      <c r="B380" s="2" t="s">
        <v>32</v>
      </c>
      <c r="C380" s="2" t="s">
        <v>18</v>
      </c>
      <c r="D380" s="2" t="s">
        <v>25</v>
      </c>
      <c r="E380" s="2" t="s">
        <v>33</v>
      </c>
      <c r="F380" s="6" t="s">
        <v>129</v>
      </c>
      <c r="G380" s="2">
        <v>1</v>
      </c>
      <c r="H380" s="2" t="s">
        <v>11</v>
      </c>
      <c r="I380" s="2" t="s">
        <v>11</v>
      </c>
      <c r="J380" s="2" t="str">
        <f t="shared" si="5"/>
        <v>YES</v>
      </c>
      <c r="K380" s="2" t="e">
        <f>VLOOKUP(F380,Scan!A:A,1,0)</f>
        <v>#N/A</v>
      </c>
    </row>
    <row r="381" spans="1:11" hidden="1" x14ac:dyDescent="0.3">
      <c r="A381" s="2" t="s">
        <v>108</v>
      </c>
      <c r="B381" s="2" t="s">
        <v>32</v>
      </c>
      <c r="C381" s="2" t="s">
        <v>18</v>
      </c>
      <c r="D381" s="2" t="s">
        <v>25</v>
      </c>
      <c r="E381" s="2" t="s">
        <v>33</v>
      </c>
      <c r="F381" s="6" t="s">
        <v>130</v>
      </c>
      <c r="G381" s="2">
        <v>1</v>
      </c>
      <c r="H381" s="2" t="s">
        <v>11</v>
      </c>
      <c r="I381" s="2" t="s">
        <v>11</v>
      </c>
      <c r="J381" s="2" t="str">
        <f t="shared" si="5"/>
        <v>YES</v>
      </c>
      <c r="K381" s="2" t="e">
        <f>VLOOKUP(F381,Scan!A:A,1,0)</f>
        <v>#N/A</v>
      </c>
    </row>
    <row r="382" spans="1:11" hidden="1" x14ac:dyDescent="0.3">
      <c r="A382" s="2" t="s">
        <v>108</v>
      </c>
      <c r="B382" s="2" t="s">
        <v>32</v>
      </c>
      <c r="C382" s="2" t="s">
        <v>18</v>
      </c>
      <c r="D382" s="2" t="s">
        <v>25</v>
      </c>
      <c r="E382" s="2" t="s">
        <v>33</v>
      </c>
      <c r="F382" s="6" t="s">
        <v>131</v>
      </c>
      <c r="G382" s="2">
        <v>1</v>
      </c>
      <c r="H382" s="2" t="s">
        <v>11</v>
      </c>
      <c r="I382" s="2" t="s">
        <v>11</v>
      </c>
      <c r="J382" s="2" t="str">
        <f t="shared" si="5"/>
        <v>YES</v>
      </c>
      <c r="K382" s="2" t="e">
        <f>VLOOKUP(F382,Scan!A:A,1,0)</f>
        <v>#N/A</v>
      </c>
    </row>
    <row r="383" spans="1:11" hidden="1" x14ac:dyDescent="0.3">
      <c r="A383" s="2" t="s">
        <v>108</v>
      </c>
      <c r="B383" s="2" t="s">
        <v>32</v>
      </c>
      <c r="C383" s="2" t="s">
        <v>18</v>
      </c>
      <c r="D383" s="2" t="s">
        <v>25</v>
      </c>
      <c r="E383" s="2" t="s">
        <v>33</v>
      </c>
      <c r="F383" s="6" t="s">
        <v>132</v>
      </c>
      <c r="G383" s="2">
        <v>1</v>
      </c>
      <c r="H383" s="2" t="s">
        <v>11</v>
      </c>
      <c r="I383" s="2" t="s">
        <v>11</v>
      </c>
      <c r="J383" s="2" t="str">
        <f t="shared" si="5"/>
        <v>YES</v>
      </c>
      <c r="K383" s="2" t="e">
        <f>VLOOKUP(F383,Scan!A:A,1,0)</f>
        <v>#N/A</v>
      </c>
    </row>
    <row r="384" spans="1:11" hidden="1" x14ac:dyDescent="0.3">
      <c r="A384" s="2" t="s">
        <v>108</v>
      </c>
      <c r="B384" s="2" t="s">
        <v>23</v>
      </c>
      <c r="C384" s="2" t="s">
        <v>24</v>
      </c>
      <c r="D384" s="2" t="s">
        <v>25</v>
      </c>
      <c r="E384" s="2" t="s">
        <v>26</v>
      </c>
      <c r="F384" s="6" t="s">
        <v>133</v>
      </c>
      <c r="G384" s="2">
        <v>1</v>
      </c>
      <c r="H384" s="2" t="s">
        <v>9</v>
      </c>
      <c r="I384" s="2" t="s">
        <v>34</v>
      </c>
      <c r="J384" s="2" t="str">
        <f t="shared" si="5"/>
        <v>YES</v>
      </c>
      <c r="K384" s="2" t="e">
        <f>VLOOKUP(F384,Scan!A:A,1,0)</f>
        <v>#N/A</v>
      </c>
    </row>
    <row r="385" spans="1:11" hidden="1" x14ac:dyDescent="0.3">
      <c r="A385" s="2" t="s">
        <v>108</v>
      </c>
      <c r="B385" s="2" t="s">
        <v>28</v>
      </c>
      <c r="C385" s="2" t="s">
        <v>18</v>
      </c>
      <c r="D385" s="2" t="s">
        <v>25</v>
      </c>
      <c r="E385" s="2" t="s">
        <v>29</v>
      </c>
      <c r="F385" s="6" t="s">
        <v>134</v>
      </c>
      <c r="G385" s="2">
        <v>1</v>
      </c>
      <c r="H385" s="2" t="s">
        <v>11</v>
      </c>
      <c r="I385" s="2" t="s">
        <v>11</v>
      </c>
      <c r="J385" s="2" t="str">
        <f t="shared" si="5"/>
        <v>YES</v>
      </c>
      <c r="K385" s="2" t="e">
        <f>VLOOKUP(F385,Scan!A:A,1,0)</f>
        <v>#N/A</v>
      </c>
    </row>
    <row r="386" spans="1:11" hidden="1" x14ac:dyDescent="0.3">
      <c r="A386" s="2" t="s">
        <v>108</v>
      </c>
      <c r="B386" s="2" t="s">
        <v>28</v>
      </c>
      <c r="C386" s="2" t="s">
        <v>18</v>
      </c>
      <c r="D386" s="2" t="s">
        <v>25</v>
      </c>
      <c r="E386" s="2" t="s">
        <v>29</v>
      </c>
      <c r="F386" s="6" t="s">
        <v>135</v>
      </c>
      <c r="G386" s="2">
        <v>1</v>
      </c>
      <c r="H386" s="2" t="s">
        <v>11</v>
      </c>
      <c r="I386" s="2" t="s">
        <v>11</v>
      </c>
      <c r="J386" s="2" t="str">
        <f t="shared" si="5"/>
        <v>YES</v>
      </c>
      <c r="K386" s="2" t="e">
        <f>VLOOKUP(F386,Scan!A:A,1,0)</f>
        <v>#N/A</v>
      </c>
    </row>
    <row r="387" spans="1:11" hidden="1" x14ac:dyDescent="0.3">
      <c r="A387" s="2" t="s">
        <v>108</v>
      </c>
      <c r="B387" s="2" t="s">
        <v>28</v>
      </c>
      <c r="C387" s="2" t="s">
        <v>18</v>
      </c>
      <c r="D387" s="2" t="s">
        <v>25</v>
      </c>
      <c r="E387" s="2" t="s">
        <v>29</v>
      </c>
      <c r="F387" s="6" t="s">
        <v>136</v>
      </c>
      <c r="G387" s="2">
        <v>1</v>
      </c>
      <c r="H387" s="2" t="s">
        <v>11</v>
      </c>
      <c r="I387" s="2" t="s">
        <v>11</v>
      </c>
      <c r="J387" s="2" t="str">
        <f t="shared" ref="J387:J450" si="6">IF(OR(F387="",F387="_",LEFT(F387,5)="SPARE",F387="N/A"),"NO","YES")</f>
        <v>YES</v>
      </c>
      <c r="K387" s="2" t="e">
        <f>VLOOKUP(F387,Scan!A:A,1,0)</f>
        <v>#N/A</v>
      </c>
    </row>
    <row r="388" spans="1:11" hidden="1" x14ac:dyDescent="0.3">
      <c r="A388" s="2" t="s">
        <v>108</v>
      </c>
      <c r="B388" s="2" t="s">
        <v>28</v>
      </c>
      <c r="C388" s="2" t="s">
        <v>18</v>
      </c>
      <c r="D388" s="2" t="s">
        <v>25</v>
      </c>
      <c r="E388" s="2" t="s">
        <v>29</v>
      </c>
      <c r="F388" s="6" t="s">
        <v>137</v>
      </c>
      <c r="G388" s="2">
        <v>1</v>
      </c>
      <c r="H388" s="2" t="s">
        <v>11</v>
      </c>
      <c r="I388" s="2" t="s">
        <v>11</v>
      </c>
      <c r="J388" s="2" t="str">
        <f t="shared" si="6"/>
        <v>YES</v>
      </c>
      <c r="K388" s="2" t="e">
        <f>VLOOKUP(F388,Scan!A:A,1,0)</f>
        <v>#N/A</v>
      </c>
    </row>
    <row r="389" spans="1:11" hidden="1" x14ac:dyDescent="0.3">
      <c r="A389" s="2" t="s">
        <v>108</v>
      </c>
      <c r="B389" s="2" t="s">
        <v>28</v>
      </c>
      <c r="C389" s="2" t="s">
        <v>18</v>
      </c>
      <c r="D389" s="2" t="s">
        <v>25</v>
      </c>
      <c r="E389" s="2" t="s">
        <v>29</v>
      </c>
      <c r="F389" s="6" t="s">
        <v>138</v>
      </c>
      <c r="G389" s="2">
        <v>1</v>
      </c>
      <c r="H389" s="2" t="s">
        <v>11</v>
      </c>
      <c r="I389" s="2" t="s">
        <v>11</v>
      </c>
      <c r="J389" s="2" t="str">
        <f t="shared" si="6"/>
        <v>YES</v>
      </c>
      <c r="K389" s="2" t="e">
        <f>VLOOKUP(F389,Scan!A:A,1,0)</f>
        <v>#N/A</v>
      </c>
    </row>
    <row r="390" spans="1:11" hidden="1" x14ac:dyDescent="0.3">
      <c r="A390" s="2" t="s">
        <v>108</v>
      </c>
      <c r="B390" s="2" t="s">
        <v>30</v>
      </c>
      <c r="C390" s="2" t="s">
        <v>18</v>
      </c>
      <c r="D390" s="2" t="s">
        <v>25</v>
      </c>
      <c r="E390" s="2" t="s">
        <v>31</v>
      </c>
      <c r="F390" s="6" t="s">
        <v>139</v>
      </c>
      <c r="G390" s="2">
        <v>1</v>
      </c>
      <c r="H390" s="2" t="s">
        <v>11</v>
      </c>
      <c r="I390" s="2" t="s">
        <v>11</v>
      </c>
      <c r="J390" s="2" t="str">
        <f t="shared" si="6"/>
        <v>YES</v>
      </c>
      <c r="K390" s="2" t="e">
        <f>VLOOKUP(F390,Scan!A:A,1,0)</f>
        <v>#N/A</v>
      </c>
    </row>
    <row r="391" spans="1:11" hidden="1" x14ac:dyDescent="0.3">
      <c r="A391" s="2" t="s">
        <v>108</v>
      </c>
      <c r="B391" s="2" t="s">
        <v>30</v>
      </c>
      <c r="C391" s="2" t="s">
        <v>18</v>
      </c>
      <c r="D391" s="2" t="s">
        <v>25</v>
      </c>
      <c r="E391" s="2" t="s">
        <v>31</v>
      </c>
      <c r="F391" s="6" t="s">
        <v>140</v>
      </c>
      <c r="G391" s="2">
        <v>1</v>
      </c>
      <c r="H391" s="2" t="s">
        <v>11</v>
      </c>
      <c r="I391" s="2" t="s">
        <v>11</v>
      </c>
      <c r="J391" s="2" t="str">
        <f t="shared" si="6"/>
        <v>YES</v>
      </c>
      <c r="K391" s="2" t="e">
        <f>VLOOKUP(F391,Scan!A:A,1,0)</f>
        <v>#N/A</v>
      </c>
    </row>
    <row r="392" spans="1:11" hidden="1" x14ac:dyDescent="0.3">
      <c r="A392" s="2" t="s">
        <v>108</v>
      </c>
      <c r="B392" s="2" t="s">
        <v>30</v>
      </c>
      <c r="C392" s="2" t="s">
        <v>18</v>
      </c>
      <c r="D392" s="2" t="s">
        <v>25</v>
      </c>
      <c r="E392" s="2" t="s">
        <v>31</v>
      </c>
      <c r="F392" s="6" t="s">
        <v>141</v>
      </c>
      <c r="G392" s="2">
        <v>1</v>
      </c>
      <c r="H392" s="2" t="s">
        <v>11</v>
      </c>
      <c r="I392" s="2" t="s">
        <v>11</v>
      </c>
      <c r="J392" s="2" t="str">
        <f t="shared" si="6"/>
        <v>YES</v>
      </c>
      <c r="K392" s="2" t="e">
        <f>VLOOKUP(F392,Scan!A:A,1,0)</f>
        <v>#N/A</v>
      </c>
    </row>
    <row r="393" spans="1:11" hidden="1" x14ac:dyDescent="0.3">
      <c r="A393" s="2" t="s">
        <v>108</v>
      </c>
      <c r="B393" s="2" t="s">
        <v>30</v>
      </c>
      <c r="C393" s="2" t="s">
        <v>18</v>
      </c>
      <c r="D393" s="2" t="s">
        <v>25</v>
      </c>
      <c r="E393" s="2" t="s">
        <v>31</v>
      </c>
      <c r="F393" s="6" t="s">
        <v>142</v>
      </c>
      <c r="G393" s="2">
        <v>1</v>
      </c>
      <c r="H393" s="2" t="s">
        <v>11</v>
      </c>
      <c r="I393" s="2" t="s">
        <v>11</v>
      </c>
      <c r="J393" s="2" t="str">
        <f t="shared" si="6"/>
        <v>YES</v>
      </c>
      <c r="K393" s="2" t="e">
        <f>VLOOKUP(F393,Scan!A:A,1,0)</f>
        <v>#N/A</v>
      </c>
    </row>
    <row r="394" spans="1:11" hidden="1" x14ac:dyDescent="0.3">
      <c r="A394" s="2" t="s">
        <v>108</v>
      </c>
      <c r="B394" s="2" t="s">
        <v>32</v>
      </c>
      <c r="C394" s="2" t="s">
        <v>18</v>
      </c>
      <c r="D394" s="2" t="s">
        <v>25</v>
      </c>
      <c r="E394" s="2" t="s">
        <v>33</v>
      </c>
      <c r="F394" s="6" t="s">
        <v>143</v>
      </c>
      <c r="G394" s="2">
        <v>1</v>
      </c>
      <c r="H394" s="2" t="s">
        <v>11</v>
      </c>
      <c r="I394" s="2" t="s">
        <v>11</v>
      </c>
      <c r="J394" s="2" t="str">
        <f t="shared" si="6"/>
        <v>YES</v>
      </c>
      <c r="K394" s="2" t="e">
        <f>VLOOKUP(F394,Scan!A:A,1,0)</f>
        <v>#N/A</v>
      </c>
    </row>
    <row r="395" spans="1:11" hidden="1" x14ac:dyDescent="0.3">
      <c r="A395" s="2" t="s">
        <v>108</v>
      </c>
      <c r="B395" s="2" t="s">
        <v>32</v>
      </c>
      <c r="C395" s="2" t="s">
        <v>18</v>
      </c>
      <c r="D395" s="2" t="s">
        <v>25</v>
      </c>
      <c r="E395" s="2" t="s">
        <v>33</v>
      </c>
      <c r="F395" s="6" t="s">
        <v>144</v>
      </c>
      <c r="G395" s="2">
        <v>1</v>
      </c>
      <c r="H395" s="2" t="s">
        <v>11</v>
      </c>
      <c r="I395" s="2" t="s">
        <v>11</v>
      </c>
      <c r="J395" s="2" t="str">
        <f t="shared" si="6"/>
        <v>YES</v>
      </c>
      <c r="K395" s="2" t="e">
        <f>VLOOKUP(F395,Scan!A:A,1,0)</f>
        <v>#N/A</v>
      </c>
    </row>
    <row r="396" spans="1:11" hidden="1" x14ac:dyDescent="0.3">
      <c r="A396" s="2" t="s">
        <v>108</v>
      </c>
      <c r="B396" s="2" t="s">
        <v>32</v>
      </c>
      <c r="C396" s="2" t="s">
        <v>18</v>
      </c>
      <c r="D396" s="2" t="s">
        <v>25</v>
      </c>
      <c r="E396" s="2" t="s">
        <v>33</v>
      </c>
      <c r="F396" s="6" t="s">
        <v>145</v>
      </c>
      <c r="G396" s="2">
        <v>1</v>
      </c>
      <c r="H396" s="2" t="s">
        <v>11</v>
      </c>
      <c r="I396" s="2" t="s">
        <v>11</v>
      </c>
      <c r="J396" s="2" t="str">
        <f t="shared" si="6"/>
        <v>YES</v>
      </c>
      <c r="K396" s="2" t="e">
        <f>VLOOKUP(F396,Scan!A:A,1,0)</f>
        <v>#N/A</v>
      </c>
    </row>
    <row r="397" spans="1:11" hidden="1" x14ac:dyDescent="0.3">
      <c r="A397" s="2" t="s">
        <v>108</v>
      </c>
      <c r="B397" s="2" t="s">
        <v>32</v>
      </c>
      <c r="C397" s="2" t="s">
        <v>18</v>
      </c>
      <c r="D397" s="2" t="s">
        <v>25</v>
      </c>
      <c r="E397" s="2" t="s">
        <v>33</v>
      </c>
      <c r="F397" s="6" t="s">
        <v>146</v>
      </c>
      <c r="G397" s="2">
        <v>1</v>
      </c>
      <c r="H397" s="2" t="s">
        <v>11</v>
      </c>
      <c r="I397" s="2" t="s">
        <v>11</v>
      </c>
      <c r="J397" s="2" t="str">
        <f t="shared" si="6"/>
        <v>YES</v>
      </c>
      <c r="K397" s="2" t="e">
        <f>VLOOKUP(F397,Scan!A:A,1,0)</f>
        <v>#N/A</v>
      </c>
    </row>
    <row r="398" spans="1:11" hidden="1" x14ac:dyDescent="0.3">
      <c r="A398" s="2" t="s">
        <v>108</v>
      </c>
      <c r="B398" s="2" t="s">
        <v>35</v>
      </c>
      <c r="C398" s="2" t="s">
        <v>10</v>
      </c>
      <c r="D398" s="2" t="s">
        <v>11</v>
      </c>
      <c r="E398" s="2" t="s">
        <v>11</v>
      </c>
      <c r="F398" s="6" t="s">
        <v>11</v>
      </c>
      <c r="G398" s="2">
        <v>1</v>
      </c>
      <c r="H398" s="2" t="s">
        <v>35</v>
      </c>
      <c r="I398" s="2" t="s">
        <v>11</v>
      </c>
      <c r="J398" s="2" t="str">
        <f t="shared" si="6"/>
        <v>NO</v>
      </c>
      <c r="K398" s="2" t="e">
        <f>VLOOKUP(F398,Scan!A:A,1,0)</f>
        <v>#N/A</v>
      </c>
    </row>
    <row r="399" spans="1:11" hidden="1" x14ac:dyDescent="0.3">
      <c r="A399" s="2" t="s">
        <v>108</v>
      </c>
      <c r="B399" s="2" t="s">
        <v>12</v>
      </c>
      <c r="C399" s="2" t="s">
        <v>13</v>
      </c>
      <c r="D399" s="2" t="s">
        <v>14</v>
      </c>
      <c r="E399" s="2" t="s">
        <v>15</v>
      </c>
      <c r="F399" s="6" t="s">
        <v>147</v>
      </c>
      <c r="G399" s="2">
        <v>1</v>
      </c>
      <c r="H399" s="2" t="s">
        <v>35</v>
      </c>
      <c r="I399" s="2" t="s">
        <v>36</v>
      </c>
      <c r="J399" s="2" t="str">
        <f t="shared" si="6"/>
        <v>YES</v>
      </c>
      <c r="K399" s="2" t="e">
        <f>VLOOKUP(F399,Scan!A:A,1,0)</f>
        <v>#N/A</v>
      </c>
    </row>
    <row r="400" spans="1:11" hidden="1" x14ac:dyDescent="0.3">
      <c r="A400" s="2" t="s">
        <v>108</v>
      </c>
      <c r="B400" s="2" t="s">
        <v>17</v>
      </c>
      <c r="C400" s="2" t="s">
        <v>18</v>
      </c>
      <c r="D400" s="2" t="s">
        <v>14</v>
      </c>
      <c r="E400" s="2" t="s">
        <v>19</v>
      </c>
      <c r="F400" s="6" t="s">
        <v>148</v>
      </c>
      <c r="G400" s="2">
        <v>1</v>
      </c>
      <c r="H400" s="2" t="s">
        <v>11</v>
      </c>
      <c r="I400" s="2" t="s">
        <v>11</v>
      </c>
      <c r="J400" s="2" t="str">
        <f t="shared" si="6"/>
        <v>YES</v>
      </c>
      <c r="K400" s="2" t="e">
        <f>VLOOKUP(F400,Scan!A:A,1,0)</f>
        <v>#N/A</v>
      </c>
    </row>
    <row r="401" spans="1:11" hidden="1" x14ac:dyDescent="0.3">
      <c r="A401" s="2" t="s">
        <v>108</v>
      </c>
      <c r="B401" s="2" t="s">
        <v>17</v>
      </c>
      <c r="C401" s="2" t="s">
        <v>18</v>
      </c>
      <c r="D401" s="2" t="s">
        <v>14</v>
      </c>
      <c r="E401" s="2" t="s">
        <v>19</v>
      </c>
      <c r="F401" s="6" t="s">
        <v>149</v>
      </c>
      <c r="G401" s="2">
        <v>1</v>
      </c>
      <c r="H401" s="2" t="s">
        <v>11</v>
      </c>
      <c r="I401" s="2" t="s">
        <v>11</v>
      </c>
      <c r="J401" s="2" t="str">
        <f t="shared" si="6"/>
        <v>YES</v>
      </c>
      <c r="K401" s="2" t="e">
        <f>VLOOKUP(F401,Scan!A:A,1,0)</f>
        <v>#N/A</v>
      </c>
    </row>
    <row r="402" spans="1:11" hidden="1" x14ac:dyDescent="0.3">
      <c r="A402" s="2" t="s">
        <v>108</v>
      </c>
      <c r="B402" s="2" t="s">
        <v>20</v>
      </c>
      <c r="C402" s="2" t="s">
        <v>18</v>
      </c>
      <c r="D402" s="2" t="s">
        <v>14</v>
      </c>
      <c r="E402" s="2" t="s">
        <v>21</v>
      </c>
      <c r="F402" s="6" t="s">
        <v>150</v>
      </c>
      <c r="G402" s="2">
        <v>1</v>
      </c>
      <c r="H402" s="2" t="s">
        <v>11</v>
      </c>
      <c r="I402" s="2" t="s">
        <v>11</v>
      </c>
      <c r="J402" s="2" t="str">
        <f t="shared" si="6"/>
        <v>YES</v>
      </c>
      <c r="K402" s="2" t="e">
        <f>VLOOKUP(F402,Scan!A:A,1,0)</f>
        <v>#N/A</v>
      </c>
    </row>
    <row r="403" spans="1:11" hidden="1" x14ac:dyDescent="0.3">
      <c r="A403" s="2" t="s">
        <v>108</v>
      </c>
      <c r="B403" s="2" t="s">
        <v>20</v>
      </c>
      <c r="C403" s="2" t="s">
        <v>18</v>
      </c>
      <c r="D403" s="2" t="s">
        <v>14</v>
      </c>
      <c r="E403" s="2" t="s">
        <v>21</v>
      </c>
      <c r="F403" s="6" t="s">
        <v>151</v>
      </c>
      <c r="G403" s="2">
        <v>1</v>
      </c>
      <c r="H403" s="2" t="s">
        <v>11</v>
      </c>
      <c r="I403" s="2" t="s">
        <v>11</v>
      </c>
      <c r="J403" s="2" t="str">
        <f t="shared" si="6"/>
        <v>YES</v>
      </c>
      <c r="K403" s="2" t="e">
        <f>VLOOKUP(F403,Scan!A:A,1,0)</f>
        <v>#N/A</v>
      </c>
    </row>
    <row r="404" spans="1:11" hidden="1" x14ac:dyDescent="0.3">
      <c r="A404" s="2" t="s">
        <v>108</v>
      </c>
      <c r="B404" s="2" t="s">
        <v>12</v>
      </c>
      <c r="C404" s="2" t="s">
        <v>13</v>
      </c>
      <c r="D404" s="2" t="s">
        <v>14</v>
      </c>
      <c r="E404" s="2" t="s">
        <v>15</v>
      </c>
      <c r="F404" s="6" t="s">
        <v>152</v>
      </c>
      <c r="G404" s="2">
        <v>1</v>
      </c>
      <c r="H404" s="2" t="s">
        <v>35</v>
      </c>
      <c r="I404" s="2" t="s">
        <v>37</v>
      </c>
      <c r="J404" s="2" t="str">
        <f t="shared" si="6"/>
        <v>YES</v>
      </c>
      <c r="K404" s="2" t="e">
        <f>VLOOKUP(F404,Scan!A:A,1,0)</f>
        <v>#N/A</v>
      </c>
    </row>
    <row r="405" spans="1:11" hidden="1" x14ac:dyDescent="0.3">
      <c r="A405" s="2" t="s">
        <v>108</v>
      </c>
      <c r="B405" s="2" t="s">
        <v>17</v>
      </c>
      <c r="C405" s="2" t="s">
        <v>18</v>
      </c>
      <c r="D405" s="2" t="s">
        <v>14</v>
      </c>
      <c r="E405" s="2" t="s">
        <v>19</v>
      </c>
      <c r="F405" s="6" t="s">
        <v>153</v>
      </c>
      <c r="G405" s="2">
        <v>1</v>
      </c>
      <c r="H405" s="2" t="s">
        <v>11</v>
      </c>
      <c r="I405" s="2" t="s">
        <v>11</v>
      </c>
      <c r="J405" s="2" t="str">
        <f t="shared" si="6"/>
        <v>YES</v>
      </c>
      <c r="K405" s="2" t="e">
        <f>VLOOKUP(F405,Scan!A:A,1,0)</f>
        <v>#N/A</v>
      </c>
    </row>
    <row r="406" spans="1:11" hidden="1" x14ac:dyDescent="0.3">
      <c r="A406" s="2" t="s">
        <v>108</v>
      </c>
      <c r="B406" s="2" t="s">
        <v>17</v>
      </c>
      <c r="C406" s="2" t="s">
        <v>18</v>
      </c>
      <c r="D406" s="2" t="s">
        <v>14</v>
      </c>
      <c r="E406" s="2" t="s">
        <v>19</v>
      </c>
      <c r="F406" s="6" t="s">
        <v>154</v>
      </c>
      <c r="G406" s="2">
        <v>1</v>
      </c>
      <c r="H406" s="2" t="s">
        <v>11</v>
      </c>
      <c r="I406" s="2" t="s">
        <v>11</v>
      </c>
      <c r="J406" s="2" t="str">
        <f t="shared" si="6"/>
        <v>YES</v>
      </c>
      <c r="K406" s="2" t="e">
        <f>VLOOKUP(F406,Scan!A:A,1,0)</f>
        <v>#N/A</v>
      </c>
    </row>
    <row r="407" spans="1:11" hidden="1" x14ac:dyDescent="0.3">
      <c r="A407" s="2" t="s">
        <v>108</v>
      </c>
      <c r="B407" s="2" t="s">
        <v>20</v>
      </c>
      <c r="C407" s="2" t="s">
        <v>18</v>
      </c>
      <c r="D407" s="2" t="s">
        <v>14</v>
      </c>
      <c r="E407" s="2" t="s">
        <v>21</v>
      </c>
      <c r="F407" s="6" t="s">
        <v>155</v>
      </c>
      <c r="G407" s="2">
        <v>1</v>
      </c>
      <c r="H407" s="2" t="s">
        <v>11</v>
      </c>
      <c r="I407" s="2" t="s">
        <v>11</v>
      </c>
      <c r="J407" s="2" t="str">
        <f t="shared" si="6"/>
        <v>YES</v>
      </c>
      <c r="K407" s="2" t="e">
        <f>VLOOKUP(F407,Scan!A:A,1,0)</f>
        <v>#N/A</v>
      </c>
    </row>
    <row r="408" spans="1:11" hidden="1" x14ac:dyDescent="0.3">
      <c r="A408" s="2" t="s">
        <v>108</v>
      </c>
      <c r="B408" s="2" t="s">
        <v>20</v>
      </c>
      <c r="C408" s="2" t="s">
        <v>18</v>
      </c>
      <c r="D408" s="2" t="s">
        <v>14</v>
      </c>
      <c r="E408" s="2" t="s">
        <v>21</v>
      </c>
      <c r="F408" s="6" t="s">
        <v>156</v>
      </c>
      <c r="G408" s="2">
        <v>1</v>
      </c>
      <c r="H408" s="2" t="s">
        <v>11</v>
      </c>
      <c r="I408" s="2" t="s">
        <v>11</v>
      </c>
      <c r="J408" s="2" t="str">
        <f t="shared" si="6"/>
        <v>YES</v>
      </c>
      <c r="K408" s="2" t="e">
        <f>VLOOKUP(F408,Scan!A:A,1,0)</f>
        <v>#N/A</v>
      </c>
    </row>
    <row r="409" spans="1:11" hidden="1" x14ac:dyDescent="0.3">
      <c r="A409" s="2" t="s">
        <v>108</v>
      </c>
      <c r="B409" s="2" t="s">
        <v>38</v>
      </c>
      <c r="C409" s="2" t="s">
        <v>39</v>
      </c>
      <c r="D409" s="2" t="s">
        <v>14</v>
      </c>
      <c r="E409" s="2" t="s">
        <v>572</v>
      </c>
      <c r="F409" s="6" t="s">
        <v>157</v>
      </c>
      <c r="G409" s="2">
        <v>1</v>
      </c>
      <c r="H409" s="2" t="s">
        <v>158</v>
      </c>
      <c r="I409" s="2" t="s">
        <v>11</v>
      </c>
      <c r="J409" s="2" t="str">
        <f t="shared" si="6"/>
        <v>YES</v>
      </c>
      <c r="K409" s="2" t="e">
        <f>VLOOKUP(F409,Scan!A:A,1,0)</f>
        <v>#N/A</v>
      </c>
    </row>
    <row r="410" spans="1:11" hidden="1" x14ac:dyDescent="0.3">
      <c r="A410" s="2" t="s">
        <v>108</v>
      </c>
      <c r="B410" s="2" t="s">
        <v>38</v>
      </c>
      <c r="C410" s="2" t="s">
        <v>39</v>
      </c>
      <c r="D410" s="2" t="s">
        <v>14</v>
      </c>
      <c r="E410" s="2" t="s">
        <v>572</v>
      </c>
      <c r="F410" s="6" t="s">
        <v>159</v>
      </c>
      <c r="G410" s="2">
        <v>1</v>
      </c>
      <c r="H410" s="2" t="s">
        <v>160</v>
      </c>
      <c r="I410" s="2" t="s">
        <v>11</v>
      </c>
      <c r="J410" s="2" t="str">
        <f t="shared" si="6"/>
        <v>YES</v>
      </c>
      <c r="K410" s="2" t="e">
        <f>VLOOKUP(F410,Scan!A:A,1,0)</f>
        <v>#N/A</v>
      </c>
    </row>
    <row r="411" spans="1:11" hidden="1" x14ac:dyDescent="0.3">
      <c r="A411" s="2" t="s">
        <v>108</v>
      </c>
      <c r="B411" s="2" t="s">
        <v>40</v>
      </c>
      <c r="C411" s="2" t="s">
        <v>41</v>
      </c>
      <c r="D411" s="2" t="s">
        <v>14</v>
      </c>
      <c r="E411" s="2" t="s">
        <v>42</v>
      </c>
      <c r="F411" s="6" t="s">
        <v>161</v>
      </c>
      <c r="G411" s="2">
        <v>1</v>
      </c>
      <c r="H411" s="2" t="s">
        <v>35</v>
      </c>
      <c r="I411" s="2" t="s">
        <v>43</v>
      </c>
      <c r="J411" s="2" t="str">
        <f t="shared" si="6"/>
        <v>YES</v>
      </c>
      <c r="K411" s="2" t="e">
        <f>VLOOKUP(F411,Scan!A:A,1,0)</f>
        <v>#N/A</v>
      </c>
    </row>
    <row r="412" spans="1:11" hidden="1" x14ac:dyDescent="0.3">
      <c r="A412" s="2" t="s">
        <v>108</v>
      </c>
      <c r="B412" s="2" t="s">
        <v>44</v>
      </c>
      <c r="C412" s="2" t="s">
        <v>41</v>
      </c>
      <c r="D412" s="2" t="s">
        <v>14</v>
      </c>
      <c r="E412" s="2" t="s">
        <v>45</v>
      </c>
      <c r="F412" s="6" t="s">
        <v>162</v>
      </c>
      <c r="G412" s="2">
        <v>1</v>
      </c>
      <c r="H412" s="2" t="s">
        <v>11</v>
      </c>
      <c r="I412" s="2" t="s">
        <v>11</v>
      </c>
      <c r="J412" s="2" t="str">
        <f t="shared" si="6"/>
        <v>YES</v>
      </c>
      <c r="K412" s="2" t="e">
        <f>VLOOKUP(F412,Scan!A:A,1,0)</f>
        <v>#N/A</v>
      </c>
    </row>
    <row r="413" spans="1:11" hidden="1" x14ac:dyDescent="0.3">
      <c r="A413" s="2" t="s">
        <v>108</v>
      </c>
      <c r="B413" s="2" t="s">
        <v>44</v>
      </c>
      <c r="C413" s="2" t="s">
        <v>41</v>
      </c>
      <c r="D413" s="2" t="s">
        <v>14</v>
      </c>
      <c r="E413" s="2" t="s">
        <v>45</v>
      </c>
      <c r="F413" s="6" t="s">
        <v>163</v>
      </c>
      <c r="G413" s="2">
        <v>1</v>
      </c>
      <c r="H413" s="2" t="s">
        <v>11</v>
      </c>
      <c r="I413" s="2" t="s">
        <v>11</v>
      </c>
      <c r="J413" s="2" t="str">
        <f t="shared" si="6"/>
        <v>YES</v>
      </c>
      <c r="K413" s="2" t="e">
        <f>VLOOKUP(F413,Scan!A:A,1,0)</f>
        <v>#N/A</v>
      </c>
    </row>
    <row r="414" spans="1:11" hidden="1" x14ac:dyDescent="0.3">
      <c r="A414" s="2" t="s">
        <v>108</v>
      </c>
      <c r="B414" s="2" t="s">
        <v>46</v>
      </c>
      <c r="C414" s="2" t="s">
        <v>39</v>
      </c>
      <c r="D414" s="2" t="s">
        <v>14</v>
      </c>
      <c r="E414" s="2" t="s">
        <v>47</v>
      </c>
      <c r="F414" s="6" t="s">
        <v>164</v>
      </c>
      <c r="G414" s="2">
        <v>1</v>
      </c>
      <c r="H414" s="2" t="s">
        <v>165</v>
      </c>
      <c r="I414" s="2" t="s">
        <v>11</v>
      </c>
      <c r="J414" s="2" t="str">
        <f t="shared" si="6"/>
        <v>YES</v>
      </c>
      <c r="K414" s="2" t="e">
        <f>VLOOKUP(F414,Scan!A:A,1,0)</f>
        <v>#N/A</v>
      </c>
    </row>
    <row r="415" spans="1:11" hidden="1" x14ac:dyDescent="0.3">
      <c r="A415" s="2" t="s">
        <v>108</v>
      </c>
      <c r="B415" s="2" t="s">
        <v>46</v>
      </c>
      <c r="C415" s="2" t="s">
        <v>39</v>
      </c>
      <c r="D415" s="2" t="s">
        <v>14</v>
      </c>
      <c r="E415" s="2" t="s">
        <v>47</v>
      </c>
      <c r="F415" s="6" t="s">
        <v>166</v>
      </c>
      <c r="G415" s="2">
        <v>1</v>
      </c>
      <c r="H415" s="2" t="s">
        <v>167</v>
      </c>
      <c r="I415" s="2" t="s">
        <v>11</v>
      </c>
      <c r="J415" s="2" t="str">
        <f t="shared" si="6"/>
        <v>YES</v>
      </c>
      <c r="K415" s="2" t="e">
        <f>VLOOKUP(F415,Scan!A:A,1,0)</f>
        <v>#N/A</v>
      </c>
    </row>
    <row r="416" spans="1:11" hidden="1" x14ac:dyDescent="0.3">
      <c r="A416" s="2" t="s">
        <v>108</v>
      </c>
      <c r="B416" s="2" t="s">
        <v>46</v>
      </c>
      <c r="C416" s="2" t="s">
        <v>39</v>
      </c>
      <c r="D416" s="2" t="s">
        <v>14</v>
      </c>
      <c r="E416" s="2" t="s">
        <v>47</v>
      </c>
      <c r="F416" s="6" t="s">
        <v>168</v>
      </c>
      <c r="G416" s="2">
        <v>1</v>
      </c>
      <c r="H416" s="2" t="s">
        <v>169</v>
      </c>
      <c r="I416" s="2" t="s">
        <v>11</v>
      </c>
      <c r="J416" s="2" t="str">
        <f t="shared" si="6"/>
        <v>YES</v>
      </c>
      <c r="K416" s="2" t="e">
        <f>VLOOKUP(F416,Scan!A:A,1,0)</f>
        <v>#N/A</v>
      </c>
    </row>
    <row r="417" spans="1:11" hidden="1" x14ac:dyDescent="0.3">
      <c r="A417" s="2" t="s">
        <v>108</v>
      </c>
      <c r="B417" s="2" t="s">
        <v>46</v>
      </c>
      <c r="C417" s="2" t="s">
        <v>39</v>
      </c>
      <c r="D417" s="2" t="s">
        <v>14</v>
      </c>
      <c r="E417" s="2" t="s">
        <v>47</v>
      </c>
      <c r="F417" s="6" t="s">
        <v>170</v>
      </c>
      <c r="G417" s="2">
        <v>1</v>
      </c>
      <c r="H417" s="2" t="s">
        <v>171</v>
      </c>
      <c r="I417" s="2" t="s">
        <v>11</v>
      </c>
      <c r="J417" s="2" t="str">
        <f t="shared" si="6"/>
        <v>YES</v>
      </c>
      <c r="K417" s="2" t="e">
        <f>VLOOKUP(F417,Scan!A:A,1,0)</f>
        <v>#N/A</v>
      </c>
    </row>
    <row r="418" spans="1:11" hidden="1" x14ac:dyDescent="0.3">
      <c r="A418" s="2" t="s">
        <v>108</v>
      </c>
      <c r="B418" s="2" t="s">
        <v>46</v>
      </c>
      <c r="C418" s="2" t="s">
        <v>39</v>
      </c>
      <c r="D418" s="2" t="s">
        <v>14</v>
      </c>
      <c r="E418" s="2" t="s">
        <v>47</v>
      </c>
      <c r="F418" s="6" t="s">
        <v>172</v>
      </c>
      <c r="G418" s="2">
        <v>1</v>
      </c>
      <c r="H418" s="2" t="s">
        <v>173</v>
      </c>
      <c r="I418" s="2" t="s">
        <v>11</v>
      </c>
      <c r="J418" s="2" t="str">
        <f t="shared" si="6"/>
        <v>YES</v>
      </c>
      <c r="K418" s="2" t="e">
        <f>VLOOKUP(F418,Scan!A:A,1,0)</f>
        <v>#N/A</v>
      </c>
    </row>
    <row r="419" spans="1:11" hidden="1" x14ac:dyDescent="0.3">
      <c r="A419" s="2" t="s">
        <v>108</v>
      </c>
      <c r="B419" s="2" t="s">
        <v>46</v>
      </c>
      <c r="C419" s="2" t="s">
        <v>39</v>
      </c>
      <c r="D419" s="2" t="s">
        <v>14</v>
      </c>
      <c r="E419" s="2" t="s">
        <v>47</v>
      </c>
      <c r="F419" s="6" t="s">
        <v>174</v>
      </c>
      <c r="G419" s="2">
        <v>1</v>
      </c>
      <c r="H419" s="2" t="s">
        <v>175</v>
      </c>
      <c r="I419" s="2" t="s">
        <v>11</v>
      </c>
      <c r="J419" s="2" t="str">
        <f t="shared" si="6"/>
        <v>YES</v>
      </c>
      <c r="K419" s="2" t="e">
        <f>VLOOKUP(F419,Scan!A:A,1,0)</f>
        <v>#N/A</v>
      </c>
    </row>
    <row r="420" spans="1:11" hidden="1" x14ac:dyDescent="0.3">
      <c r="A420" s="2" t="s">
        <v>108</v>
      </c>
      <c r="B420" s="2" t="s">
        <v>46</v>
      </c>
      <c r="C420" s="2" t="s">
        <v>39</v>
      </c>
      <c r="D420" s="2" t="s">
        <v>14</v>
      </c>
      <c r="E420" s="2" t="s">
        <v>47</v>
      </c>
      <c r="F420" s="6" t="s">
        <v>176</v>
      </c>
      <c r="G420" s="2">
        <v>1</v>
      </c>
      <c r="H420" s="2" t="s">
        <v>177</v>
      </c>
      <c r="I420" s="2" t="s">
        <v>11</v>
      </c>
      <c r="J420" s="2" t="str">
        <f t="shared" si="6"/>
        <v>YES</v>
      </c>
      <c r="K420" s="2" t="e">
        <f>VLOOKUP(F420,Scan!A:A,1,0)</f>
        <v>#N/A</v>
      </c>
    </row>
    <row r="421" spans="1:11" hidden="1" x14ac:dyDescent="0.3">
      <c r="A421" s="2" t="s">
        <v>108</v>
      </c>
      <c r="B421" s="2" t="s">
        <v>46</v>
      </c>
      <c r="C421" s="2" t="s">
        <v>39</v>
      </c>
      <c r="D421" s="2" t="s">
        <v>14</v>
      </c>
      <c r="E421" s="2" t="s">
        <v>47</v>
      </c>
      <c r="F421" s="6" t="s">
        <v>178</v>
      </c>
      <c r="G421" s="2">
        <v>1</v>
      </c>
      <c r="H421" s="2" t="s">
        <v>179</v>
      </c>
      <c r="I421" s="2" t="s">
        <v>11</v>
      </c>
      <c r="J421" s="2" t="str">
        <f t="shared" si="6"/>
        <v>YES</v>
      </c>
      <c r="K421" s="2" t="e">
        <f>VLOOKUP(F421,Scan!A:A,1,0)</f>
        <v>#N/A</v>
      </c>
    </row>
    <row r="422" spans="1:11" hidden="1" x14ac:dyDescent="0.3">
      <c r="A422" s="2" t="s">
        <v>108</v>
      </c>
      <c r="B422" s="2" t="s">
        <v>46</v>
      </c>
      <c r="C422" s="2" t="s">
        <v>39</v>
      </c>
      <c r="D422" s="2" t="s">
        <v>14</v>
      </c>
      <c r="E422" s="2" t="s">
        <v>47</v>
      </c>
      <c r="F422" s="6" t="s">
        <v>180</v>
      </c>
      <c r="G422" s="2">
        <v>1</v>
      </c>
      <c r="H422" s="2" t="s">
        <v>181</v>
      </c>
      <c r="I422" s="2" t="s">
        <v>11</v>
      </c>
      <c r="J422" s="2" t="str">
        <f t="shared" si="6"/>
        <v>YES</v>
      </c>
      <c r="K422" s="2" t="e">
        <f>VLOOKUP(F422,Scan!A:A,1,0)</f>
        <v>#N/A</v>
      </c>
    </row>
    <row r="423" spans="1:11" hidden="1" x14ac:dyDescent="0.3">
      <c r="A423" s="2" t="s">
        <v>108</v>
      </c>
      <c r="B423" s="2" t="s">
        <v>46</v>
      </c>
      <c r="C423" s="2" t="s">
        <v>39</v>
      </c>
      <c r="D423" s="2" t="s">
        <v>14</v>
      </c>
      <c r="E423" s="2" t="s">
        <v>47</v>
      </c>
      <c r="F423" s="6" t="s">
        <v>182</v>
      </c>
      <c r="G423" s="2">
        <v>1</v>
      </c>
      <c r="H423" s="2" t="s">
        <v>183</v>
      </c>
      <c r="I423" s="2" t="s">
        <v>11</v>
      </c>
      <c r="J423" s="2" t="str">
        <f t="shared" si="6"/>
        <v>YES</v>
      </c>
      <c r="K423" s="2" t="e">
        <f>VLOOKUP(F423,Scan!A:A,1,0)</f>
        <v>#N/A</v>
      </c>
    </row>
    <row r="424" spans="1:11" hidden="1" x14ac:dyDescent="0.3">
      <c r="A424" s="2" t="s">
        <v>108</v>
      </c>
      <c r="B424" s="2" t="s">
        <v>46</v>
      </c>
      <c r="C424" s="2" t="s">
        <v>39</v>
      </c>
      <c r="D424" s="2" t="s">
        <v>14</v>
      </c>
      <c r="E424" s="2" t="s">
        <v>47</v>
      </c>
      <c r="F424" s="6" t="s">
        <v>184</v>
      </c>
      <c r="G424" s="2">
        <v>1</v>
      </c>
      <c r="H424" s="2" t="s">
        <v>185</v>
      </c>
      <c r="I424" s="2" t="s">
        <v>11</v>
      </c>
      <c r="J424" s="2" t="str">
        <f t="shared" si="6"/>
        <v>YES</v>
      </c>
      <c r="K424" s="2" t="e">
        <f>VLOOKUP(F424,Scan!A:A,1,0)</f>
        <v>#N/A</v>
      </c>
    </row>
    <row r="425" spans="1:11" hidden="1" x14ac:dyDescent="0.3">
      <c r="A425" s="2" t="s">
        <v>108</v>
      </c>
      <c r="B425" s="2" t="s">
        <v>46</v>
      </c>
      <c r="C425" s="2" t="s">
        <v>39</v>
      </c>
      <c r="D425" s="2" t="s">
        <v>14</v>
      </c>
      <c r="E425" s="2" t="s">
        <v>47</v>
      </c>
      <c r="F425" s="6" t="s">
        <v>186</v>
      </c>
      <c r="G425" s="2">
        <v>1</v>
      </c>
      <c r="H425" s="2" t="s">
        <v>187</v>
      </c>
      <c r="I425" s="2" t="s">
        <v>11</v>
      </c>
      <c r="J425" s="2" t="str">
        <f t="shared" si="6"/>
        <v>YES</v>
      </c>
      <c r="K425" s="2" t="e">
        <f>VLOOKUP(F425,Scan!A:A,1,0)</f>
        <v>#N/A</v>
      </c>
    </row>
    <row r="426" spans="1:11" hidden="1" x14ac:dyDescent="0.3">
      <c r="A426" s="2" t="s">
        <v>108</v>
      </c>
      <c r="B426" s="2" t="s">
        <v>48</v>
      </c>
      <c r="C426" s="2" t="s">
        <v>18</v>
      </c>
      <c r="D426" s="2" t="s">
        <v>14</v>
      </c>
      <c r="E426" s="2" t="s">
        <v>49</v>
      </c>
      <c r="F426" s="6" t="s">
        <v>188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  <c r="K426" s="2" t="e">
        <f>VLOOKUP(F426,Scan!A:A,1,0)</f>
        <v>#N/A</v>
      </c>
    </row>
    <row r="427" spans="1:11" hidden="1" x14ac:dyDescent="0.3">
      <c r="A427" s="2" t="s">
        <v>108</v>
      </c>
      <c r="B427" s="2" t="s">
        <v>48</v>
      </c>
      <c r="C427" s="2" t="s">
        <v>18</v>
      </c>
      <c r="D427" s="2" t="s">
        <v>14</v>
      </c>
      <c r="E427" s="2" t="s">
        <v>49</v>
      </c>
      <c r="F427" s="6" t="s">
        <v>189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  <c r="K427" s="2" t="e">
        <f>VLOOKUP(F427,Scan!A:A,1,0)</f>
        <v>#N/A</v>
      </c>
    </row>
    <row r="428" spans="1:11" hidden="1" x14ac:dyDescent="0.3">
      <c r="A428" s="2" t="s">
        <v>108</v>
      </c>
      <c r="B428" s="2" t="s">
        <v>48</v>
      </c>
      <c r="C428" s="2" t="s">
        <v>18</v>
      </c>
      <c r="D428" s="2" t="s">
        <v>14</v>
      </c>
      <c r="E428" s="2" t="s">
        <v>49</v>
      </c>
      <c r="F428" s="6" t="s">
        <v>190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  <c r="K428" s="2" t="e">
        <f>VLOOKUP(F428,Scan!A:A,1,0)</f>
        <v>#N/A</v>
      </c>
    </row>
    <row r="429" spans="1:11" hidden="1" x14ac:dyDescent="0.3">
      <c r="A429" s="2" t="s">
        <v>108</v>
      </c>
      <c r="B429" s="2" t="s">
        <v>48</v>
      </c>
      <c r="C429" s="2" t="s">
        <v>18</v>
      </c>
      <c r="D429" s="2" t="s">
        <v>14</v>
      </c>
      <c r="E429" s="2" t="s">
        <v>49</v>
      </c>
      <c r="F429" s="6" t="s">
        <v>191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  <c r="K429" s="2" t="e">
        <f>VLOOKUP(F429,Scan!A:A,1,0)</f>
        <v>#N/A</v>
      </c>
    </row>
    <row r="430" spans="1:11" hidden="1" x14ac:dyDescent="0.3">
      <c r="A430" s="2" t="s">
        <v>108</v>
      </c>
      <c r="B430" s="2" t="s">
        <v>48</v>
      </c>
      <c r="C430" s="2" t="s">
        <v>18</v>
      </c>
      <c r="D430" s="2" t="s">
        <v>14</v>
      </c>
      <c r="E430" s="2" t="s">
        <v>49</v>
      </c>
      <c r="F430" s="6" t="s">
        <v>192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  <c r="K430" s="2" t="e">
        <f>VLOOKUP(F430,Scan!A:A,1,0)</f>
        <v>#N/A</v>
      </c>
    </row>
    <row r="431" spans="1:11" hidden="1" x14ac:dyDescent="0.3">
      <c r="A431" s="2" t="s">
        <v>108</v>
      </c>
      <c r="B431" s="2" t="s">
        <v>48</v>
      </c>
      <c r="C431" s="2" t="s">
        <v>18</v>
      </c>
      <c r="D431" s="2" t="s">
        <v>14</v>
      </c>
      <c r="E431" s="2" t="s">
        <v>49</v>
      </c>
      <c r="F431" s="6" t="s">
        <v>193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  <c r="K431" s="2" t="e">
        <f>VLOOKUP(F431,Scan!A:A,1,0)</f>
        <v>#N/A</v>
      </c>
    </row>
    <row r="432" spans="1:11" hidden="1" x14ac:dyDescent="0.3">
      <c r="A432" s="2" t="s">
        <v>108</v>
      </c>
      <c r="B432" s="2" t="s">
        <v>48</v>
      </c>
      <c r="C432" s="2" t="s">
        <v>18</v>
      </c>
      <c r="D432" s="2" t="s">
        <v>14</v>
      </c>
      <c r="E432" s="2" t="s">
        <v>49</v>
      </c>
      <c r="F432" s="6" t="s">
        <v>194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  <c r="K432" s="2" t="e">
        <f>VLOOKUP(F432,Scan!A:A,1,0)</f>
        <v>#N/A</v>
      </c>
    </row>
    <row r="433" spans="1:11" hidden="1" x14ac:dyDescent="0.3">
      <c r="A433" s="2" t="s">
        <v>108</v>
      </c>
      <c r="B433" s="2" t="s">
        <v>48</v>
      </c>
      <c r="C433" s="2" t="s">
        <v>18</v>
      </c>
      <c r="D433" s="2" t="s">
        <v>14</v>
      </c>
      <c r="E433" s="2" t="s">
        <v>49</v>
      </c>
      <c r="F433" s="6" t="s">
        <v>195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  <c r="K433" s="2" t="e">
        <f>VLOOKUP(F433,Scan!A:A,1,0)</f>
        <v>#N/A</v>
      </c>
    </row>
    <row r="434" spans="1:11" hidden="1" x14ac:dyDescent="0.3">
      <c r="A434" s="2" t="s">
        <v>108</v>
      </c>
      <c r="B434" s="2" t="s">
        <v>50</v>
      </c>
      <c r="C434" s="2" t="s">
        <v>10</v>
      </c>
      <c r="D434" s="2" t="s">
        <v>11</v>
      </c>
      <c r="E434" s="2" t="s">
        <v>11</v>
      </c>
      <c r="F434" s="6" t="s">
        <v>11</v>
      </c>
      <c r="G434" s="2">
        <v>1</v>
      </c>
      <c r="H434" s="2" t="s">
        <v>50</v>
      </c>
      <c r="I434" s="2" t="s">
        <v>11</v>
      </c>
      <c r="J434" s="2" t="str">
        <f t="shared" si="6"/>
        <v>NO</v>
      </c>
      <c r="K434" s="2" t="e">
        <f>VLOOKUP(F434,Scan!A:A,1,0)</f>
        <v>#N/A</v>
      </c>
    </row>
    <row r="435" spans="1:11" hidden="1" x14ac:dyDescent="0.3">
      <c r="A435" s="2" t="s">
        <v>108</v>
      </c>
      <c r="B435" s="2" t="s">
        <v>51</v>
      </c>
      <c r="C435" s="2" t="s">
        <v>52</v>
      </c>
      <c r="D435" s="2" t="s">
        <v>53</v>
      </c>
      <c r="E435" s="2" t="s">
        <v>54</v>
      </c>
      <c r="F435" s="6" t="s">
        <v>196</v>
      </c>
      <c r="G435" s="2">
        <v>1</v>
      </c>
      <c r="H435" s="2" t="s">
        <v>50</v>
      </c>
      <c r="I435" s="2" t="s">
        <v>55</v>
      </c>
      <c r="J435" s="2" t="str">
        <f t="shared" si="6"/>
        <v>YES</v>
      </c>
      <c r="K435" s="2" t="e">
        <f>VLOOKUP(F435,Scan!A:A,1,0)</f>
        <v>#N/A</v>
      </c>
    </row>
    <row r="436" spans="1:11" hidden="1" x14ac:dyDescent="0.3">
      <c r="A436" s="2" t="s">
        <v>108</v>
      </c>
      <c r="B436" s="2" t="s">
        <v>56</v>
      </c>
      <c r="C436" s="2" t="s">
        <v>57</v>
      </c>
      <c r="D436" s="2" t="s">
        <v>14</v>
      </c>
      <c r="E436" s="2" t="s">
        <v>58</v>
      </c>
      <c r="F436" s="6" t="s">
        <v>197</v>
      </c>
      <c r="G436" s="2">
        <v>1</v>
      </c>
      <c r="H436" s="2" t="s">
        <v>50</v>
      </c>
      <c r="I436" s="2" t="s">
        <v>59</v>
      </c>
      <c r="J436" s="2" t="str">
        <f t="shared" si="6"/>
        <v>YES</v>
      </c>
      <c r="K436" s="2" t="e">
        <f>VLOOKUP(F436,Scan!A:A,1,0)</f>
        <v>#N/A</v>
      </c>
    </row>
    <row r="437" spans="1:11" hidden="1" x14ac:dyDescent="0.3">
      <c r="A437" s="2" t="s">
        <v>108</v>
      </c>
      <c r="B437" s="2" t="s">
        <v>60</v>
      </c>
      <c r="C437" s="2" t="s">
        <v>61</v>
      </c>
      <c r="D437" s="2" t="s">
        <v>11</v>
      </c>
      <c r="E437" s="2" t="s">
        <v>11</v>
      </c>
      <c r="F437" s="6" t="s">
        <v>11</v>
      </c>
      <c r="G437" s="2">
        <v>1</v>
      </c>
      <c r="H437" s="2" t="s">
        <v>60</v>
      </c>
      <c r="I437" s="2" t="s">
        <v>11</v>
      </c>
      <c r="J437" s="2" t="str">
        <f t="shared" si="6"/>
        <v>NO</v>
      </c>
      <c r="K437" s="2" t="e">
        <f>VLOOKUP(F437,Scan!A:A,1,0)</f>
        <v>#N/A</v>
      </c>
    </row>
    <row r="438" spans="1:11" hidden="1" x14ac:dyDescent="0.3">
      <c r="A438" s="2" t="s">
        <v>108</v>
      </c>
      <c r="B438" s="2" t="s">
        <v>378</v>
      </c>
      <c r="C438" s="2" t="s">
        <v>379</v>
      </c>
      <c r="D438" s="2" t="s">
        <v>380</v>
      </c>
      <c r="E438" s="2" t="s">
        <v>381</v>
      </c>
      <c r="F438" s="6" t="s">
        <v>717</v>
      </c>
      <c r="H438" s="2" t="s">
        <v>11</v>
      </c>
      <c r="I438" s="2" t="s">
        <v>11</v>
      </c>
      <c r="J438" s="2" t="str">
        <f t="shared" si="6"/>
        <v>YES</v>
      </c>
      <c r="K438" s="2" t="e">
        <f>VLOOKUP(F438,Scan!A:A,1,0)</f>
        <v>#N/A</v>
      </c>
    </row>
    <row r="439" spans="1:11" hidden="1" x14ac:dyDescent="0.3">
      <c r="A439" s="2" t="s">
        <v>108</v>
      </c>
      <c r="B439" s="2" t="s">
        <v>383</v>
      </c>
      <c r="C439" s="2" t="s">
        <v>384</v>
      </c>
      <c r="D439" s="2" t="s">
        <v>380</v>
      </c>
      <c r="E439" s="2" t="s">
        <v>385</v>
      </c>
      <c r="F439" s="6" t="s">
        <v>718</v>
      </c>
      <c r="H439" s="2" t="s">
        <v>11</v>
      </c>
      <c r="I439" s="2" t="s">
        <v>11</v>
      </c>
      <c r="J439" s="2" t="str">
        <f t="shared" si="6"/>
        <v>YES</v>
      </c>
      <c r="K439" s="2" t="e">
        <f>VLOOKUP(F439,Scan!A:A,1,0)</f>
        <v>#N/A</v>
      </c>
    </row>
    <row r="440" spans="1:11" hidden="1" x14ac:dyDescent="0.3">
      <c r="A440" s="2" t="s">
        <v>108</v>
      </c>
      <c r="B440" s="2" t="s">
        <v>387</v>
      </c>
      <c r="C440" s="2" t="s">
        <v>388</v>
      </c>
      <c r="D440" s="2" t="s">
        <v>380</v>
      </c>
      <c r="E440" s="2" t="s">
        <v>388</v>
      </c>
      <c r="F440" s="6" t="s">
        <v>389</v>
      </c>
      <c r="G440" s="2">
        <v>1</v>
      </c>
      <c r="H440" s="2" t="s">
        <v>11</v>
      </c>
      <c r="I440" s="2" t="s">
        <v>11</v>
      </c>
      <c r="J440" s="2" t="str">
        <f t="shared" si="6"/>
        <v>NO</v>
      </c>
      <c r="K440" s="2" t="s">
        <v>973</v>
      </c>
    </row>
    <row r="441" spans="1:11" hidden="1" x14ac:dyDescent="0.3">
      <c r="A441" s="2" t="s">
        <v>108</v>
      </c>
      <c r="B441" s="2" t="s">
        <v>387</v>
      </c>
      <c r="C441" s="2" t="s">
        <v>388</v>
      </c>
      <c r="D441" s="2" t="s">
        <v>380</v>
      </c>
      <c r="E441" s="2" t="s">
        <v>388</v>
      </c>
      <c r="F441" s="6" t="s">
        <v>389</v>
      </c>
      <c r="G441" s="2">
        <v>1</v>
      </c>
      <c r="H441" s="2" t="s">
        <v>11</v>
      </c>
      <c r="I441" s="2" t="s">
        <v>11</v>
      </c>
      <c r="J441" s="2" t="str">
        <f t="shared" si="6"/>
        <v>NO</v>
      </c>
      <c r="K441" s="2" t="s">
        <v>973</v>
      </c>
    </row>
    <row r="442" spans="1:11" hidden="1" x14ac:dyDescent="0.3">
      <c r="A442" s="2" t="s">
        <v>108</v>
      </c>
      <c r="B442" s="2" t="s">
        <v>62</v>
      </c>
      <c r="C442" s="2" t="s">
        <v>63</v>
      </c>
      <c r="D442" s="2" t="s">
        <v>64</v>
      </c>
      <c r="E442" s="2" t="s">
        <v>65</v>
      </c>
      <c r="F442" s="6" t="s">
        <v>198</v>
      </c>
      <c r="G442" s="2">
        <v>1</v>
      </c>
      <c r="H442" s="2" t="s">
        <v>621</v>
      </c>
      <c r="I442" s="2" t="s">
        <v>66</v>
      </c>
      <c r="J442" s="2" t="str">
        <f t="shared" si="6"/>
        <v>YES</v>
      </c>
      <c r="K442" s="2" t="e">
        <f>VLOOKUP(F442,Scan!A:A,1,0)</f>
        <v>#N/A</v>
      </c>
    </row>
    <row r="443" spans="1:11" hidden="1" x14ac:dyDescent="0.3">
      <c r="A443" s="2" t="s">
        <v>108</v>
      </c>
      <c r="B443" s="2" t="s">
        <v>393</v>
      </c>
      <c r="C443" s="2" t="s">
        <v>394</v>
      </c>
      <c r="D443" s="2" t="s">
        <v>380</v>
      </c>
      <c r="E443" s="2" t="s">
        <v>395</v>
      </c>
      <c r="F443" s="6" t="s">
        <v>1012</v>
      </c>
      <c r="G443" s="2">
        <v>1</v>
      </c>
      <c r="H443" s="2" t="s">
        <v>66</v>
      </c>
      <c r="I443" s="2" t="s">
        <v>11</v>
      </c>
      <c r="J443" s="2" t="str">
        <f t="shared" si="6"/>
        <v>YES</v>
      </c>
      <c r="K443" s="2" t="e">
        <f>VLOOKUP(F443,Scan!A:A,1,0)</f>
        <v>#N/A</v>
      </c>
    </row>
    <row r="444" spans="1:11" hidden="1" x14ac:dyDescent="0.3">
      <c r="A444" s="2" t="s">
        <v>108</v>
      </c>
      <c r="B444" s="2" t="s">
        <v>623</v>
      </c>
      <c r="C444" s="2" t="s">
        <v>624</v>
      </c>
      <c r="D444" s="2" t="s">
        <v>380</v>
      </c>
      <c r="E444" s="2" t="s">
        <v>625</v>
      </c>
      <c r="F444" s="6" t="s">
        <v>1011</v>
      </c>
      <c r="G444" s="2">
        <v>1</v>
      </c>
      <c r="H444" s="2" t="s">
        <v>66</v>
      </c>
      <c r="I444" s="2" t="s">
        <v>11</v>
      </c>
      <c r="J444" s="2" t="str">
        <f t="shared" si="6"/>
        <v>YES</v>
      </c>
      <c r="K444" s="2" t="e">
        <f>VLOOKUP(F444,Scan!A:A,1,0)</f>
        <v>#N/A</v>
      </c>
    </row>
    <row r="445" spans="1:11" hidden="1" x14ac:dyDescent="0.3">
      <c r="A445" s="2" t="s">
        <v>108</v>
      </c>
      <c r="B445" s="2" t="s">
        <v>396</v>
      </c>
      <c r="C445" s="2" t="s">
        <v>397</v>
      </c>
      <c r="D445" s="2" t="s">
        <v>64</v>
      </c>
      <c r="E445" s="2" t="s">
        <v>398</v>
      </c>
      <c r="F445" s="6" t="s">
        <v>719</v>
      </c>
      <c r="G445" s="2">
        <v>1</v>
      </c>
      <c r="H445" s="2" t="s">
        <v>66</v>
      </c>
      <c r="I445" s="2" t="s">
        <v>11</v>
      </c>
      <c r="J445" s="2" t="str">
        <f t="shared" si="6"/>
        <v>YES</v>
      </c>
      <c r="K445" s="2" t="e">
        <f>VLOOKUP(F445,Scan!A:A,1,0)</f>
        <v>#N/A</v>
      </c>
    </row>
    <row r="446" spans="1:11" hidden="1" x14ac:dyDescent="0.3">
      <c r="A446" s="2" t="s">
        <v>108</v>
      </c>
      <c r="B446" s="2" t="s">
        <v>400</v>
      </c>
      <c r="C446" s="2" t="s">
        <v>401</v>
      </c>
      <c r="D446" s="2" t="s">
        <v>64</v>
      </c>
      <c r="E446" s="2" t="s">
        <v>402</v>
      </c>
      <c r="F446" s="6" t="s">
        <v>389</v>
      </c>
      <c r="G446" s="2">
        <v>1</v>
      </c>
      <c r="H446" s="2" t="s">
        <v>66</v>
      </c>
      <c r="I446" s="2" t="s">
        <v>11</v>
      </c>
      <c r="J446" s="2" t="str">
        <f t="shared" si="6"/>
        <v>NO</v>
      </c>
      <c r="K446" s="2" t="s">
        <v>973</v>
      </c>
    </row>
    <row r="447" spans="1:11" hidden="1" x14ac:dyDescent="0.3">
      <c r="A447" s="2" t="s">
        <v>108</v>
      </c>
      <c r="B447" s="2" t="s">
        <v>407</v>
      </c>
      <c r="C447" s="2" t="s">
        <v>408</v>
      </c>
      <c r="D447" s="2" t="s">
        <v>64</v>
      </c>
      <c r="E447" s="2" t="s">
        <v>409</v>
      </c>
      <c r="F447" s="6" t="s">
        <v>720</v>
      </c>
      <c r="G447" s="2">
        <v>1</v>
      </c>
      <c r="H447" s="2" t="s">
        <v>66</v>
      </c>
      <c r="I447" s="2" t="s">
        <v>11</v>
      </c>
      <c r="J447" s="2" t="str">
        <f t="shared" si="6"/>
        <v>YES</v>
      </c>
      <c r="K447" s="2" t="e">
        <f>VLOOKUP(F447,Scan!A:A,1,0)</f>
        <v>#N/A</v>
      </c>
    </row>
    <row r="448" spans="1:11" hidden="1" x14ac:dyDescent="0.3">
      <c r="A448" s="2" t="s">
        <v>108</v>
      </c>
      <c r="B448" s="2" t="s">
        <v>67</v>
      </c>
      <c r="C448" s="2" t="s">
        <v>68</v>
      </c>
      <c r="D448" s="2" t="s">
        <v>64</v>
      </c>
      <c r="E448" s="2" t="s">
        <v>69</v>
      </c>
      <c r="F448" s="6" t="s">
        <v>199</v>
      </c>
      <c r="G448" s="2">
        <v>1</v>
      </c>
      <c r="H448" s="2" t="s">
        <v>66</v>
      </c>
      <c r="I448" s="2" t="s">
        <v>70</v>
      </c>
      <c r="J448" s="2" t="str">
        <f t="shared" si="6"/>
        <v>YES</v>
      </c>
      <c r="K448" s="2" t="e">
        <f>VLOOKUP(F448,Scan!A:A,1,0)</f>
        <v>#N/A</v>
      </c>
    </row>
    <row r="449" spans="1:11" hidden="1" x14ac:dyDescent="0.3">
      <c r="A449" s="2" t="s">
        <v>108</v>
      </c>
      <c r="B449" s="2" t="s">
        <v>67</v>
      </c>
      <c r="C449" s="2" t="s">
        <v>68</v>
      </c>
      <c r="D449" s="2" t="s">
        <v>64</v>
      </c>
      <c r="E449" s="2" t="s">
        <v>69</v>
      </c>
      <c r="F449" s="6" t="s">
        <v>200</v>
      </c>
      <c r="G449" s="2">
        <v>1</v>
      </c>
      <c r="H449" s="2" t="s">
        <v>66</v>
      </c>
      <c r="I449" s="2" t="s">
        <v>71</v>
      </c>
      <c r="J449" s="2" t="str">
        <f t="shared" si="6"/>
        <v>YES</v>
      </c>
      <c r="K449" s="2" t="e">
        <f>VLOOKUP(F449,Scan!A:A,1,0)</f>
        <v>#N/A</v>
      </c>
    </row>
    <row r="450" spans="1:11" hidden="1" x14ac:dyDescent="0.3">
      <c r="A450" s="2" t="s">
        <v>108</v>
      </c>
      <c r="B450" s="2" t="s">
        <v>632</v>
      </c>
      <c r="C450" s="2" t="s">
        <v>633</v>
      </c>
      <c r="D450" s="2" t="s">
        <v>64</v>
      </c>
      <c r="E450" s="2" t="s">
        <v>385</v>
      </c>
      <c r="F450" s="6" t="s">
        <v>721</v>
      </c>
      <c r="H450" s="2" t="s">
        <v>66</v>
      </c>
      <c r="I450" s="2" t="s">
        <v>11</v>
      </c>
      <c r="J450" s="2" t="str">
        <f t="shared" si="6"/>
        <v>YES</v>
      </c>
      <c r="K450" s="2" t="e">
        <f>VLOOKUP(F450,Scan!A:A,1,0)</f>
        <v>#N/A</v>
      </c>
    </row>
    <row r="451" spans="1:11" hidden="1" x14ac:dyDescent="0.3">
      <c r="A451" s="2" t="s">
        <v>108</v>
      </c>
      <c r="B451" s="2" t="s">
        <v>632</v>
      </c>
      <c r="C451" s="2" t="s">
        <v>633</v>
      </c>
      <c r="D451" s="2" t="s">
        <v>64</v>
      </c>
      <c r="E451" s="2" t="s">
        <v>385</v>
      </c>
      <c r="F451" s="6" t="s">
        <v>722</v>
      </c>
      <c r="H451" s="2" t="s">
        <v>66</v>
      </c>
      <c r="I451" s="2" t="s">
        <v>11</v>
      </c>
      <c r="J451" s="2" t="str">
        <f t="shared" ref="J451:J514" si="7">IF(OR(F451="",F451="_",LEFT(F451,5)="SPARE",F451="N/A"),"NO","YES")</f>
        <v>YES</v>
      </c>
      <c r="K451" s="2" t="e">
        <f>VLOOKUP(F451,Scan!A:A,1,0)</f>
        <v>#N/A</v>
      </c>
    </row>
    <row r="452" spans="1:11" hidden="1" x14ac:dyDescent="0.3">
      <c r="A452" s="2" t="s">
        <v>108</v>
      </c>
      <c r="B452" s="2" t="s">
        <v>62</v>
      </c>
      <c r="C452" s="2" t="s">
        <v>63</v>
      </c>
      <c r="D452" s="2" t="s">
        <v>64</v>
      </c>
      <c r="E452" s="2" t="s">
        <v>65</v>
      </c>
      <c r="F452" s="6" t="s">
        <v>201</v>
      </c>
      <c r="G452" s="2">
        <v>1</v>
      </c>
      <c r="H452" s="2" t="s">
        <v>417</v>
      </c>
      <c r="I452" s="2" t="s">
        <v>72</v>
      </c>
      <c r="J452" s="2" t="str">
        <f t="shared" si="7"/>
        <v>YES</v>
      </c>
      <c r="K452" s="2" t="e">
        <f>VLOOKUP(F452,Scan!A:A,1,0)</f>
        <v>#N/A</v>
      </c>
    </row>
    <row r="453" spans="1:11" hidden="1" x14ac:dyDescent="0.3">
      <c r="A453" s="2" t="s">
        <v>108</v>
      </c>
      <c r="B453" s="2" t="s">
        <v>393</v>
      </c>
      <c r="C453" s="2" t="s">
        <v>394</v>
      </c>
      <c r="D453" s="2" t="s">
        <v>380</v>
      </c>
      <c r="E453" s="2" t="s">
        <v>395</v>
      </c>
      <c r="F453" s="6" t="s">
        <v>1018</v>
      </c>
      <c r="G453" s="2">
        <v>1</v>
      </c>
      <c r="H453" s="2" t="s">
        <v>72</v>
      </c>
      <c r="I453" s="2" t="s">
        <v>11</v>
      </c>
      <c r="J453" s="2" t="str">
        <f t="shared" si="7"/>
        <v>YES</v>
      </c>
      <c r="K453" s="2" t="e">
        <f>VLOOKUP(F453,Scan!A:A,1,0)</f>
        <v>#N/A</v>
      </c>
    </row>
    <row r="454" spans="1:11" hidden="1" x14ac:dyDescent="0.3">
      <c r="A454" s="2" t="s">
        <v>108</v>
      </c>
      <c r="B454" s="2" t="s">
        <v>396</v>
      </c>
      <c r="C454" s="2" t="s">
        <v>397</v>
      </c>
      <c r="D454" s="2" t="s">
        <v>64</v>
      </c>
      <c r="E454" s="2" t="s">
        <v>398</v>
      </c>
      <c r="F454" s="6" t="s">
        <v>723</v>
      </c>
      <c r="G454" s="2">
        <v>1</v>
      </c>
      <c r="H454" s="2" t="s">
        <v>72</v>
      </c>
      <c r="I454" s="2" t="s">
        <v>11</v>
      </c>
      <c r="J454" s="2" t="str">
        <f t="shared" si="7"/>
        <v>YES</v>
      </c>
      <c r="K454" s="2" t="e">
        <f>VLOOKUP(F454,Scan!A:A,1,0)</f>
        <v>#N/A</v>
      </c>
    </row>
    <row r="455" spans="1:11" hidden="1" x14ac:dyDescent="0.3">
      <c r="A455" s="2" t="s">
        <v>108</v>
      </c>
      <c r="B455" s="2" t="s">
        <v>400</v>
      </c>
      <c r="C455" s="2" t="s">
        <v>401</v>
      </c>
      <c r="D455" s="2" t="s">
        <v>64</v>
      </c>
      <c r="E455" s="2" t="s">
        <v>402</v>
      </c>
      <c r="F455" s="6" t="s">
        <v>389</v>
      </c>
      <c r="G455" s="2">
        <v>1</v>
      </c>
      <c r="H455" s="2" t="s">
        <v>72</v>
      </c>
      <c r="I455" s="2" t="s">
        <v>11</v>
      </c>
      <c r="J455" s="2" t="str">
        <f t="shared" si="7"/>
        <v>NO</v>
      </c>
      <c r="K455" s="2" t="s">
        <v>973</v>
      </c>
    </row>
    <row r="456" spans="1:11" hidden="1" x14ac:dyDescent="0.3">
      <c r="A456" s="2" t="s">
        <v>108</v>
      </c>
      <c r="B456" s="2" t="s">
        <v>403</v>
      </c>
      <c r="C456" s="2" t="s">
        <v>404</v>
      </c>
      <c r="D456" s="2" t="s">
        <v>64</v>
      </c>
      <c r="E456" s="2" t="s">
        <v>405</v>
      </c>
      <c r="F456" s="6" t="s">
        <v>724</v>
      </c>
      <c r="G456" s="2">
        <v>1</v>
      </c>
      <c r="H456" s="2" t="s">
        <v>72</v>
      </c>
      <c r="I456" s="2" t="s">
        <v>11</v>
      </c>
      <c r="J456" s="2" t="str">
        <f t="shared" si="7"/>
        <v>YES</v>
      </c>
      <c r="K456" s="2" t="e">
        <f>VLOOKUP(F456,Scan!A:A,1,0)</f>
        <v>#N/A</v>
      </c>
    </row>
    <row r="457" spans="1:11" hidden="1" x14ac:dyDescent="0.3">
      <c r="A457" s="2" t="s">
        <v>108</v>
      </c>
      <c r="B457" s="2" t="s">
        <v>407</v>
      </c>
      <c r="C457" s="2" t="s">
        <v>408</v>
      </c>
      <c r="D457" s="2" t="s">
        <v>64</v>
      </c>
      <c r="E457" s="2" t="s">
        <v>409</v>
      </c>
      <c r="F457" s="6" t="s">
        <v>725</v>
      </c>
      <c r="G457" s="2">
        <v>1</v>
      </c>
      <c r="H457" s="2" t="s">
        <v>72</v>
      </c>
      <c r="I457" s="2" t="s">
        <v>11</v>
      </c>
      <c r="J457" s="2" t="str">
        <f t="shared" si="7"/>
        <v>YES</v>
      </c>
      <c r="K457" s="2" t="e">
        <f>VLOOKUP(F457,Scan!A:A,1,0)</f>
        <v>#N/A</v>
      </c>
    </row>
    <row r="458" spans="1:11" hidden="1" x14ac:dyDescent="0.3">
      <c r="A458" s="2" t="s">
        <v>108</v>
      </c>
      <c r="B458" s="2" t="s">
        <v>67</v>
      </c>
      <c r="C458" s="2" t="s">
        <v>68</v>
      </c>
      <c r="D458" s="2" t="s">
        <v>64</v>
      </c>
      <c r="E458" s="2" t="s">
        <v>69</v>
      </c>
      <c r="F458" s="6" t="s">
        <v>202</v>
      </c>
      <c r="G458" s="2">
        <v>1</v>
      </c>
      <c r="H458" s="2" t="s">
        <v>72</v>
      </c>
      <c r="I458" s="2" t="s">
        <v>73</v>
      </c>
      <c r="J458" s="2" t="str">
        <f t="shared" si="7"/>
        <v>YES</v>
      </c>
      <c r="K458" s="2" t="e">
        <f>VLOOKUP(F458,Scan!A:A,1,0)</f>
        <v>#N/A</v>
      </c>
    </row>
    <row r="459" spans="1:11" hidden="1" x14ac:dyDescent="0.3">
      <c r="A459" s="2" t="s">
        <v>108</v>
      </c>
      <c r="B459" s="2" t="s">
        <v>67</v>
      </c>
      <c r="C459" s="2" t="s">
        <v>68</v>
      </c>
      <c r="D459" s="2" t="s">
        <v>64</v>
      </c>
      <c r="E459" s="2" t="s">
        <v>69</v>
      </c>
      <c r="F459" s="6" t="s">
        <v>203</v>
      </c>
      <c r="G459" s="2">
        <v>1</v>
      </c>
      <c r="H459" s="2" t="s">
        <v>72</v>
      </c>
      <c r="I459" s="2" t="s">
        <v>74</v>
      </c>
      <c r="J459" s="2" t="str">
        <f t="shared" si="7"/>
        <v>YES</v>
      </c>
      <c r="K459" s="2" t="e">
        <f>VLOOKUP(F459,Scan!A:A,1,0)</f>
        <v>#N/A</v>
      </c>
    </row>
    <row r="460" spans="1:11" hidden="1" x14ac:dyDescent="0.3">
      <c r="A460" s="2" t="s">
        <v>108</v>
      </c>
      <c r="B460" s="2" t="s">
        <v>75</v>
      </c>
      <c r="C460" s="2" t="s">
        <v>76</v>
      </c>
      <c r="D460" s="2" t="s">
        <v>11</v>
      </c>
      <c r="E460" s="2" t="s">
        <v>11</v>
      </c>
      <c r="F460" s="6" t="s">
        <v>11</v>
      </c>
      <c r="G460" s="2">
        <v>1</v>
      </c>
      <c r="H460" s="2" t="s">
        <v>75</v>
      </c>
      <c r="I460" s="2" t="s">
        <v>11</v>
      </c>
      <c r="J460" s="2" t="str">
        <f t="shared" si="7"/>
        <v>NO</v>
      </c>
      <c r="K460" s="2" t="e">
        <f>VLOOKUP(F460,Scan!A:A,1,0)</f>
        <v>#N/A</v>
      </c>
    </row>
    <row r="461" spans="1:11" hidden="1" x14ac:dyDescent="0.3">
      <c r="A461" s="2" t="s">
        <v>108</v>
      </c>
      <c r="B461" s="2" t="s">
        <v>62</v>
      </c>
      <c r="C461" s="2" t="s">
        <v>63</v>
      </c>
      <c r="D461" s="2" t="s">
        <v>64</v>
      </c>
      <c r="E461" s="2" t="s">
        <v>65</v>
      </c>
      <c r="F461" s="6" t="s">
        <v>204</v>
      </c>
      <c r="G461" s="2">
        <v>1</v>
      </c>
      <c r="H461" s="2" t="s">
        <v>417</v>
      </c>
      <c r="I461" s="2" t="s">
        <v>77</v>
      </c>
      <c r="J461" s="2" t="str">
        <f t="shared" si="7"/>
        <v>YES</v>
      </c>
      <c r="K461" s="2" t="e">
        <f>VLOOKUP(F461,Scan!A:A,1,0)</f>
        <v>#N/A</v>
      </c>
    </row>
    <row r="462" spans="1:11" hidden="1" x14ac:dyDescent="0.3">
      <c r="A462" s="2" t="s">
        <v>108</v>
      </c>
      <c r="B462" s="2" t="s">
        <v>393</v>
      </c>
      <c r="C462" s="2" t="s">
        <v>394</v>
      </c>
      <c r="D462" s="2" t="s">
        <v>380</v>
      </c>
      <c r="E462" s="2" t="s">
        <v>395</v>
      </c>
      <c r="F462" s="6" t="s">
        <v>1016</v>
      </c>
      <c r="G462" s="2">
        <v>1</v>
      </c>
      <c r="H462" s="2" t="s">
        <v>77</v>
      </c>
      <c r="I462" s="2" t="s">
        <v>11</v>
      </c>
      <c r="J462" s="2" t="str">
        <f t="shared" si="7"/>
        <v>YES</v>
      </c>
      <c r="K462" s="2" t="e">
        <f>VLOOKUP(F462,Scan!A:A,1,0)</f>
        <v>#N/A</v>
      </c>
    </row>
    <row r="463" spans="1:11" hidden="1" x14ac:dyDescent="0.3">
      <c r="A463" s="2" t="s">
        <v>108</v>
      </c>
      <c r="B463" s="2" t="s">
        <v>396</v>
      </c>
      <c r="C463" s="2" t="s">
        <v>397</v>
      </c>
      <c r="D463" s="2" t="s">
        <v>64</v>
      </c>
      <c r="E463" s="2" t="s">
        <v>398</v>
      </c>
      <c r="F463" s="6" t="s">
        <v>726</v>
      </c>
      <c r="G463" s="2">
        <v>1</v>
      </c>
      <c r="H463" s="2" t="s">
        <v>77</v>
      </c>
      <c r="I463" s="2" t="s">
        <v>11</v>
      </c>
      <c r="J463" s="2" t="str">
        <f t="shared" si="7"/>
        <v>YES</v>
      </c>
      <c r="K463" s="2" t="e">
        <f>VLOOKUP(F463,Scan!A:A,1,0)</f>
        <v>#N/A</v>
      </c>
    </row>
    <row r="464" spans="1:11" hidden="1" x14ac:dyDescent="0.3">
      <c r="A464" s="2" t="s">
        <v>108</v>
      </c>
      <c r="B464" s="2" t="s">
        <v>400</v>
      </c>
      <c r="C464" s="2" t="s">
        <v>401</v>
      </c>
      <c r="D464" s="2" t="s">
        <v>64</v>
      </c>
      <c r="E464" s="2" t="s">
        <v>402</v>
      </c>
      <c r="F464" s="6" t="s">
        <v>389</v>
      </c>
      <c r="G464" s="2">
        <v>1</v>
      </c>
      <c r="H464" s="2" t="s">
        <v>77</v>
      </c>
      <c r="I464" s="2" t="s">
        <v>11</v>
      </c>
      <c r="J464" s="2" t="str">
        <f t="shared" si="7"/>
        <v>NO</v>
      </c>
      <c r="K464" s="2" t="s">
        <v>973</v>
      </c>
    </row>
    <row r="465" spans="1:11" hidden="1" x14ac:dyDescent="0.3">
      <c r="A465" s="2" t="s">
        <v>108</v>
      </c>
      <c r="B465" s="2" t="s">
        <v>403</v>
      </c>
      <c r="C465" s="2" t="s">
        <v>404</v>
      </c>
      <c r="D465" s="2" t="s">
        <v>64</v>
      </c>
      <c r="E465" s="2" t="s">
        <v>405</v>
      </c>
      <c r="F465" s="6" t="s">
        <v>727</v>
      </c>
      <c r="G465" s="2">
        <v>1</v>
      </c>
      <c r="H465" s="2" t="s">
        <v>77</v>
      </c>
      <c r="I465" s="2" t="s">
        <v>11</v>
      </c>
      <c r="J465" s="2" t="str">
        <f t="shared" si="7"/>
        <v>YES</v>
      </c>
      <c r="K465" s="2" t="e">
        <f>VLOOKUP(F465,Scan!A:A,1,0)</f>
        <v>#N/A</v>
      </c>
    </row>
    <row r="466" spans="1:11" hidden="1" x14ac:dyDescent="0.3">
      <c r="A466" s="2" t="s">
        <v>108</v>
      </c>
      <c r="B466" s="2" t="s">
        <v>407</v>
      </c>
      <c r="C466" s="2" t="s">
        <v>408</v>
      </c>
      <c r="D466" s="2" t="s">
        <v>64</v>
      </c>
      <c r="E466" s="2" t="s">
        <v>409</v>
      </c>
      <c r="F466" s="6" t="s">
        <v>728</v>
      </c>
      <c r="G466" s="2">
        <v>1</v>
      </c>
      <c r="H466" s="2" t="s">
        <v>77</v>
      </c>
      <c r="I466" s="2" t="s">
        <v>11</v>
      </c>
      <c r="J466" s="2" t="str">
        <f t="shared" si="7"/>
        <v>YES</v>
      </c>
      <c r="K466" s="2" t="e">
        <f>VLOOKUP(F466,Scan!A:A,1,0)</f>
        <v>#N/A</v>
      </c>
    </row>
    <row r="467" spans="1:11" hidden="1" x14ac:dyDescent="0.3">
      <c r="A467" s="2" t="s">
        <v>108</v>
      </c>
      <c r="B467" s="2" t="s">
        <v>67</v>
      </c>
      <c r="C467" s="2" t="s">
        <v>68</v>
      </c>
      <c r="D467" s="2" t="s">
        <v>64</v>
      </c>
      <c r="E467" s="2" t="s">
        <v>69</v>
      </c>
      <c r="F467" s="6" t="s">
        <v>205</v>
      </c>
      <c r="G467" s="2">
        <v>1</v>
      </c>
      <c r="H467" s="2" t="s">
        <v>77</v>
      </c>
      <c r="I467" s="2" t="s">
        <v>78</v>
      </c>
      <c r="J467" s="2" t="str">
        <f t="shared" si="7"/>
        <v>YES</v>
      </c>
      <c r="K467" s="2" t="e">
        <f>VLOOKUP(F467,Scan!A:A,1,0)</f>
        <v>#N/A</v>
      </c>
    </row>
    <row r="468" spans="1:11" hidden="1" x14ac:dyDescent="0.3">
      <c r="A468" s="2" t="s">
        <v>108</v>
      </c>
      <c r="B468" s="2" t="s">
        <v>67</v>
      </c>
      <c r="C468" s="2" t="s">
        <v>68</v>
      </c>
      <c r="D468" s="2" t="s">
        <v>64</v>
      </c>
      <c r="E468" s="2" t="s">
        <v>69</v>
      </c>
      <c r="F468" s="6" t="s">
        <v>206</v>
      </c>
      <c r="G468" s="2">
        <v>1</v>
      </c>
      <c r="H468" s="2" t="s">
        <v>77</v>
      </c>
      <c r="I468" s="2" t="s">
        <v>79</v>
      </c>
      <c r="J468" s="2" t="str">
        <f t="shared" si="7"/>
        <v>YES</v>
      </c>
      <c r="K468" s="2" t="e">
        <f>VLOOKUP(F468,Scan!A:A,1,0)</f>
        <v>#N/A</v>
      </c>
    </row>
    <row r="469" spans="1:11" hidden="1" x14ac:dyDescent="0.3">
      <c r="A469" s="2" t="s">
        <v>108</v>
      </c>
      <c r="B469" s="2" t="s">
        <v>62</v>
      </c>
      <c r="C469" s="2" t="s">
        <v>63</v>
      </c>
      <c r="D469" s="2" t="s">
        <v>64</v>
      </c>
      <c r="E469" s="2" t="s">
        <v>65</v>
      </c>
      <c r="F469" s="6" t="s">
        <v>207</v>
      </c>
      <c r="G469" s="2">
        <v>1</v>
      </c>
      <c r="H469" s="2" t="s">
        <v>11</v>
      </c>
      <c r="I469" s="2" t="s">
        <v>80</v>
      </c>
      <c r="J469" s="2" t="str">
        <f t="shared" si="7"/>
        <v>YES</v>
      </c>
      <c r="K469" s="2" t="e">
        <f>VLOOKUP(F469,Scan!A:A,1,0)</f>
        <v>#N/A</v>
      </c>
    </row>
    <row r="470" spans="1:11" hidden="1" x14ac:dyDescent="0.3">
      <c r="A470" s="2" t="s">
        <v>108</v>
      </c>
      <c r="B470" s="2" t="s">
        <v>393</v>
      </c>
      <c r="C470" s="2" t="s">
        <v>394</v>
      </c>
      <c r="D470" s="2" t="s">
        <v>380</v>
      </c>
      <c r="E470" s="2" t="s">
        <v>395</v>
      </c>
      <c r="F470" s="6" t="s">
        <v>1013</v>
      </c>
      <c r="G470" s="2">
        <v>1</v>
      </c>
      <c r="H470" s="2" t="s">
        <v>80</v>
      </c>
      <c r="I470" s="2" t="s">
        <v>11</v>
      </c>
      <c r="J470" s="2" t="str">
        <f t="shared" si="7"/>
        <v>YES</v>
      </c>
      <c r="K470" s="2" t="e">
        <f>VLOOKUP(F470,Scan!A:A,1,0)</f>
        <v>#N/A</v>
      </c>
    </row>
    <row r="471" spans="1:11" hidden="1" x14ac:dyDescent="0.3">
      <c r="A471" s="2" t="s">
        <v>108</v>
      </c>
      <c r="B471" s="2" t="s">
        <v>396</v>
      </c>
      <c r="C471" s="2" t="s">
        <v>397</v>
      </c>
      <c r="D471" s="2" t="s">
        <v>64</v>
      </c>
      <c r="E471" s="2" t="s">
        <v>398</v>
      </c>
      <c r="F471" s="6" t="s">
        <v>729</v>
      </c>
      <c r="G471" s="2">
        <v>1</v>
      </c>
      <c r="H471" s="2" t="s">
        <v>80</v>
      </c>
      <c r="I471" s="2" t="s">
        <v>11</v>
      </c>
      <c r="J471" s="2" t="str">
        <f t="shared" si="7"/>
        <v>YES</v>
      </c>
      <c r="K471" s="2" t="e">
        <f>VLOOKUP(F471,Scan!A:A,1,0)</f>
        <v>#N/A</v>
      </c>
    </row>
    <row r="472" spans="1:11" hidden="1" x14ac:dyDescent="0.3">
      <c r="A472" s="2" t="s">
        <v>108</v>
      </c>
      <c r="B472" s="2" t="s">
        <v>400</v>
      </c>
      <c r="C472" s="2" t="s">
        <v>401</v>
      </c>
      <c r="D472" s="2" t="s">
        <v>64</v>
      </c>
      <c r="E472" s="2" t="s">
        <v>402</v>
      </c>
      <c r="F472" s="6" t="s">
        <v>389</v>
      </c>
      <c r="G472" s="2">
        <v>1</v>
      </c>
      <c r="H472" s="2" t="s">
        <v>80</v>
      </c>
      <c r="I472" s="2" t="s">
        <v>11</v>
      </c>
      <c r="J472" s="2" t="str">
        <f t="shared" si="7"/>
        <v>NO</v>
      </c>
      <c r="K472" s="2" t="s">
        <v>973</v>
      </c>
    </row>
    <row r="473" spans="1:11" hidden="1" x14ac:dyDescent="0.3">
      <c r="A473" s="2" t="s">
        <v>108</v>
      </c>
      <c r="B473" s="2" t="s">
        <v>403</v>
      </c>
      <c r="C473" s="2" t="s">
        <v>404</v>
      </c>
      <c r="D473" s="2" t="s">
        <v>64</v>
      </c>
      <c r="E473" s="2" t="s">
        <v>405</v>
      </c>
      <c r="F473" s="6" t="s">
        <v>730</v>
      </c>
      <c r="G473" s="2">
        <v>1</v>
      </c>
      <c r="H473" s="2" t="s">
        <v>80</v>
      </c>
      <c r="I473" s="2" t="s">
        <v>11</v>
      </c>
      <c r="J473" s="2" t="str">
        <f t="shared" si="7"/>
        <v>YES</v>
      </c>
      <c r="K473" s="2" t="e">
        <f>VLOOKUP(F473,Scan!A:A,1,0)</f>
        <v>#N/A</v>
      </c>
    </row>
    <row r="474" spans="1:11" hidden="1" x14ac:dyDescent="0.3">
      <c r="A474" s="2" t="s">
        <v>108</v>
      </c>
      <c r="B474" s="2" t="s">
        <v>407</v>
      </c>
      <c r="C474" s="2" t="s">
        <v>408</v>
      </c>
      <c r="D474" s="2" t="s">
        <v>64</v>
      </c>
      <c r="E474" s="2" t="s">
        <v>409</v>
      </c>
      <c r="F474" s="6" t="s">
        <v>731</v>
      </c>
      <c r="G474" s="2">
        <v>1</v>
      </c>
      <c r="H474" s="2" t="s">
        <v>80</v>
      </c>
      <c r="I474" s="2" t="s">
        <v>11</v>
      </c>
      <c r="J474" s="2" t="str">
        <f t="shared" si="7"/>
        <v>YES</v>
      </c>
      <c r="K474" s="2" t="e">
        <f>VLOOKUP(F474,Scan!A:A,1,0)</f>
        <v>#N/A</v>
      </c>
    </row>
    <row r="475" spans="1:11" hidden="1" x14ac:dyDescent="0.3">
      <c r="A475" s="2" t="s">
        <v>108</v>
      </c>
      <c r="B475" s="2" t="s">
        <v>67</v>
      </c>
      <c r="C475" s="2" t="s">
        <v>68</v>
      </c>
      <c r="D475" s="2" t="s">
        <v>64</v>
      </c>
      <c r="E475" s="2" t="s">
        <v>69</v>
      </c>
      <c r="F475" s="6" t="s">
        <v>208</v>
      </c>
      <c r="G475" s="2">
        <v>1</v>
      </c>
      <c r="H475" s="2" t="s">
        <v>80</v>
      </c>
      <c r="I475" s="2" t="s">
        <v>81</v>
      </c>
      <c r="J475" s="2" t="str">
        <f t="shared" si="7"/>
        <v>YES</v>
      </c>
      <c r="K475" s="2" t="e">
        <f>VLOOKUP(F475,Scan!A:A,1,0)</f>
        <v>#N/A</v>
      </c>
    </row>
    <row r="476" spans="1:11" hidden="1" x14ac:dyDescent="0.3">
      <c r="A476" s="2" t="s">
        <v>108</v>
      </c>
      <c r="B476" s="2" t="s">
        <v>67</v>
      </c>
      <c r="C476" s="2" t="s">
        <v>68</v>
      </c>
      <c r="D476" s="2" t="s">
        <v>64</v>
      </c>
      <c r="E476" s="2" t="s">
        <v>69</v>
      </c>
      <c r="F476" s="6" t="s">
        <v>209</v>
      </c>
      <c r="G476" s="2">
        <v>1</v>
      </c>
      <c r="H476" s="2" t="s">
        <v>80</v>
      </c>
      <c r="I476" s="2" t="s">
        <v>82</v>
      </c>
      <c r="J476" s="2" t="str">
        <f t="shared" si="7"/>
        <v>YES</v>
      </c>
      <c r="K476" s="2" t="e">
        <f>VLOOKUP(F476,Scan!A:A,1,0)</f>
        <v>#N/A</v>
      </c>
    </row>
    <row r="477" spans="1:11" hidden="1" x14ac:dyDescent="0.3">
      <c r="A477" s="2" t="s">
        <v>108</v>
      </c>
      <c r="B477" s="2" t="s">
        <v>83</v>
      </c>
      <c r="C477" s="2" t="s">
        <v>84</v>
      </c>
      <c r="D477" s="2" t="s">
        <v>11</v>
      </c>
      <c r="E477" s="2" t="s">
        <v>11</v>
      </c>
      <c r="F477" s="6" t="s">
        <v>11</v>
      </c>
      <c r="G477" s="2">
        <v>1</v>
      </c>
      <c r="H477" s="2" t="s">
        <v>83</v>
      </c>
      <c r="I477" s="2" t="s">
        <v>11</v>
      </c>
      <c r="J477" s="2" t="str">
        <f t="shared" si="7"/>
        <v>NO</v>
      </c>
      <c r="K477" s="2" t="e">
        <f>VLOOKUP(F477,Scan!A:A,1,0)</f>
        <v>#N/A</v>
      </c>
    </row>
    <row r="478" spans="1:11" hidden="1" x14ac:dyDescent="0.3">
      <c r="A478" s="2" t="s">
        <v>108</v>
      </c>
      <c r="B478" s="2" t="s">
        <v>62</v>
      </c>
      <c r="C478" s="2" t="s">
        <v>63</v>
      </c>
      <c r="D478" s="2" t="s">
        <v>64</v>
      </c>
      <c r="E478" s="2" t="s">
        <v>65</v>
      </c>
      <c r="F478" s="6" t="s">
        <v>210</v>
      </c>
      <c r="G478" s="2">
        <v>1</v>
      </c>
      <c r="H478" s="2" t="s">
        <v>11</v>
      </c>
      <c r="I478" s="2" t="s">
        <v>85</v>
      </c>
      <c r="J478" s="2" t="str">
        <f t="shared" si="7"/>
        <v>YES</v>
      </c>
      <c r="K478" s="2" t="e">
        <f>VLOOKUP(F478,Scan!A:A,1,0)</f>
        <v>#N/A</v>
      </c>
    </row>
    <row r="479" spans="1:11" hidden="1" x14ac:dyDescent="0.3">
      <c r="A479" s="2" t="s">
        <v>108</v>
      </c>
      <c r="B479" s="2" t="s">
        <v>393</v>
      </c>
      <c r="C479" s="2" t="s">
        <v>394</v>
      </c>
      <c r="D479" s="2" t="s">
        <v>380</v>
      </c>
      <c r="E479" s="2" t="s">
        <v>395</v>
      </c>
      <c r="F479" s="6" t="s">
        <v>1014</v>
      </c>
      <c r="G479" s="2">
        <v>1</v>
      </c>
      <c r="H479" s="2" t="s">
        <v>85</v>
      </c>
      <c r="I479" s="2" t="s">
        <v>11</v>
      </c>
      <c r="J479" s="2" t="str">
        <f t="shared" si="7"/>
        <v>YES</v>
      </c>
      <c r="K479" s="2" t="e">
        <f>VLOOKUP(F479,Scan!A:A,1,0)</f>
        <v>#N/A</v>
      </c>
    </row>
    <row r="480" spans="1:11" hidden="1" x14ac:dyDescent="0.3">
      <c r="A480" s="2" t="s">
        <v>108</v>
      </c>
      <c r="B480" s="2" t="s">
        <v>396</v>
      </c>
      <c r="C480" s="2" t="s">
        <v>397</v>
      </c>
      <c r="D480" s="2" t="s">
        <v>64</v>
      </c>
      <c r="E480" s="2" t="s">
        <v>398</v>
      </c>
      <c r="F480" s="6" t="s">
        <v>732</v>
      </c>
      <c r="G480" s="2">
        <v>1</v>
      </c>
      <c r="H480" s="2" t="s">
        <v>85</v>
      </c>
      <c r="I480" s="2" t="s">
        <v>11</v>
      </c>
      <c r="J480" s="2" t="str">
        <f t="shared" si="7"/>
        <v>YES</v>
      </c>
      <c r="K480" s="2" t="e">
        <f>VLOOKUP(F480,Scan!A:A,1,0)</f>
        <v>#N/A</v>
      </c>
    </row>
    <row r="481" spans="1:11" hidden="1" x14ac:dyDescent="0.3">
      <c r="A481" s="2" t="s">
        <v>108</v>
      </c>
      <c r="B481" s="2" t="s">
        <v>400</v>
      </c>
      <c r="C481" s="2" t="s">
        <v>401</v>
      </c>
      <c r="D481" s="2" t="s">
        <v>64</v>
      </c>
      <c r="E481" s="2" t="s">
        <v>402</v>
      </c>
      <c r="F481" s="6" t="s">
        <v>389</v>
      </c>
      <c r="G481" s="2">
        <v>1</v>
      </c>
      <c r="H481" s="2" t="s">
        <v>85</v>
      </c>
      <c r="I481" s="2" t="s">
        <v>11</v>
      </c>
      <c r="J481" s="2" t="str">
        <f t="shared" si="7"/>
        <v>NO</v>
      </c>
      <c r="K481" s="2" t="s">
        <v>973</v>
      </c>
    </row>
    <row r="482" spans="1:11" hidden="1" x14ac:dyDescent="0.3">
      <c r="A482" s="2" t="s">
        <v>108</v>
      </c>
      <c r="B482" s="2" t="s">
        <v>403</v>
      </c>
      <c r="C482" s="2" t="s">
        <v>404</v>
      </c>
      <c r="D482" s="2" t="s">
        <v>64</v>
      </c>
      <c r="E482" s="2" t="s">
        <v>405</v>
      </c>
      <c r="F482" s="6" t="s">
        <v>733</v>
      </c>
      <c r="G482" s="2">
        <v>1</v>
      </c>
      <c r="H482" s="2" t="s">
        <v>85</v>
      </c>
      <c r="I482" s="2" t="s">
        <v>11</v>
      </c>
      <c r="J482" s="2" t="str">
        <f t="shared" si="7"/>
        <v>YES</v>
      </c>
      <c r="K482" s="2" t="e">
        <f>VLOOKUP(F482,Scan!A:A,1,0)</f>
        <v>#N/A</v>
      </c>
    </row>
    <row r="483" spans="1:11" hidden="1" x14ac:dyDescent="0.3">
      <c r="A483" s="2" t="s">
        <v>108</v>
      </c>
      <c r="B483" s="2" t="s">
        <v>407</v>
      </c>
      <c r="C483" s="2" t="s">
        <v>408</v>
      </c>
      <c r="D483" s="2" t="s">
        <v>64</v>
      </c>
      <c r="E483" s="2" t="s">
        <v>409</v>
      </c>
      <c r="F483" s="6" t="s">
        <v>734</v>
      </c>
      <c r="G483" s="2">
        <v>1</v>
      </c>
      <c r="H483" s="2" t="s">
        <v>85</v>
      </c>
      <c r="I483" s="2" t="s">
        <v>11</v>
      </c>
      <c r="J483" s="2" t="str">
        <f t="shared" si="7"/>
        <v>YES</v>
      </c>
      <c r="K483" s="2" t="e">
        <f>VLOOKUP(F483,Scan!A:A,1,0)</f>
        <v>#N/A</v>
      </c>
    </row>
    <row r="484" spans="1:11" hidden="1" x14ac:dyDescent="0.3">
      <c r="A484" s="2" t="s">
        <v>108</v>
      </c>
      <c r="B484" s="2" t="s">
        <v>67</v>
      </c>
      <c r="C484" s="2" t="s">
        <v>68</v>
      </c>
      <c r="D484" s="2" t="s">
        <v>64</v>
      </c>
      <c r="E484" s="2" t="s">
        <v>69</v>
      </c>
      <c r="F484" s="6" t="s">
        <v>211</v>
      </c>
      <c r="G484" s="2">
        <v>1</v>
      </c>
      <c r="H484" s="2" t="s">
        <v>85</v>
      </c>
      <c r="I484" s="2" t="s">
        <v>86</v>
      </c>
      <c r="J484" s="2" t="str">
        <f t="shared" si="7"/>
        <v>YES</v>
      </c>
      <c r="K484" s="2" t="e">
        <f>VLOOKUP(F484,Scan!A:A,1,0)</f>
        <v>#N/A</v>
      </c>
    </row>
    <row r="485" spans="1:11" hidden="1" x14ac:dyDescent="0.3">
      <c r="A485" s="2" t="s">
        <v>108</v>
      </c>
      <c r="B485" s="2" t="s">
        <v>67</v>
      </c>
      <c r="C485" s="2" t="s">
        <v>68</v>
      </c>
      <c r="D485" s="2" t="s">
        <v>64</v>
      </c>
      <c r="E485" s="2" t="s">
        <v>69</v>
      </c>
      <c r="F485" s="6" t="s">
        <v>212</v>
      </c>
      <c r="G485" s="2">
        <v>1</v>
      </c>
      <c r="H485" s="2" t="s">
        <v>85</v>
      </c>
      <c r="I485" s="2" t="s">
        <v>87</v>
      </c>
      <c r="J485" s="2" t="str">
        <f t="shared" si="7"/>
        <v>YES</v>
      </c>
      <c r="K485" s="2" t="e">
        <f>VLOOKUP(F485,Scan!A:A,1,0)</f>
        <v>#N/A</v>
      </c>
    </row>
    <row r="486" spans="1:11" hidden="1" x14ac:dyDescent="0.3">
      <c r="A486" s="2" t="s">
        <v>108</v>
      </c>
      <c r="B486" s="2" t="s">
        <v>62</v>
      </c>
      <c r="C486" s="2" t="s">
        <v>63</v>
      </c>
      <c r="D486" s="2" t="s">
        <v>64</v>
      </c>
      <c r="E486" s="2" t="s">
        <v>65</v>
      </c>
      <c r="F486" s="6" t="s">
        <v>213</v>
      </c>
      <c r="G486" s="2">
        <v>1</v>
      </c>
      <c r="H486" s="2" t="s">
        <v>11</v>
      </c>
      <c r="I486" s="2" t="s">
        <v>88</v>
      </c>
      <c r="J486" s="2" t="str">
        <f t="shared" si="7"/>
        <v>YES</v>
      </c>
      <c r="K486" s="2" t="e">
        <f>VLOOKUP(F486,Scan!A:A,1,0)</f>
        <v>#N/A</v>
      </c>
    </row>
    <row r="487" spans="1:11" hidden="1" x14ac:dyDescent="0.3">
      <c r="A487" s="2" t="s">
        <v>108</v>
      </c>
      <c r="B487" s="2" t="s">
        <v>393</v>
      </c>
      <c r="C487" s="2" t="s">
        <v>394</v>
      </c>
      <c r="D487" s="2" t="s">
        <v>380</v>
      </c>
      <c r="E487" s="2" t="s">
        <v>395</v>
      </c>
      <c r="F487" s="6" t="s">
        <v>1017</v>
      </c>
      <c r="G487" s="2">
        <v>1</v>
      </c>
      <c r="H487" s="2" t="s">
        <v>88</v>
      </c>
      <c r="I487" s="2" t="s">
        <v>11</v>
      </c>
      <c r="J487" s="2" t="str">
        <f t="shared" si="7"/>
        <v>YES</v>
      </c>
      <c r="K487" s="2" t="e">
        <f>VLOOKUP(F487,Scan!A:A,1,0)</f>
        <v>#N/A</v>
      </c>
    </row>
    <row r="488" spans="1:11" hidden="1" x14ac:dyDescent="0.3">
      <c r="A488" s="2" t="s">
        <v>108</v>
      </c>
      <c r="B488" s="2" t="s">
        <v>396</v>
      </c>
      <c r="C488" s="2" t="s">
        <v>397</v>
      </c>
      <c r="D488" s="2" t="s">
        <v>64</v>
      </c>
      <c r="E488" s="2" t="s">
        <v>398</v>
      </c>
      <c r="F488" s="6" t="s">
        <v>735</v>
      </c>
      <c r="G488" s="2">
        <v>1</v>
      </c>
      <c r="H488" s="2" t="s">
        <v>88</v>
      </c>
      <c r="I488" s="2" t="s">
        <v>11</v>
      </c>
      <c r="J488" s="2" t="str">
        <f t="shared" si="7"/>
        <v>YES</v>
      </c>
      <c r="K488" s="2" t="e">
        <f>VLOOKUP(F488,Scan!A:A,1,0)</f>
        <v>#N/A</v>
      </c>
    </row>
    <row r="489" spans="1:11" hidden="1" x14ac:dyDescent="0.3">
      <c r="A489" s="2" t="s">
        <v>108</v>
      </c>
      <c r="B489" s="2" t="s">
        <v>400</v>
      </c>
      <c r="C489" s="2" t="s">
        <v>401</v>
      </c>
      <c r="D489" s="2" t="s">
        <v>64</v>
      </c>
      <c r="E489" s="2" t="s">
        <v>402</v>
      </c>
      <c r="F489" s="6" t="s">
        <v>389</v>
      </c>
      <c r="G489" s="2">
        <v>1</v>
      </c>
      <c r="H489" s="2" t="s">
        <v>88</v>
      </c>
      <c r="I489" s="2" t="s">
        <v>11</v>
      </c>
      <c r="J489" s="2" t="str">
        <f t="shared" si="7"/>
        <v>NO</v>
      </c>
      <c r="K489" s="2" t="s">
        <v>973</v>
      </c>
    </row>
    <row r="490" spans="1:11" hidden="1" x14ac:dyDescent="0.3">
      <c r="A490" s="2" t="s">
        <v>108</v>
      </c>
      <c r="B490" s="2" t="s">
        <v>403</v>
      </c>
      <c r="C490" s="2" t="s">
        <v>404</v>
      </c>
      <c r="D490" s="2" t="s">
        <v>64</v>
      </c>
      <c r="E490" s="2" t="s">
        <v>405</v>
      </c>
      <c r="F490" s="6" t="s">
        <v>736</v>
      </c>
      <c r="G490" s="2">
        <v>1</v>
      </c>
      <c r="H490" s="2" t="s">
        <v>88</v>
      </c>
      <c r="I490" s="2" t="s">
        <v>11</v>
      </c>
      <c r="J490" s="2" t="str">
        <f t="shared" si="7"/>
        <v>YES</v>
      </c>
      <c r="K490" s="2" t="e">
        <f>VLOOKUP(F490,Scan!A:A,1,0)</f>
        <v>#N/A</v>
      </c>
    </row>
    <row r="491" spans="1:11" hidden="1" x14ac:dyDescent="0.3">
      <c r="A491" s="2" t="s">
        <v>108</v>
      </c>
      <c r="B491" s="2" t="s">
        <v>407</v>
      </c>
      <c r="C491" s="2" t="s">
        <v>408</v>
      </c>
      <c r="D491" s="2" t="s">
        <v>64</v>
      </c>
      <c r="E491" s="2" t="s">
        <v>409</v>
      </c>
      <c r="F491" s="6" t="s">
        <v>737</v>
      </c>
      <c r="G491" s="2">
        <v>1</v>
      </c>
      <c r="H491" s="2" t="s">
        <v>88</v>
      </c>
      <c r="I491" s="2" t="s">
        <v>11</v>
      </c>
      <c r="J491" s="2" t="str">
        <f t="shared" si="7"/>
        <v>YES</v>
      </c>
      <c r="K491" s="2" t="e">
        <f>VLOOKUP(F491,Scan!A:A,1,0)</f>
        <v>#N/A</v>
      </c>
    </row>
    <row r="492" spans="1:11" hidden="1" x14ac:dyDescent="0.3">
      <c r="A492" s="2" t="s">
        <v>108</v>
      </c>
      <c r="B492" s="2" t="s">
        <v>67</v>
      </c>
      <c r="C492" s="2" t="s">
        <v>68</v>
      </c>
      <c r="D492" s="2" t="s">
        <v>64</v>
      </c>
      <c r="E492" s="2" t="s">
        <v>69</v>
      </c>
      <c r="F492" s="6" t="s">
        <v>214</v>
      </c>
      <c r="G492" s="2">
        <v>1</v>
      </c>
      <c r="H492" s="2" t="s">
        <v>88</v>
      </c>
      <c r="I492" s="2" t="s">
        <v>89</v>
      </c>
      <c r="J492" s="2" t="str">
        <f t="shared" si="7"/>
        <v>YES</v>
      </c>
      <c r="K492" s="2" t="e">
        <f>VLOOKUP(F492,Scan!A:A,1,0)</f>
        <v>#N/A</v>
      </c>
    </row>
    <row r="493" spans="1:11" hidden="1" x14ac:dyDescent="0.3">
      <c r="A493" s="2" t="s">
        <v>108</v>
      </c>
      <c r="B493" s="2" t="s">
        <v>67</v>
      </c>
      <c r="C493" s="2" t="s">
        <v>68</v>
      </c>
      <c r="D493" s="2" t="s">
        <v>64</v>
      </c>
      <c r="E493" s="2" t="s">
        <v>69</v>
      </c>
      <c r="F493" s="6" t="s">
        <v>215</v>
      </c>
      <c r="G493" s="2">
        <v>1</v>
      </c>
      <c r="H493" s="2" t="s">
        <v>88</v>
      </c>
      <c r="I493" s="2" t="s">
        <v>90</v>
      </c>
      <c r="J493" s="2" t="str">
        <f t="shared" si="7"/>
        <v>YES</v>
      </c>
      <c r="K493" s="2" t="e">
        <f>VLOOKUP(F493,Scan!A:A,1,0)</f>
        <v>#N/A</v>
      </c>
    </row>
    <row r="494" spans="1:11" hidden="1" x14ac:dyDescent="0.3">
      <c r="A494" s="2" t="s">
        <v>108</v>
      </c>
      <c r="B494" s="2" t="s">
        <v>91</v>
      </c>
      <c r="C494" s="2" t="s">
        <v>92</v>
      </c>
      <c r="D494" s="2" t="s">
        <v>11</v>
      </c>
      <c r="E494" s="2" t="s">
        <v>11</v>
      </c>
      <c r="F494" s="6" t="s">
        <v>11</v>
      </c>
      <c r="G494" s="2">
        <v>1</v>
      </c>
      <c r="H494" s="2" t="s">
        <v>91</v>
      </c>
      <c r="I494" s="2" t="s">
        <v>11</v>
      </c>
      <c r="J494" s="2" t="str">
        <f t="shared" si="7"/>
        <v>NO</v>
      </c>
      <c r="K494" s="2" t="e">
        <f>VLOOKUP(F494,Scan!A:A,1,0)</f>
        <v>#N/A</v>
      </c>
    </row>
    <row r="495" spans="1:11" hidden="1" x14ac:dyDescent="0.3">
      <c r="A495" s="2" t="s">
        <v>108</v>
      </c>
      <c r="B495" s="2" t="s">
        <v>62</v>
      </c>
      <c r="C495" s="2" t="s">
        <v>63</v>
      </c>
      <c r="D495" s="2" t="s">
        <v>64</v>
      </c>
      <c r="E495" s="2" t="s">
        <v>65</v>
      </c>
      <c r="F495" s="6" t="s">
        <v>216</v>
      </c>
      <c r="G495" s="2">
        <v>1</v>
      </c>
      <c r="H495" s="2" t="s">
        <v>11</v>
      </c>
      <c r="I495" s="2" t="s">
        <v>93</v>
      </c>
      <c r="J495" s="2" t="str">
        <f t="shared" si="7"/>
        <v>YES</v>
      </c>
      <c r="K495" s="2" t="e">
        <f>VLOOKUP(F495,Scan!A:A,1,0)</f>
        <v>#N/A</v>
      </c>
    </row>
    <row r="496" spans="1:11" hidden="1" x14ac:dyDescent="0.3">
      <c r="A496" s="2" t="s">
        <v>108</v>
      </c>
      <c r="B496" s="2" t="s">
        <v>393</v>
      </c>
      <c r="C496" s="2" t="s">
        <v>394</v>
      </c>
      <c r="D496" s="2" t="s">
        <v>380</v>
      </c>
      <c r="E496" s="2" t="s">
        <v>395</v>
      </c>
      <c r="F496" s="6" t="s">
        <v>1015</v>
      </c>
      <c r="G496" s="2">
        <v>1</v>
      </c>
      <c r="H496" s="2" t="s">
        <v>93</v>
      </c>
      <c r="I496" s="2" t="s">
        <v>11</v>
      </c>
      <c r="J496" s="2" t="str">
        <f t="shared" si="7"/>
        <v>YES</v>
      </c>
      <c r="K496" s="2" t="e">
        <f>VLOOKUP(F496,Scan!A:A,1,0)</f>
        <v>#N/A</v>
      </c>
    </row>
    <row r="497" spans="1:11" hidden="1" x14ac:dyDescent="0.3">
      <c r="A497" s="2" t="s">
        <v>108</v>
      </c>
      <c r="B497" s="2" t="s">
        <v>396</v>
      </c>
      <c r="C497" s="2" t="s">
        <v>397</v>
      </c>
      <c r="D497" s="2" t="s">
        <v>64</v>
      </c>
      <c r="E497" s="2" t="s">
        <v>398</v>
      </c>
      <c r="F497" s="6" t="s">
        <v>738</v>
      </c>
      <c r="G497" s="2">
        <v>1</v>
      </c>
      <c r="H497" s="2" t="s">
        <v>93</v>
      </c>
      <c r="I497" s="2" t="s">
        <v>11</v>
      </c>
      <c r="J497" s="2" t="str">
        <f t="shared" si="7"/>
        <v>YES</v>
      </c>
      <c r="K497" s="2" t="e">
        <f>VLOOKUP(F497,Scan!A:A,1,0)</f>
        <v>#N/A</v>
      </c>
    </row>
    <row r="498" spans="1:11" hidden="1" x14ac:dyDescent="0.3">
      <c r="A498" s="2" t="s">
        <v>108</v>
      </c>
      <c r="B498" s="2" t="s">
        <v>400</v>
      </c>
      <c r="C498" s="2" t="s">
        <v>401</v>
      </c>
      <c r="D498" s="2" t="s">
        <v>64</v>
      </c>
      <c r="E498" s="2" t="s">
        <v>402</v>
      </c>
      <c r="F498" s="6" t="s">
        <v>389</v>
      </c>
      <c r="G498" s="2">
        <v>1</v>
      </c>
      <c r="H498" s="2" t="s">
        <v>93</v>
      </c>
      <c r="I498" s="2" t="s">
        <v>11</v>
      </c>
      <c r="J498" s="2" t="str">
        <f t="shared" si="7"/>
        <v>NO</v>
      </c>
      <c r="K498" s="2" t="s">
        <v>973</v>
      </c>
    </row>
    <row r="499" spans="1:11" hidden="1" x14ac:dyDescent="0.3">
      <c r="A499" s="2" t="s">
        <v>108</v>
      </c>
      <c r="B499" s="2" t="s">
        <v>403</v>
      </c>
      <c r="C499" s="2" t="s">
        <v>404</v>
      </c>
      <c r="D499" s="2" t="s">
        <v>64</v>
      </c>
      <c r="E499" s="2" t="s">
        <v>405</v>
      </c>
      <c r="F499" s="6" t="s">
        <v>739</v>
      </c>
      <c r="G499" s="2">
        <v>1</v>
      </c>
      <c r="H499" s="2" t="s">
        <v>93</v>
      </c>
      <c r="I499" s="2" t="s">
        <v>11</v>
      </c>
      <c r="J499" s="2" t="str">
        <f t="shared" si="7"/>
        <v>YES</v>
      </c>
      <c r="K499" s="2" t="e">
        <f>VLOOKUP(F499,Scan!A:A,1,0)</f>
        <v>#N/A</v>
      </c>
    </row>
    <row r="500" spans="1:11" hidden="1" x14ac:dyDescent="0.3">
      <c r="A500" s="2" t="s">
        <v>108</v>
      </c>
      <c r="B500" s="2" t="s">
        <v>407</v>
      </c>
      <c r="C500" s="2" t="s">
        <v>408</v>
      </c>
      <c r="D500" s="2" t="s">
        <v>64</v>
      </c>
      <c r="E500" s="2" t="s">
        <v>409</v>
      </c>
      <c r="F500" s="6" t="s">
        <v>740</v>
      </c>
      <c r="G500" s="2">
        <v>1</v>
      </c>
      <c r="H500" s="2" t="s">
        <v>93</v>
      </c>
      <c r="I500" s="2" t="s">
        <v>11</v>
      </c>
      <c r="J500" s="2" t="str">
        <f t="shared" si="7"/>
        <v>YES</v>
      </c>
      <c r="K500" s="2" t="e">
        <f>VLOOKUP(F500,Scan!A:A,1,0)</f>
        <v>#N/A</v>
      </c>
    </row>
    <row r="501" spans="1:11" hidden="1" x14ac:dyDescent="0.3">
      <c r="A501" s="2" t="s">
        <v>108</v>
      </c>
      <c r="B501" s="2" t="s">
        <v>217</v>
      </c>
      <c r="C501" s="2" t="s">
        <v>68</v>
      </c>
      <c r="D501" s="2" t="s">
        <v>64</v>
      </c>
      <c r="E501" s="2" t="s">
        <v>218</v>
      </c>
      <c r="F501" s="6" t="s">
        <v>219</v>
      </c>
      <c r="G501" s="2">
        <v>1</v>
      </c>
      <c r="H501" s="2" t="s">
        <v>93</v>
      </c>
      <c r="I501" s="2" t="s">
        <v>94</v>
      </c>
      <c r="J501" s="2" t="str">
        <f t="shared" si="7"/>
        <v>YES</v>
      </c>
      <c r="K501" s="2" t="e">
        <f>VLOOKUP(F501,Scan!A:A,1,0)</f>
        <v>#N/A</v>
      </c>
    </row>
    <row r="502" spans="1:11" hidden="1" x14ac:dyDescent="0.3">
      <c r="A502" s="2" t="s">
        <v>108</v>
      </c>
      <c r="B502" s="2" t="s">
        <v>217</v>
      </c>
      <c r="C502" s="2" t="s">
        <v>68</v>
      </c>
      <c r="D502" s="2" t="s">
        <v>64</v>
      </c>
      <c r="E502" s="2" t="s">
        <v>218</v>
      </c>
      <c r="F502" s="6" t="s">
        <v>220</v>
      </c>
      <c r="G502" s="2">
        <v>1</v>
      </c>
      <c r="H502" s="2" t="s">
        <v>93</v>
      </c>
      <c r="I502" s="2" t="s">
        <v>95</v>
      </c>
      <c r="J502" s="2" t="str">
        <f t="shared" si="7"/>
        <v>YES</v>
      </c>
      <c r="K502" s="2" t="e">
        <f>VLOOKUP(F502,Scan!A:A,1,0)</f>
        <v>#N/A</v>
      </c>
    </row>
    <row r="503" spans="1:11" hidden="1" x14ac:dyDescent="0.3">
      <c r="A503" s="2" t="s">
        <v>108</v>
      </c>
      <c r="B503" s="2" t="s">
        <v>96</v>
      </c>
      <c r="C503" s="2" t="s">
        <v>97</v>
      </c>
      <c r="D503" s="2" t="s">
        <v>11</v>
      </c>
      <c r="E503" s="2" t="s">
        <v>11</v>
      </c>
      <c r="F503" s="6" t="s">
        <v>11</v>
      </c>
      <c r="G503" s="2">
        <v>1</v>
      </c>
      <c r="H503" s="2" t="s">
        <v>96</v>
      </c>
      <c r="I503" s="2" t="s">
        <v>11</v>
      </c>
      <c r="J503" s="2" t="str">
        <f t="shared" si="7"/>
        <v>NO</v>
      </c>
      <c r="K503" s="2" t="e">
        <f>VLOOKUP(F503,Scan!A:A,1,0)</f>
        <v>#N/A</v>
      </c>
    </row>
    <row r="504" spans="1:11" hidden="1" x14ac:dyDescent="0.3">
      <c r="A504" s="2" t="s">
        <v>108</v>
      </c>
      <c r="B504" s="2" t="s">
        <v>62</v>
      </c>
      <c r="C504" s="2" t="s">
        <v>63</v>
      </c>
      <c r="D504" s="2" t="s">
        <v>64</v>
      </c>
      <c r="E504" s="2" t="s">
        <v>65</v>
      </c>
      <c r="F504" s="6" t="s">
        <v>221</v>
      </c>
      <c r="G504" s="2">
        <v>1</v>
      </c>
      <c r="H504" s="2" t="s">
        <v>11</v>
      </c>
      <c r="I504" s="2" t="s">
        <v>98</v>
      </c>
      <c r="J504" s="2" t="str">
        <f t="shared" si="7"/>
        <v>YES</v>
      </c>
      <c r="K504" s="2" t="e">
        <f>VLOOKUP(F504,Scan!A:A,1,0)</f>
        <v>#N/A</v>
      </c>
    </row>
    <row r="505" spans="1:11" hidden="1" x14ac:dyDescent="0.3">
      <c r="A505" s="2" t="s">
        <v>108</v>
      </c>
      <c r="B505" s="2" t="s">
        <v>393</v>
      </c>
      <c r="C505" s="2" t="s">
        <v>394</v>
      </c>
      <c r="D505" s="2" t="s">
        <v>380</v>
      </c>
      <c r="E505" s="2" t="s">
        <v>395</v>
      </c>
      <c r="F505" s="6" t="s">
        <v>1020</v>
      </c>
      <c r="G505" s="2">
        <v>1</v>
      </c>
      <c r="H505" s="2" t="s">
        <v>98</v>
      </c>
      <c r="I505" s="2" t="s">
        <v>11</v>
      </c>
      <c r="J505" s="2" t="str">
        <f t="shared" si="7"/>
        <v>YES</v>
      </c>
      <c r="K505" s="2" t="e">
        <f>VLOOKUP(F505,Scan!A:A,1,0)</f>
        <v>#N/A</v>
      </c>
    </row>
    <row r="506" spans="1:11" hidden="1" x14ac:dyDescent="0.3">
      <c r="A506" s="2" t="s">
        <v>108</v>
      </c>
      <c r="B506" s="2" t="s">
        <v>623</v>
      </c>
      <c r="C506" s="2" t="s">
        <v>624</v>
      </c>
      <c r="D506" s="2" t="s">
        <v>380</v>
      </c>
      <c r="E506" s="2" t="s">
        <v>625</v>
      </c>
      <c r="F506" s="6" t="s">
        <v>1019</v>
      </c>
      <c r="G506" s="2">
        <v>1</v>
      </c>
      <c r="H506" s="2" t="s">
        <v>98</v>
      </c>
      <c r="I506" s="2" t="s">
        <v>11</v>
      </c>
      <c r="J506" s="2" t="str">
        <f t="shared" si="7"/>
        <v>YES</v>
      </c>
      <c r="K506" s="2" t="e">
        <f>VLOOKUP(F506,Scan!A:A,1,0)</f>
        <v>#N/A</v>
      </c>
    </row>
    <row r="507" spans="1:11" hidden="1" x14ac:dyDescent="0.3">
      <c r="A507" s="2" t="s">
        <v>108</v>
      </c>
      <c r="B507" s="2" t="s">
        <v>396</v>
      </c>
      <c r="C507" s="2" t="s">
        <v>397</v>
      </c>
      <c r="D507" s="2" t="s">
        <v>64</v>
      </c>
      <c r="E507" s="2" t="s">
        <v>398</v>
      </c>
      <c r="F507" s="6" t="s">
        <v>741</v>
      </c>
      <c r="G507" s="2">
        <v>1</v>
      </c>
      <c r="H507" s="2" t="s">
        <v>98</v>
      </c>
      <c r="I507" s="2" t="s">
        <v>11</v>
      </c>
      <c r="J507" s="2" t="str">
        <f t="shared" si="7"/>
        <v>YES</v>
      </c>
      <c r="K507" s="2" t="e">
        <f>VLOOKUP(F507,Scan!A:A,1,0)</f>
        <v>#N/A</v>
      </c>
    </row>
    <row r="508" spans="1:11" hidden="1" x14ac:dyDescent="0.3">
      <c r="A508" s="2" t="s">
        <v>108</v>
      </c>
      <c r="B508" s="2" t="s">
        <v>400</v>
      </c>
      <c r="C508" s="2" t="s">
        <v>401</v>
      </c>
      <c r="D508" s="2" t="s">
        <v>64</v>
      </c>
      <c r="E508" s="2" t="s">
        <v>402</v>
      </c>
      <c r="F508" s="6" t="s">
        <v>389</v>
      </c>
      <c r="G508" s="2">
        <v>1</v>
      </c>
      <c r="H508" s="2" t="s">
        <v>98</v>
      </c>
      <c r="I508" s="2" t="s">
        <v>11</v>
      </c>
      <c r="J508" s="2" t="str">
        <f t="shared" si="7"/>
        <v>NO</v>
      </c>
      <c r="K508" s="2" t="s">
        <v>973</v>
      </c>
    </row>
    <row r="509" spans="1:11" hidden="1" x14ac:dyDescent="0.3">
      <c r="A509" s="2" t="s">
        <v>108</v>
      </c>
      <c r="B509" s="2" t="s">
        <v>403</v>
      </c>
      <c r="C509" s="2" t="s">
        <v>404</v>
      </c>
      <c r="D509" s="2" t="s">
        <v>64</v>
      </c>
      <c r="E509" s="2" t="s">
        <v>405</v>
      </c>
      <c r="F509" s="6" t="s">
        <v>742</v>
      </c>
      <c r="G509" s="2">
        <v>1</v>
      </c>
      <c r="H509" s="2" t="s">
        <v>11</v>
      </c>
      <c r="I509" s="2" t="s">
        <v>11</v>
      </c>
      <c r="J509" s="2" t="str">
        <f t="shared" si="7"/>
        <v>YES</v>
      </c>
      <c r="K509" s="2" t="e">
        <f>VLOOKUP(F509,Scan!A:A,1,0)</f>
        <v>#N/A</v>
      </c>
    </row>
    <row r="510" spans="1:11" hidden="1" x14ac:dyDescent="0.3">
      <c r="A510" s="2" t="s">
        <v>108</v>
      </c>
      <c r="B510" s="2" t="s">
        <v>407</v>
      </c>
      <c r="C510" s="2" t="s">
        <v>408</v>
      </c>
      <c r="D510" s="2" t="s">
        <v>64</v>
      </c>
      <c r="E510" s="2" t="s">
        <v>409</v>
      </c>
      <c r="F510" s="6" t="s">
        <v>743</v>
      </c>
      <c r="G510" s="2">
        <v>1</v>
      </c>
      <c r="H510" s="2" t="s">
        <v>11</v>
      </c>
      <c r="I510" s="2" t="s">
        <v>11</v>
      </c>
      <c r="J510" s="2" t="str">
        <f t="shared" si="7"/>
        <v>YES</v>
      </c>
      <c r="K510" s="2" t="e">
        <f>VLOOKUP(F510,Scan!A:A,1,0)</f>
        <v>#N/A</v>
      </c>
    </row>
    <row r="511" spans="1:11" hidden="1" x14ac:dyDescent="0.3">
      <c r="A511" s="2" t="s">
        <v>108</v>
      </c>
      <c r="B511" s="2" t="s">
        <v>407</v>
      </c>
      <c r="C511" s="2" t="s">
        <v>408</v>
      </c>
      <c r="D511" s="2" t="s">
        <v>64</v>
      </c>
      <c r="E511" s="2" t="s">
        <v>409</v>
      </c>
      <c r="F511" s="6" t="s">
        <v>744</v>
      </c>
      <c r="G511" s="2">
        <v>1</v>
      </c>
      <c r="H511" s="2" t="s">
        <v>11</v>
      </c>
      <c r="I511" s="2" t="s">
        <v>11</v>
      </c>
      <c r="J511" s="2" t="str">
        <f t="shared" si="7"/>
        <v>YES</v>
      </c>
      <c r="K511" s="2" t="e">
        <f>VLOOKUP(F511,Scan!A:A,1,0)</f>
        <v>#N/A</v>
      </c>
    </row>
    <row r="512" spans="1:11" hidden="1" x14ac:dyDescent="0.3">
      <c r="A512" s="2" t="s">
        <v>108</v>
      </c>
      <c r="B512" s="2" t="s">
        <v>67</v>
      </c>
      <c r="C512" s="2" t="s">
        <v>68</v>
      </c>
      <c r="D512" s="2" t="s">
        <v>64</v>
      </c>
      <c r="E512" s="2" t="s">
        <v>69</v>
      </c>
      <c r="F512" s="6" t="s">
        <v>222</v>
      </c>
      <c r="G512" s="2">
        <v>1</v>
      </c>
      <c r="H512" s="2" t="s">
        <v>11</v>
      </c>
      <c r="I512" s="2" t="s">
        <v>99</v>
      </c>
      <c r="J512" s="2" t="str">
        <f t="shared" si="7"/>
        <v>YES</v>
      </c>
      <c r="K512" s="2" t="e">
        <f>VLOOKUP(F512,Scan!A:A,1,0)</f>
        <v>#N/A</v>
      </c>
    </row>
    <row r="513" spans="1:11" hidden="1" x14ac:dyDescent="0.3">
      <c r="A513" s="2" t="s">
        <v>108</v>
      </c>
      <c r="B513" s="2" t="s">
        <v>67</v>
      </c>
      <c r="C513" s="2" t="s">
        <v>68</v>
      </c>
      <c r="D513" s="2" t="s">
        <v>64</v>
      </c>
      <c r="E513" s="2" t="s">
        <v>69</v>
      </c>
      <c r="F513" s="6" t="s">
        <v>223</v>
      </c>
      <c r="G513" s="2">
        <v>1</v>
      </c>
      <c r="H513" s="2" t="s">
        <v>11</v>
      </c>
      <c r="I513" s="2" t="s">
        <v>100</v>
      </c>
      <c r="J513" s="2" t="str">
        <f t="shared" si="7"/>
        <v>YES</v>
      </c>
      <c r="K513" s="2" t="e">
        <f>VLOOKUP(F513,Scan!A:A,1,0)</f>
        <v>#N/A</v>
      </c>
    </row>
    <row r="514" spans="1:11" hidden="1" x14ac:dyDescent="0.3">
      <c r="A514" s="2" t="s">
        <v>108</v>
      </c>
      <c r="B514" s="2" t="s">
        <v>217</v>
      </c>
      <c r="C514" s="2" t="s">
        <v>68</v>
      </c>
      <c r="D514" s="2" t="s">
        <v>64</v>
      </c>
      <c r="E514" s="2" t="s">
        <v>218</v>
      </c>
      <c r="F514" s="6" t="s">
        <v>224</v>
      </c>
      <c r="G514" s="2">
        <v>1</v>
      </c>
      <c r="H514" s="2" t="s">
        <v>11</v>
      </c>
      <c r="I514" s="2" t="s">
        <v>745</v>
      </c>
      <c r="J514" s="2" t="str">
        <f t="shared" si="7"/>
        <v>YES</v>
      </c>
      <c r="K514" s="2" t="e">
        <f>VLOOKUP(F514,Scan!A:A,1,0)</f>
        <v>#N/A</v>
      </c>
    </row>
    <row r="515" spans="1:11" hidden="1" x14ac:dyDescent="0.3">
      <c r="A515" s="2" t="s">
        <v>108</v>
      </c>
      <c r="B515" s="2" t="s">
        <v>746</v>
      </c>
      <c r="C515" s="2" t="s">
        <v>693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746</v>
      </c>
      <c r="I515" s="2" t="s">
        <v>11</v>
      </c>
      <c r="J515" s="2" t="str">
        <f t="shared" ref="J515:J578" si="8">IF(OR(F515="",F515="_",LEFT(F515,5)="SPARE",F515="N/A"),"NO","YES")</f>
        <v>NO</v>
      </c>
      <c r="K515" s="2" t="e">
        <f>VLOOKUP(F515,Scan!A:A,1,0)</f>
        <v>#N/A</v>
      </c>
    </row>
    <row r="516" spans="1:11" hidden="1" x14ac:dyDescent="0.3">
      <c r="A516" s="2" t="s">
        <v>108</v>
      </c>
      <c r="B516" s="2" t="s">
        <v>694</v>
      </c>
      <c r="C516" s="2" t="s">
        <v>695</v>
      </c>
      <c r="D516" s="2" t="s">
        <v>696</v>
      </c>
      <c r="E516" s="2" t="s">
        <v>697</v>
      </c>
      <c r="F516" s="6" t="s">
        <v>389</v>
      </c>
      <c r="G516" s="2">
        <v>1</v>
      </c>
      <c r="H516" s="2" t="s">
        <v>11</v>
      </c>
      <c r="I516" s="2" t="s">
        <v>747</v>
      </c>
      <c r="J516" s="2" t="str">
        <f t="shared" si="8"/>
        <v>NO</v>
      </c>
      <c r="K516" s="2" t="s">
        <v>973</v>
      </c>
    </row>
    <row r="517" spans="1:11" hidden="1" x14ac:dyDescent="0.3">
      <c r="A517" s="2" t="s">
        <v>108</v>
      </c>
      <c r="B517" s="2" t="s">
        <v>525</v>
      </c>
      <c r="C517" s="2" t="s">
        <v>526</v>
      </c>
      <c r="D517" s="2" t="s">
        <v>380</v>
      </c>
      <c r="E517" s="2" t="s">
        <v>527</v>
      </c>
      <c r="F517" s="6" t="s">
        <v>389</v>
      </c>
      <c r="G517" s="2">
        <v>1</v>
      </c>
      <c r="H517" s="2" t="s">
        <v>11</v>
      </c>
      <c r="I517" s="2" t="s">
        <v>748</v>
      </c>
      <c r="J517" s="2" t="str">
        <f t="shared" si="8"/>
        <v>NO</v>
      </c>
      <c r="K517" s="2" t="s">
        <v>973</v>
      </c>
    </row>
    <row r="518" spans="1:11" hidden="1" x14ac:dyDescent="0.3">
      <c r="A518" s="2" t="s">
        <v>108</v>
      </c>
      <c r="B518" s="2" t="s">
        <v>38</v>
      </c>
      <c r="C518" s="2" t="s">
        <v>39</v>
      </c>
      <c r="D518" s="2" t="s">
        <v>14</v>
      </c>
      <c r="E518" s="2" t="s">
        <v>572</v>
      </c>
      <c r="F518" s="6" t="s">
        <v>749</v>
      </c>
      <c r="G518" s="2">
        <v>1</v>
      </c>
      <c r="H518" s="2" t="s">
        <v>11</v>
      </c>
      <c r="I518" s="2" t="s">
        <v>750</v>
      </c>
      <c r="J518" s="2" t="str">
        <f t="shared" si="8"/>
        <v>YES</v>
      </c>
      <c r="K518" s="2" t="e">
        <f>VLOOKUP(F518,Scan!A:A,1,0)</f>
        <v>#N/A</v>
      </c>
    </row>
    <row r="519" spans="1:11" hidden="1" x14ac:dyDescent="0.3">
      <c r="A519" s="2" t="s">
        <v>108</v>
      </c>
      <c r="B519" s="2" t="s">
        <v>393</v>
      </c>
      <c r="C519" s="2" t="s">
        <v>394</v>
      </c>
      <c r="D519" s="2" t="s">
        <v>380</v>
      </c>
      <c r="E519" s="2" t="s">
        <v>395</v>
      </c>
      <c r="F519" s="6" t="s">
        <v>751</v>
      </c>
      <c r="G519" s="2">
        <v>1</v>
      </c>
      <c r="H519" s="2" t="s">
        <v>11</v>
      </c>
      <c r="I519" s="2" t="s">
        <v>752</v>
      </c>
      <c r="J519" s="2" t="str">
        <f t="shared" si="8"/>
        <v>YES</v>
      </c>
      <c r="K519" s="2" t="e">
        <f>VLOOKUP(F519,Scan!A:A,1,0)</f>
        <v>#N/A</v>
      </c>
    </row>
    <row r="520" spans="1:11" hidden="1" x14ac:dyDescent="0.3">
      <c r="A520" s="2" t="s">
        <v>108</v>
      </c>
      <c r="B520" s="2" t="s">
        <v>46</v>
      </c>
      <c r="C520" s="2" t="s">
        <v>39</v>
      </c>
      <c r="D520" s="2" t="s">
        <v>380</v>
      </c>
      <c r="E520" s="2" t="s">
        <v>47</v>
      </c>
      <c r="F520" s="20" t="s">
        <v>974</v>
      </c>
      <c r="G520" s="2">
        <v>1</v>
      </c>
      <c r="H520" s="2" t="s">
        <v>11</v>
      </c>
      <c r="I520" s="2" t="s">
        <v>753</v>
      </c>
      <c r="J520" s="2" t="str">
        <f t="shared" si="8"/>
        <v>YES</v>
      </c>
      <c r="K520" s="2" t="e">
        <f>VLOOKUP(F520,Scan!A:A,1,0)</f>
        <v>#N/A</v>
      </c>
    </row>
    <row r="521" spans="1:11" hidden="1" x14ac:dyDescent="0.3">
      <c r="A521" s="2" t="s">
        <v>108</v>
      </c>
      <c r="B521" s="2" t="s">
        <v>46</v>
      </c>
      <c r="C521" s="2" t="s">
        <v>39</v>
      </c>
      <c r="D521" s="2" t="s">
        <v>380</v>
      </c>
      <c r="E521" s="2" t="s">
        <v>47</v>
      </c>
      <c r="F521" s="20" t="s">
        <v>975</v>
      </c>
      <c r="G521" s="2">
        <v>1</v>
      </c>
      <c r="H521" s="2" t="s">
        <v>11</v>
      </c>
      <c r="I521" s="2" t="s">
        <v>754</v>
      </c>
      <c r="J521" s="2" t="str">
        <f t="shared" si="8"/>
        <v>YES</v>
      </c>
      <c r="K521" s="2" t="e">
        <f>VLOOKUP(F521,Scan!A:A,1,0)</f>
        <v>#N/A</v>
      </c>
    </row>
    <row r="522" spans="1:11" hidden="1" x14ac:dyDescent="0.3">
      <c r="A522" s="2" t="s">
        <v>108</v>
      </c>
      <c r="B522" s="2" t="s">
        <v>28</v>
      </c>
      <c r="C522" s="2" t="s">
        <v>18</v>
      </c>
      <c r="D522" s="2" t="s">
        <v>533</v>
      </c>
      <c r="E522" s="2" t="s">
        <v>29</v>
      </c>
      <c r="F522" s="6" t="s">
        <v>755</v>
      </c>
      <c r="G522" s="2">
        <v>1</v>
      </c>
      <c r="H522" s="2" t="s">
        <v>11</v>
      </c>
      <c r="I522" s="2" t="s">
        <v>756</v>
      </c>
      <c r="J522" s="2" t="str">
        <f t="shared" si="8"/>
        <v>YES</v>
      </c>
      <c r="K522" s="2" t="e">
        <f>VLOOKUP(F522,Scan!A:A,1,0)</f>
        <v>#N/A</v>
      </c>
    </row>
    <row r="523" spans="1:11" hidden="1" x14ac:dyDescent="0.3">
      <c r="A523" s="2" t="s">
        <v>108</v>
      </c>
      <c r="B523" s="2" t="s">
        <v>28</v>
      </c>
      <c r="C523" s="2" t="s">
        <v>18</v>
      </c>
      <c r="D523" s="2" t="s">
        <v>533</v>
      </c>
      <c r="E523" s="2" t="s">
        <v>29</v>
      </c>
      <c r="F523" s="6" t="s">
        <v>757</v>
      </c>
      <c r="G523" s="2">
        <v>1</v>
      </c>
      <c r="H523" s="2" t="s">
        <v>11</v>
      </c>
      <c r="I523" s="2" t="s">
        <v>758</v>
      </c>
      <c r="J523" s="2" t="str">
        <f t="shared" si="8"/>
        <v>YES</v>
      </c>
      <c r="K523" s="2" t="e">
        <f>VLOOKUP(F523,Scan!A:A,1,0)</f>
        <v>#N/A</v>
      </c>
    </row>
    <row r="524" spans="1:11" hidden="1" x14ac:dyDescent="0.3">
      <c r="A524" s="2" t="s">
        <v>108</v>
      </c>
      <c r="B524" s="2" t="s">
        <v>30</v>
      </c>
      <c r="C524" s="2" t="s">
        <v>18</v>
      </c>
      <c r="D524" s="2" t="s">
        <v>533</v>
      </c>
      <c r="E524" s="2" t="s">
        <v>31</v>
      </c>
      <c r="F524" s="6" t="s">
        <v>759</v>
      </c>
      <c r="G524" s="2">
        <v>1</v>
      </c>
      <c r="H524" s="2" t="s">
        <v>11</v>
      </c>
      <c r="I524" s="2" t="s">
        <v>760</v>
      </c>
      <c r="J524" s="2" t="str">
        <f t="shared" si="8"/>
        <v>YES</v>
      </c>
      <c r="K524" s="2" t="e">
        <f>VLOOKUP(F524,Scan!A:A,1,0)</f>
        <v>#N/A</v>
      </c>
    </row>
    <row r="525" spans="1:11" hidden="1" x14ac:dyDescent="0.3">
      <c r="A525" s="2" t="s">
        <v>108</v>
      </c>
      <c r="B525" s="2" t="s">
        <v>30</v>
      </c>
      <c r="C525" s="2" t="s">
        <v>18</v>
      </c>
      <c r="D525" s="2" t="s">
        <v>533</v>
      </c>
      <c r="E525" s="2" t="s">
        <v>31</v>
      </c>
      <c r="F525" s="6" t="s">
        <v>761</v>
      </c>
      <c r="G525" s="2">
        <v>1</v>
      </c>
      <c r="H525" s="2" t="s">
        <v>11</v>
      </c>
      <c r="I525" s="2" t="s">
        <v>762</v>
      </c>
      <c r="J525" s="2" t="str">
        <f t="shared" si="8"/>
        <v>YES</v>
      </c>
      <c r="K525" s="2" t="e">
        <f>VLOOKUP(F525,Scan!A:A,1,0)</f>
        <v>#N/A</v>
      </c>
    </row>
    <row r="526" spans="1:11" hidden="1" x14ac:dyDescent="0.3">
      <c r="A526" s="2" t="s">
        <v>108</v>
      </c>
      <c r="B526" s="2" t="s">
        <v>32</v>
      </c>
      <c r="C526" s="2" t="s">
        <v>18</v>
      </c>
      <c r="D526" s="2" t="s">
        <v>533</v>
      </c>
      <c r="E526" s="2" t="s">
        <v>33</v>
      </c>
      <c r="F526" s="22" t="s">
        <v>763</v>
      </c>
      <c r="G526" s="2">
        <v>1</v>
      </c>
      <c r="H526" s="2" t="s">
        <v>11</v>
      </c>
      <c r="I526" s="2" t="s">
        <v>764</v>
      </c>
      <c r="J526" s="2" t="str">
        <f t="shared" si="8"/>
        <v>YES</v>
      </c>
      <c r="K526" s="2" t="e">
        <f>VLOOKUP(F526,Scan!A:A,1,0)</f>
        <v>#N/A</v>
      </c>
    </row>
    <row r="527" spans="1:11" hidden="1" x14ac:dyDescent="0.3">
      <c r="A527" s="2" t="s">
        <v>765</v>
      </c>
      <c r="B527" s="2" t="s">
        <v>12</v>
      </c>
      <c r="C527" s="2" t="s">
        <v>13</v>
      </c>
      <c r="D527" s="2" t="s">
        <v>14</v>
      </c>
      <c r="E527" s="2" t="s">
        <v>15</v>
      </c>
      <c r="F527" s="6" t="s">
        <v>766</v>
      </c>
      <c r="G527" s="2">
        <v>1</v>
      </c>
      <c r="H527" s="2" t="s">
        <v>11</v>
      </c>
      <c r="I527" s="2" t="s">
        <v>767</v>
      </c>
      <c r="J527" s="2" t="str">
        <f t="shared" si="8"/>
        <v>YES</v>
      </c>
      <c r="K527" s="2" t="s">
        <v>766</v>
      </c>
    </row>
    <row r="528" spans="1:11" hidden="1" x14ac:dyDescent="0.3">
      <c r="A528" s="2" t="s">
        <v>765</v>
      </c>
      <c r="B528" s="2" t="s">
        <v>17</v>
      </c>
      <c r="C528" s="2" t="s">
        <v>18</v>
      </c>
      <c r="D528" s="2" t="s">
        <v>14</v>
      </c>
      <c r="E528" s="2" t="s">
        <v>19</v>
      </c>
      <c r="F528" s="6" t="s">
        <v>768</v>
      </c>
      <c r="G528" s="2">
        <v>1</v>
      </c>
      <c r="H528" s="2" t="s">
        <v>11</v>
      </c>
      <c r="I528" s="2" t="s">
        <v>11</v>
      </c>
      <c r="J528" s="2" t="str">
        <f t="shared" si="8"/>
        <v>YES</v>
      </c>
      <c r="K528" s="2" t="s">
        <v>768</v>
      </c>
    </row>
    <row r="529" spans="1:11" hidden="1" x14ac:dyDescent="0.3">
      <c r="A529" s="2" t="s">
        <v>765</v>
      </c>
      <c r="B529" s="2" t="s">
        <v>17</v>
      </c>
      <c r="C529" s="2" t="s">
        <v>18</v>
      </c>
      <c r="D529" s="2" t="s">
        <v>14</v>
      </c>
      <c r="E529" s="2" t="s">
        <v>19</v>
      </c>
      <c r="F529" s="6" t="s">
        <v>769</v>
      </c>
      <c r="G529" s="2">
        <v>1</v>
      </c>
      <c r="H529" s="2" t="s">
        <v>11</v>
      </c>
      <c r="I529" s="2" t="s">
        <v>11</v>
      </c>
      <c r="J529" s="2" t="str">
        <f t="shared" si="8"/>
        <v>YES</v>
      </c>
      <c r="K529" s="6" t="s">
        <v>769</v>
      </c>
    </row>
    <row r="530" spans="1:11" hidden="1" x14ac:dyDescent="0.3">
      <c r="A530" s="2" t="s">
        <v>765</v>
      </c>
      <c r="B530" s="2" t="s">
        <v>20</v>
      </c>
      <c r="C530" s="2" t="s">
        <v>18</v>
      </c>
      <c r="D530" s="2" t="s">
        <v>14</v>
      </c>
      <c r="E530" s="2" t="s">
        <v>21</v>
      </c>
      <c r="F530" s="6" t="s">
        <v>770</v>
      </c>
      <c r="G530" s="2">
        <v>1</v>
      </c>
      <c r="H530" s="2" t="s">
        <v>11</v>
      </c>
      <c r="I530" s="2" t="s">
        <v>11</v>
      </c>
      <c r="J530" s="2" t="str">
        <f t="shared" si="8"/>
        <v>YES</v>
      </c>
      <c r="K530" s="2" t="s">
        <v>770</v>
      </c>
    </row>
    <row r="531" spans="1:11" hidden="1" x14ac:dyDescent="0.3">
      <c r="A531" s="2" t="s">
        <v>765</v>
      </c>
      <c r="B531" s="2" t="s">
        <v>20</v>
      </c>
      <c r="C531" s="2" t="s">
        <v>18</v>
      </c>
      <c r="D531" s="2" t="s">
        <v>14</v>
      </c>
      <c r="E531" s="2" t="s">
        <v>21</v>
      </c>
      <c r="F531" s="6" t="s">
        <v>771</v>
      </c>
      <c r="G531" s="2">
        <v>1</v>
      </c>
      <c r="H531" s="2" t="s">
        <v>11</v>
      </c>
      <c r="I531" s="2" t="s">
        <v>11</v>
      </c>
      <c r="J531" s="2" t="str">
        <f t="shared" si="8"/>
        <v>YES</v>
      </c>
      <c r="K531" s="2" t="s">
        <v>771</v>
      </c>
    </row>
    <row r="532" spans="1:11" hidden="1" x14ac:dyDescent="0.3">
      <c r="A532" s="2" t="s">
        <v>765</v>
      </c>
      <c r="B532" s="2" t="s">
        <v>12</v>
      </c>
      <c r="C532" s="2" t="s">
        <v>13</v>
      </c>
      <c r="D532" s="2" t="s">
        <v>14</v>
      </c>
      <c r="E532" s="2" t="s">
        <v>15</v>
      </c>
      <c r="F532" s="6" t="s">
        <v>772</v>
      </c>
      <c r="G532" s="2">
        <v>1</v>
      </c>
      <c r="H532" s="2" t="s">
        <v>11</v>
      </c>
      <c r="I532" s="2" t="s">
        <v>773</v>
      </c>
      <c r="J532" s="2" t="str">
        <f t="shared" si="8"/>
        <v>YES</v>
      </c>
      <c r="K532" s="2" t="s">
        <v>772</v>
      </c>
    </row>
    <row r="533" spans="1:11" hidden="1" x14ac:dyDescent="0.3">
      <c r="A533" s="2" t="s">
        <v>765</v>
      </c>
      <c r="B533" s="2" t="s">
        <v>17</v>
      </c>
      <c r="C533" s="2" t="s">
        <v>18</v>
      </c>
      <c r="D533" s="2" t="s">
        <v>14</v>
      </c>
      <c r="E533" s="2" t="s">
        <v>19</v>
      </c>
      <c r="F533" s="6" t="s">
        <v>774</v>
      </c>
      <c r="G533" s="2">
        <v>1</v>
      </c>
      <c r="H533" s="2" t="s">
        <v>11</v>
      </c>
      <c r="I533" s="2" t="s">
        <v>11</v>
      </c>
      <c r="J533" s="2" t="str">
        <f t="shared" si="8"/>
        <v>YES</v>
      </c>
      <c r="K533" s="2" t="s">
        <v>774</v>
      </c>
    </row>
    <row r="534" spans="1:11" hidden="1" x14ac:dyDescent="0.3">
      <c r="A534" s="2" t="s">
        <v>765</v>
      </c>
      <c r="B534" s="2" t="s">
        <v>17</v>
      </c>
      <c r="C534" s="2" t="s">
        <v>18</v>
      </c>
      <c r="D534" s="2" t="s">
        <v>14</v>
      </c>
      <c r="E534" s="2" t="s">
        <v>19</v>
      </c>
      <c r="F534" s="6" t="s">
        <v>775</v>
      </c>
      <c r="G534" s="2">
        <v>1</v>
      </c>
      <c r="H534" s="2" t="s">
        <v>11</v>
      </c>
      <c r="I534" s="2" t="s">
        <v>11</v>
      </c>
      <c r="J534" s="2" t="str">
        <f t="shared" si="8"/>
        <v>YES</v>
      </c>
      <c r="K534" s="2" t="s">
        <v>775</v>
      </c>
    </row>
    <row r="535" spans="1:11" hidden="1" x14ac:dyDescent="0.3">
      <c r="A535" s="2" t="s">
        <v>765</v>
      </c>
      <c r="B535" s="2" t="s">
        <v>20</v>
      </c>
      <c r="C535" s="2" t="s">
        <v>18</v>
      </c>
      <c r="D535" s="2" t="s">
        <v>14</v>
      </c>
      <c r="E535" s="2" t="s">
        <v>21</v>
      </c>
      <c r="F535" s="6" t="s">
        <v>776</v>
      </c>
      <c r="G535" s="2">
        <v>1</v>
      </c>
      <c r="H535" s="2" t="s">
        <v>11</v>
      </c>
      <c r="I535" s="2" t="s">
        <v>11</v>
      </c>
      <c r="J535" s="2" t="str">
        <f t="shared" si="8"/>
        <v>YES</v>
      </c>
      <c r="K535" s="2" t="s">
        <v>776</v>
      </c>
    </row>
    <row r="536" spans="1:11" hidden="1" x14ac:dyDescent="0.3">
      <c r="A536" s="2" t="s">
        <v>765</v>
      </c>
      <c r="B536" s="2" t="s">
        <v>20</v>
      </c>
      <c r="C536" s="2" t="s">
        <v>18</v>
      </c>
      <c r="D536" s="2" t="s">
        <v>14</v>
      </c>
      <c r="E536" s="2" t="s">
        <v>21</v>
      </c>
      <c r="F536" s="6" t="s">
        <v>777</v>
      </c>
      <c r="G536" s="2">
        <v>1</v>
      </c>
      <c r="H536" s="2" t="s">
        <v>11</v>
      </c>
      <c r="I536" s="2" t="s">
        <v>11</v>
      </c>
      <c r="J536" s="2" t="str">
        <f t="shared" si="8"/>
        <v>YES</v>
      </c>
      <c r="K536" s="2" t="s">
        <v>777</v>
      </c>
    </row>
    <row r="537" spans="1:11" hidden="1" x14ac:dyDescent="0.3">
      <c r="A537" s="2" t="s">
        <v>765</v>
      </c>
      <c r="B537" s="2" t="s">
        <v>23</v>
      </c>
      <c r="C537" s="2" t="s">
        <v>24</v>
      </c>
      <c r="D537" s="2" t="s">
        <v>25</v>
      </c>
      <c r="E537" s="2" t="s">
        <v>26</v>
      </c>
      <c r="F537" s="6" t="s">
        <v>778</v>
      </c>
      <c r="G537" s="2">
        <v>1</v>
      </c>
      <c r="H537" s="2" t="s">
        <v>11</v>
      </c>
      <c r="I537" s="2" t="s">
        <v>779</v>
      </c>
      <c r="J537" s="2" t="str">
        <f t="shared" si="8"/>
        <v>YES</v>
      </c>
      <c r="K537" s="2" t="s">
        <v>778</v>
      </c>
    </row>
    <row r="538" spans="1:11" hidden="1" x14ac:dyDescent="0.3">
      <c r="A538" s="2" t="s">
        <v>765</v>
      </c>
      <c r="B538" s="2" t="s">
        <v>28</v>
      </c>
      <c r="C538" s="2" t="s">
        <v>18</v>
      </c>
      <c r="D538" s="2" t="s">
        <v>25</v>
      </c>
      <c r="E538" s="2" t="s">
        <v>29</v>
      </c>
      <c r="F538" s="21" t="s">
        <v>960</v>
      </c>
      <c r="G538" s="2">
        <v>1</v>
      </c>
      <c r="H538" s="2" t="s">
        <v>11</v>
      </c>
      <c r="I538" s="2" t="s">
        <v>11</v>
      </c>
      <c r="J538" s="2" t="str">
        <f t="shared" si="8"/>
        <v>YES</v>
      </c>
      <c r="K538" s="2" t="s">
        <v>960</v>
      </c>
    </row>
    <row r="539" spans="1:11" hidden="1" x14ac:dyDescent="0.3">
      <c r="A539" s="2" t="s">
        <v>765</v>
      </c>
      <c r="B539" s="2" t="s">
        <v>28</v>
      </c>
      <c r="C539" s="2" t="s">
        <v>18</v>
      </c>
      <c r="D539" s="2" t="s">
        <v>25</v>
      </c>
      <c r="E539" s="2" t="s">
        <v>29</v>
      </c>
      <c r="F539" s="21" t="s">
        <v>961</v>
      </c>
      <c r="G539" s="2">
        <v>1</v>
      </c>
      <c r="H539" s="2" t="s">
        <v>11</v>
      </c>
      <c r="I539" s="2" t="s">
        <v>11</v>
      </c>
      <c r="J539" s="2" t="str">
        <f t="shared" si="8"/>
        <v>YES</v>
      </c>
      <c r="K539" s="2" t="s">
        <v>961</v>
      </c>
    </row>
    <row r="540" spans="1:11" hidden="1" x14ac:dyDescent="0.3">
      <c r="A540" s="2" t="s">
        <v>765</v>
      </c>
      <c r="B540" s="2" t="s">
        <v>28</v>
      </c>
      <c r="C540" s="2" t="s">
        <v>18</v>
      </c>
      <c r="D540" s="2" t="s">
        <v>25</v>
      </c>
      <c r="E540" s="2" t="s">
        <v>29</v>
      </c>
      <c r="F540" s="21" t="s">
        <v>962</v>
      </c>
      <c r="G540" s="2">
        <v>1</v>
      </c>
      <c r="H540" s="2" t="s">
        <v>11</v>
      </c>
      <c r="I540" s="2" t="s">
        <v>11</v>
      </c>
      <c r="J540" s="2" t="str">
        <f t="shared" si="8"/>
        <v>YES</v>
      </c>
      <c r="K540" s="2" t="s">
        <v>962</v>
      </c>
    </row>
    <row r="541" spans="1:11" hidden="1" x14ac:dyDescent="0.3">
      <c r="A541" s="2" t="s">
        <v>765</v>
      </c>
      <c r="B541" s="2" t="s">
        <v>28</v>
      </c>
      <c r="C541" s="2" t="s">
        <v>18</v>
      </c>
      <c r="D541" s="2" t="s">
        <v>25</v>
      </c>
      <c r="E541" s="2" t="s">
        <v>29</v>
      </c>
      <c r="F541" s="21" t="s">
        <v>963</v>
      </c>
      <c r="G541" s="2">
        <v>1</v>
      </c>
      <c r="H541" s="2" t="s">
        <v>11</v>
      </c>
      <c r="I541" s="2" t="s">
        <v>11</v>
      </c>
      <c r="J541" s="2" t="str">
        <f t="shared" si="8"/>
        <v>YES</v>
      </c>
      <c r="K541" s="2" t="s">
        <v>963</v>
      </c>
    </row>
    <row r="542" spans="1:11" hidden="1" x14ac:dyDescent="0.3">
      <c r="A542" s="2" t="s">
        <v>765</v>
      </c>
      <c r="B542" s="2" t="s">
        <v>28</v>
      </c>
      <c r="C542" s="2" t="s">
        <v>18</v>
      </c>
      <c r="D542" s="2" t="s">
        <v>25</v>
      </c>
      <c r="E542" s="2" t="s">
        <v>29</v>
      </c>
      <c r="F542" s="21" t="s">
        <v>964</v>
      </c>
      <c r="G542" s="2">
        <v>1</v>
      </c>
      <c r="H542" s="2" t="s">
        <v>11</v>
      </c>
      <c r="I542" s="2" t="s">
        <v>11</v>
      </c>
      <c r="J542" s="2" t="str">
        <f t="shared" si="8"/>
        <v>YES</v>
      </c>
      <c r="K542" s="2" t="s">
        <v>964</v>
      </c>
    </row>
    <row r="543" spans="1:11" hidden="1" x14ac:dyDescent="0.3">
      <c r="A543" s="2" t="s">
        <v>765</v>
      </c>
      <c r="B543" s="2" t="s">
        <v>30</v>
      </c>
      <c r="C543" s="2" t="s">
        <v>18</v>
      </c>
      <c r="D543" s="2" t="s">
        <v>25</v>
      </c>
      <c r="E543" s="2" t="s">
        <v>31</v>
      </c>
      <c r="F543" s="6" t="s">
        <v>781</v>
      </c>
      <c r="G543" s="2">
        <v>1</v>
      </c>
      <c r="H543" s="2" t="s">
        <v>11</v>
      </c>
      <c r="I543" s="2" t="s">
        <v>11</v>
      </c>
      <c r="J543" s="2" t="str">
        <f t="shared" si="8"/>
        <v>YES</v>
      </c>
      <c r="K543" s="2" t="s">
        <v>781</v>
      </c>
    </row>
    <row r="544" spans="1:11" hidden="1" x14ac:dyDescent="0.3">
      <c r="A544" s="2" t="s">
        <v>765</v>
      </c>
      <c r="B544" s="2" t="s">
        <v>30</v>
      </c>
      <c r="C544" s="2" t="s">
        <v>18</v>
      </c>
      <c r="D544" s="2" t="s">
        <v>25</v>
      </c>
      <c r="E544" s="2" t="s">
        <v>31</v>
      </c>
      <c r="F544" s="6" t="s">
        <v>782</v>
      </c>
      <c r="G544" s="2">
        <v>1</v>
      </c>
      <c r="H544" s="2" t="s">
        <v>11</v>
      </c>
      <c r="I544" s="2" t="s">
        <v>11</v>
      </c>
      <c r="J544" s="2" t="str">
        <f t="shared" si="8"/>
        <v>YES</v>
      </c>
      <c r="K544" s="2" t="s">
        <v>782</v>
      </c>
    </row>
    <row r="545" spans="1:11" hidden="1" x14ac:dyDescent="0.3">
      <c r="A545" s="2" t="s">
        <v>765</v>
      </c>
      <c r="B545" s="2" t="s">
        <v>30</v>
      </c>
      <c r="C545" s="2" t="s">
        <v>18</v>
      </c>
      <c r="D545" s="2" t="s">
        <v>25</v>
      </c>
      <c r="E545" s="2" t="s">
        <v>31</v>
      </c>
      <c r="F545" s="6" t="s">
        <v>783</v>
      </c>
      <c r="G545" s="2">
        <v>1</v>
      </c>
      <c r="H545" s="2" t="s">
        <v>11</v>
      </c>
      <c r="I545" s="2" t="s">
        <v>11</v>
      </c>
      <c r="J545" s="2" t="str">
        <f t="shared" si="8"/>
        <v>YES</v>
      </c>
      <c r="K545" s="2" t="s">
        <v>783</v>
      </c>
    </row>
    <row r="546" spans="1:11" hidden="1" x14ac:dyDescent="0.3">
      <c r="A546" s="2" t="s">
        <v>765</v>
      </c>
      <c r="B546" s="2" t="s">
        <v>30</v>
      </c>
      <c r="C546" s="2" t="s">
        <v>18</v>
      </c>
      <c r="D546" s="2" t="s">
        <v>25</v>
      </c>
      <c r="E546" s="2" t="s">
        <v>31</v>
      </c>
      <c r="F546" s="6" t="s">
        <v>784</v>
      </c>
      <c r="G546" s="2">
        <v>1</v>
      </c>
      <c r="H546" s="2" t="s">
        <v>11</v>
      </c>
      <c r="I546" s="2" t="s">
        <v>11</v>
      </c>
      <c r="J546" s="2" t="str">
        <f t="shared" si="8"/>
        <v>YES</v>
      </c>
      <c r="K546" s="2" t="s">
        <v>784</v>
      </c>
    </row>
    <row r="547" spans="1:11" hidden="1" x14ac:dyDescent="0.3">
      <c r="A547" s="2" t="s">
        <v>765</v>
      </c>
      <c r="B547" s="2" t="s">
        <v>32</v>
      </c>
      <c r="C547" s="2" t="s">
        <v>18</v>
      </c>
      <c r="D547" s="2" t="s">
        <v>25</v>
      </c>
      <c r="E547" s="2" t="s">
        <v>33</v>
      </c>
      <c r="F547" s="6" t="s">
        <v>785</v>
      </c>
      <c r="G547" s="2">
        <v>1</v>
      </c>
      <c r="H547" s="2" t="s">
        <v>11</v>
      </c>
      <c r="I547" s="2" t="s">
        <v>11</v>
      </c>
      <c r="J547" s="2" t="str">
        <f t="shared" si="8"/>
        <v>YES</v>
      </c>
      <c r="K547" s="2" t="s">
        <v>785</v>
      </c>
    </row>
    <row r="548" spans="1:11" hidden="1" x14ac:dyDescent="0.3">
      <c r="A548" s="2" t="s">
        <v>765</v>
      </c>
      <c r="B548" s="2" t="s">
        <v>32</v>
      </c>
      <c r="C548" s="2" t="s">
        <v>18</v>
      </c>
      <c r="D548" s="2" t="s">
        <v>25</v>
      </c>
      <c r="E548" s="2" t="s">
        <v>33</v>
      </c>
      <c r="F548" s="6" t="s">
        <v>786</v>
      </c>
      <c r="G548" s="2">
        <v>1</v>
      </c>
      <c r="H548" s="2" t="s">
        <v>11</v>
      </c>
      <c r="I548" s="2" t="s">
        <v>11</v>
      </c>
      <c r="J548" s="2" t="str">
        <f t="shared" si="8"/>
        <v>YES</v>
      </c>
      <c r="K548" s="2" t="s">
        <v>786</v>
      </c>
    </row>
    <row r="549" spans="1:11" hidden="1" x14ac:dyDescent="0.3">
      <c r="A549" s="2" t="s">
        <v>765</v>
      </c>
      <c r="B549" s="2" t="s">
        <v>32</v>
      </c>
      <c r="C549" s="2" t="s">
        <v>18</v>
      </c>
      <c r="D549" s="2" t="s">
        <v>25</v>
      </c>
      <c r="E549" s="2" t="s">
        <v>33</v>
      </c>
      <c r="F549" s="6" t="s">
        <v>787</v>
      </c>
      <c r="G549" s="2">
        <v>1</v>
      </c>
      <c r="H549" s="2" t="s">
        <v>11</v>
      </c>
      <c r="I549" s="2" t="s">
        <v>11</v>
      </c>
      <c r="J549" s="2" t="str">
        <f t="shared" si="8"/>
        <v>YES</v>
      </c>
      <c r="K549" s="2" t="s">
        <v>787</v>
      </c>
    </row>
    <row r="550" spans="1:11" hidden="1" x14ac:dyDescent="0.3">
      <c r="A550" s="2" t="s">
        <v>765</v>
      </c>
      <c r="B550" s="2" t="s">
        <v>32</v>
      </c>
      <c r="C550" s="2" t="s">
        <v>18</v>
      </c>
      <c r="D550" s="2" t="s">
        <v>25</v>
      </c>
      <c r="E550" s="2" t="s">
        <v>33</v>
      </c>
      <c r="F550" s="6" t="s">
        <v>788</v>
      </c>
      <c r="G550" s="2">
        <v>1</v>
      </c>
      <c r="H550" s="2" t="s">
        <v>11</v>
      </c>
      <c r="I550" s="2" t="s">
        <v>11</v>
      </c>
      <c r="J550" s="2" t="str">
        <f t="shared" si="8"/>
        <v>YES</v>
      </c>
      <c r="K550" s="2" t="s">
        <v>788</v>
      </c>
    </row>
    <row r="551" spans="1:11" hidden="1" x14ac:dyDescent="0.3">
      <c r="A551" s="2" t="s">
        <v>765</v>
      </c>
      <c r="B551" s="2" t="s">
        <v>23</v>
      </c>
      <c r="C551" s="2" t="s">
        <v>24</v>
      </c>
      <c r="D551" s="2" t="s">
        <v>25</v>
      </c>
      <c r="E551" s="2" t="s">
        <v>26</v>
      </c>
      <c r="F551" s="6" t="s">
        <v>789</v>
      </c>
      <c r="G551" s="2">
        <v>1</v>
      </c>
      <c r="H551" s="2" t="s">
        <v>11</v>
      </c>
      <c r="I551" s="2" t="s">
        <v>790</v>
      </c>
      <c r="J551" s="2" t="str">
        <f t="shared" si="8"/>
        <v>YES</v>
      </c>
      <c r="K551" s="2" t="s">
        <v>789</v>
      </c>
    </row>
    <row r="552" spans="1:11" hidden="1" x14ac:dyDescent="0.3">
      <c r="A552" s="2" t="s">
        <v>765</v>
      </c>
      <c r="B552" s="2" t="s">
        <v>28</v>
      </c>
      <c r="C552" s="2" t="s">
        <v>18</v>
      </c>
      <c r="D552" s="2" t="s">
        <v>25</v>
      </c>
      <c r="E552" s="2" t="s">
        <v>29</v>
      </c>
      <c r="F552" s="21" t="s">
        <v>969</v>
      </c>
      <c r="G552" s="2">
        <v>1</v>
      </c>
      <c r="H552" s="2" t="s">
        <v>11</v>
      </c>
      <c r="I552" s="2" t="s">
        <v>11</v>
      </c>
      <c r="J552" s="2" t="str">
        <f t="shared" si="8"/>
        <v>YES</v>
      </c>
      <c r="K552" s="2" t="s">
        <v>969</v>
      </c>
    </row>
    <row r="553" spans="1:11" hidden="1" x14ac:dyDescent="0.3">
      <c r="A553" s="2" t="s">
        <v>765</v>
      </c>
      <c r="B553" s="2" t="s">
        <v>28</v>
      </c>
      <c r="C553" s="2" t="s">
        <v>18</v>
      </c>
      <c r="D553" s="2" t="s">
        <v>25</v>
      </c>
      <c r="E553" s="2" t="s">
        <v>29</v>
      </c>
      <c r="F553" s="21" t="s">
        <v>968</v>
      </c>
      <c r="G553" s="2">
        <v>1</v>
      </c>
      <c r="H553" s="2" t="s">
        <v>11</v>
      </c>
      <c r="I553" s="2" t="s">
        <v>11</v>
      </c>
      <c r="J553" s="2" t="str">
        <f t="shared" si="8"/>
        <v>YES</v>
      </c>
      <c r="K553" s="2" t="s">
        <v>968</v>
      </c>
    </row>
    <row r="554" spans="1:11" hidden="1" x14ac:dyDescent="0.3">
      <c r="A554" s="2" t="s">
        <v>765</v>
      </c>
      <c r="B554" s="2" t="s">
        <v>28</v>
      </c>
      <c r="C554" s="2" t="s">
        <v>18</v>
      </c>
      <c r="D554" s="2" t="s">
        <v>25</v>
      </c>
      <c r="E554" s="2" t="s">
        <v>29</v>
      </c>
      <c r="F554" s="21" t="s">
        <v>967</v>
      </c>
      <c r="G554" s="2">
        <v>1</v>
      </c>
      <c r="H554" s="2" t="s">
        <v>11</v>
      </c>
      <c r="I554" s="2" t="s">
        <v>11</v>
      </c>
      <c r="J554" s="2" t="str">
        <f t="shared" si="8"/>
        <v>YES</v>
      </c>
      <c r="K554" s="2" t="s">
        <v>967</v>
      </c>
    </row>
    <row r="555" spans="1:11" hidden="1" x14ac:dyDescent="0.3">
      <c r="A555" s="2" t="s">
        <v>765</v>
      </c>
      <c r="B555" s="2" t="s">
        <v>28</v>
      </c>
      <c r="C555" s="2" t="s">
        <v>18</v>
      </c>
      <c r="D555" s="2" t="s">
        <v>25</v>
      </c>
      <c r="E555" s="2" t="s">
        <v>29</v>
      </c>
      <c r="F555" s="21" t="s">
        <v>966</v>
      </c>
      <c r="G555" s="2">
        <v>1</v>
      </c>
      <c r="H555" s="2" t="s">
        <v>11</v>
      </c>
      <c r="I555" s="2" t="s">
        <v>11</v>
      </c>
      <c r="J555" s="2" t="str">
        <f t="shared" si="8"/>
        <v>YES</v>
      </c>
      <c r="K555" s="2" t="s">
        <v>966</v>
      </c>
    </row>
    <row r="556" spans="1:11" hidden="1" x14ac:dyDescent="0.3">
      <c r="A556" s="2" t="s">
        <v>765</v>
      </c>
      <c r="B556" s="2" t="s">
        <v>28</v>
      </c>
      <c r="C556" s="2" t="s">
        <v>18</v>
      </c>
      <c r="D556" s="2" t="s">
        <v>25</v>
      </c>
      <c r="E556" s="2" t="s">
        <v>29</v>
      </c>
      <c r="F556" s="21" t="s">
        <v>965</v>
      </c>
      <c r="G556" s="2">
        <v>1</v>
      </c>
      <c r="H556" s="2" t="s">
        <v>11</v>
      </c>
      <c r="I556" s="2" t="s">
        <v>11</v>
      </c>
      <c r="J556" s="2" t="str">
        <f t="shared" si="8"/>
        <v>YES</v>
      </c>
      <c r="K556" s="2" t="s">
        <v>965</v>
      </c>
    </row>
    <row r="557" spans="1:11" hidden="1" x14ac:dyDescent="0.3">
      <c r="A557" s="2" t="s">
        <v>765</v>
      </c>
      <c r="B557" s="2" t="s">
        <v>30</v>
      </c>
      <c r="C557" s="2" t="s">
        <v>18</v>
      </c>
      <c r="D557" s="2" t="s">
        <v>25</v>
      </c>
      <c r="E557" s="2" t="s">
        <v>31</v>
      </c>
      <c r="F557" s="6" t="s">
        <v>791</v>
      </c>
      <c r="G557" s="2">
        <v>1</v>
      </c>
      <c r="H557" s="2" t="s">
        <v>11</v>
      </c>
      <c r="I557" s="2" t="s">
        <v>11</v>
      </c>
      <c r="J557" s="2" t="str">
        <f t="shared" si="8"/>
        <v>YES</v>
      </c>
      <c r="K557" s="2" t="s">
        <v>791</v>
      </c>
    </row>
    <row r="558" spans="1:11" hidden="1" x14ac:dyDescent="0.3">
      <c r="A558" s="2" t="s">
        <v>765</v>
      </c>
      <c r="B558" s="2" t="s">
        <v>30</v>
      </c>
      <c r="C558" s="2" t="s">
        <v>18</v>
      </c>
      <c r="D558" s="2" t="s">
        <v>25</v>
      </c>
      <c r="E558" s="2" t="s">
        <v>31</v>
      </c>
      <c r="F558" s="6" t="s">
        <v>792</v>
      </c>
      <c r="G558" s="2">
        <v>1</v>
      </c>
      <c r="H558" s="2" t="s">
        <v>11</v>
      </c>
      <c r="I558" s="2" t="s">
        <v>11</v>
      </c>
      <c r="J558" s="2" t="str">
        <f t="shared" si="8"/>
        <v>YES</v>
      </c>
      <c r="K558" s="2" t="s">
        <v>792</v>
      </c>
    </row>
    <row r="559" spans="1:11" hidden="1" x14ac:dyDescent="0.3">
      <c r="A559" s="2" t="s">
        <v>765</v>
      </c>
      <c r="B559" s="2" t="s">
        <v>30</v>
      </c>
      <c r="C559" s="2" t="s">
        <v>18</v>
      </c>
      <c r="D559" s="2" t="s">
        <v>25</v>
      </c>
      <c r="E559" s="2" t="s">
        <v>31</v>
      </c>
      <c r="F559" s="6" t="s">
        <v>793</v>
      </c>
      <c r="G559" s="2">
        <v>1</v>
      </c>
      <c r="H559" s="2" t="s">
        <v>11</v>
      </c>
      <c r="I559" s="2" t="s">
        <v>11</v>
      </c>
      <c r="J559" s="2" t="str">
        <f t="shared" si="8"/>
        <v>YES</v>
      </c>
      <c r="K559" s="2" t="s">
        <v>793</v>
      </c>
    </row>
    <row r="560" spans="1:11" hidden="1" x14ac:dyDescent="0.3">
      <c r="A560" s="2" t="s">
        <v>765</v>
      </c>
      <c r="B560" s="2" t="s">
        <v>30</v>
      </c>
      <c r="C560" s="2" t="s">
        <v>18</v>
      </c>
      <c r="D560" s="2" t="s">
        <v>25</v>
      </c>
      <c r="E560" s="2" t="s">
        <v>31</v>
      </c>
      <c r="F560" s="6" t="s">
        <v>794</v>
      </c>
      <c r="G560" s="2">
        <v>1</v>
      </c>
      <c r="H560" s="2" t="s">
        <v>11</v>
      </c>
      <c r="I560" s="2" t="s">
        <v>11</v>
      </c>
      <c r="J560" s="2" t="str">
        <f t="shared" si="8"/>
        <v>YES</v>
      </c>
      <c r="K560" s="2" t="s">
        <v>794</v>
      </c>
    </row>
    <row r="561" spans="1:11" hidden="1" x14ac:dyDescent="0.3">
      <c r="A561" s="2" t="s">
        <v>765</v>
      </c>
      <c r="B561" s="2" t="s">
        <v>32</v>
      </c>
      <c r="C561" s="2" t="s">
        <v>18</v>
      </c>
      <c r="D561" s="2" t="s">
        <v>25</v>
      </c>
      <c r="E561" s="2" t="s">
        <v>33</v>
      </c>
      <c r="F561" s="6" t="s">
        <v>795</v>
      </c>
      <c r="G561" s="2">
        <v>1</v>
      </c>
      <c r="H561" s="2" t="s">
        <v>11</v>
      </c>
      <c r="I561" s="2" t="s">
        <v>11</v>
      </c>
      <c r="J561" s="2" t="str">
        <f t="shared" si="8"/>
        <v>YES</v>
      </c>
      <c r="K561" s="2" t="s">
        <v>795</v>
      </c>
    </row>
    <row r="562" spans="1:11" hidden="1" x14ac:dyDescent="0.3">
      <c r="A562" s="2" t="s">
        <v>765</v>
      </c>
      <c r="B562" s="2" t="s">
        <v>32</v>
      </c>
      <c r="C562" s="2" t="s">
        <v>18</v>
      </c>
      <c r="D562" s="2" t="s">
        <v>25</v>
      </c>
      <c r="E562" s="2" t="s">
        <v>33</v>
      </c>
      <c r="F562" s="6" t="s">
        <v>796</v>
      </c>
      <c r="G562" s="2">
        <v>1</v>
      </c>
      <c r="H562" s="2" t="s">
        <v>11</v>
      </c>
      <c r="I562" s="2" t="s">
        <v>11</v>
      </c>
      <c r="J562" s="2" t="str">
        <f t="shared" si="8"/>
        <v>YES</v>
      </c>
      <c r="K562" s="2" t="s">
        <v>796</v>
      </c>
    </row>
    <row r="563" spans="1:11" hidden="1" x14ac:dyDescent="0.3">
      <c r="A563" s="2" t="s">
        <v>765</v>
      </c>
      <c r="B563" s="2" t="s">
        <v>32</v>
      </c>
      <c r="C563" s="2" t="s">
        <v>18</v>
      </c>
      <c r="D563" s="2" t="s">
        <v>25</v>
      </c>
      <c r="E563" s="2" t="s">
        <v>33</v>
      </c>
      <c r="F563" s="6" t="s">
        <v>797</v>
      </c>
      <c r="G563" s="2">
        <v>1</v>
      </c>
      <c r="H563" s="2" t="s">
        <v>11</v>
      </c>
      <c r="I563" s="2" t="s">
        <v>11</v>
      </c>
      <c r="J563" s="2" t="str">
        <f t="shared" si="8"/>
        <v>YES</v>
      </c>
      <c r="K563" s="2" t="s">
        <v>797</v>
      </c>
    </row>
    <row r="564" spans="1:11" hidden="1" x14ac:dyDescent="0.3">
      <c r="A564" s="2" t="s">
        <v>765</v>
      </c>
      <c r="B564" s="2" t="s">
        <v>32</v>
      </c>
      <c r="C564" s="2" t="s">
        <v>18</v>
      </c>
      <c r="D564" s="2" t="s">
        <v>25</v>
      </c>
      <c r="E564" s="2" t="s">
        <v>33</v>
      </c>
      <c r="F564" s="6" t="s">
        <v>798</v>
      </c>
      <c r="G564" s="2">
        <v>1</v>
      </c>
      <c r="H564" s="2" t="s">
        <v>11</v>
      </c>
      <c r="I564" s="2" t="s">
        <v>11</v>
      </c>
      <c r="J564" s="2" t="str">
        <f t="shared" si="8"/>
        <v>YES</v>
      </c>
      <c r="K564" s="2" t="s">
        <v>798</v>
      </c>
    </row>
    <row r="565" spans="1:11" hidden="1" x14ac:dyDescent="0.3">
      <c r="A565" s="2" t="s">
        <v>765</v>
      </c>
      <c r="B565" s="2" t="s">
        <v>12</v>
      </c>
      <c r="C565" s="2" t="s">
        <v>13</v>
      </c>
      <c r="D565" s="2" t="s">
        <v>14</v>
      </c>
      <c r="E565" s="2" t="s">
        <v>15</v>
      </c>
      <c r="F565" s="6" t="s">
        <v>799</v>
      </c>
      <c r="G565" s="2">
        <v>1</v>
      </c>
      <c r="H565" s="2" t="s">
        <v>11</v>
      </c>
      <c r="I565" s="2" t="s">
        <v>800</v>
      </c>
      <c r="J565" s="2" t="str">
        <f t="shared" si="8"/>
        <v>YES</v>
      </c>
      <c r="K565" s="2" t="s">
        <v>799</v>
      </c>
    </row>
    <row r="566" spans="1:11" hidden="1" x14ac:dyDescent="0.3">
      <c r="A566" s="2" t="s">
        <v>765</v>
      </c>
      <c r="B566" s="2" t="s">
        <v>17</v>
      </c>
      <c r="C566" s="2" t="s">
        <v>18</v>
      </c>
      <c r="D566" s="2" t="s">
        <v>14</v>
      </c>
      <c r="E566" s="2" t="s">
        <v>19</v>
      </c>
      <c r="F566" s="6" t="s">
        <v>801</v>
      </c>
      <c r="G566" s="2">
        <v>1</v>
      </c>
      <c r="H566" s="2" t="s">
        <v>11</v>
      </c>
      <c r="I566" s="2" t="s">
        <v>11</v>
      </c>
      <c r="J566" s="2" t="str">
        <f t="shared" si="8"/>
        <v>YES</v>
      </c>
      <c r="K566" s="2" t="s">
        <v>801</v>
      </c>
    </row>
    <row r="567" spans="1:11" hidden="1" x14ac:dyDescent="0.3">
      <c r="A567" s="2" t="s">
        <v>765</v>
      </c>
      <c r="B567" s="2" t="s">
        <v>17</v>
      </c>
      <c r="C567" s="2" t="s">
        <v>18</v>
      </c>
      <c r="D567" s="2" t="s">
        <v>14</v>
      </c>
      <c r="E567" s="2" t="s">
        <v>19</v>
      </c>
      <c r="F567" s="6" t="s">
        <v>802</v>
      </c>
      <c r="G567" s="2">
        <v>1</v>
      </c>
      <c r="H567" s="2" t="s">
        <v>11</v>
      </c>
      <c r="I567" s="2" t="s">
        <v>11</v>
      </c>
      <c r="J567" s="2" t="str">
        <f t="shared" si="8"/>
        <v>YES</v>
      </c>
      <c r="K567" s="2" t="s">
        <v>802</v>
      </c>
    </row>
    <row r="568" spans="1:11" hidden="1" x14ac:dyDescent="0.3">
      <c r="A568" s="2" t="s">
        <v>765</v>
      </c>
      <c r="B568" s="2" t="s">
        <v>20</v>
      </c>
      <c r="C568" s="2" t="s">
        <v>18</v>
      </c>
      <c r="D568" s="2" t="s">
        <v>14</v>
      </c>
      <c r="E568" s="2" t="s">
        <v>21</v>
      </c>
      <c r="F568" s="6" t="s">
        <v>803</v>
      </c>
      <c r="G568" s="2">
        <v>1</v>
      </c>
      <c r="H568" s="2" t="s">
        <v>11</v>
      </c>
      <c r="I568" s="2" t="s">
        <v>11</v>
      </c>
      <c r="J568" s="2" t="str">
        <f t="shared" si="8"/>
        <v>YES</v>
      </c>
      <c r="K568" s="2" t="s">
        <v>803</v>
      </c>
    </row>
    <row r="569" spans="1:11" hidden="1" x14ac:dyDescent="0.3">
      <c r="A569" s="2" t="s">
        <v>765</v>
      </c>
      <c r="B569" s="2" t="s">
        <v>20</v>
      </c>
      <c r="C569" s="2" t="s">
        <v>18</v>
      </c>
      <c r="D569" s="2" t="s">
        <v>14</v>
      </c>
      <c r="E569" s="2" t="s">
        <v>21</v>
      </c>
      <c r="F569" s="6" t="s">
        <v>804</v>
      </c>
      <c r="G569" s="2">
        <v>1</v>
      </c>
      <c r="H569" s="2" t="s">
        <v>11</v>
      </c>
      <c r="I569" s="2" t="s">
        <v>11</v>
      </c>
      <c r="J569" s="2" t="str">
        <f t="shared" si="8"/>
        <v>YES</v>
      </c>
      <c r="K569" s="2" t="s">
        <v>804</v>
      </c>
    </row>
    <row r="570" spans="1:11" hidden="1" x14ac:dyDescent="0.3">
      <c r="A570" s="2" t="s">
        <v>765</v>
      </c>
      <c r="B570" s="2" t="s">
        <v>12</v>
      </c>
      <c r="C570" s="2" t="s">
        <v>13</v>
      </c>
      <c r="D570" s="2" t="s">
        <v>14</v>
      </c>
      <c r="E570" s="2" t="s">
        <v>15</v>
      </c>
      <c r="F570" s="6" t="s">
        <v>805</v>
      </c>
      <c r="G570" s="2">
        <v>1</v>
      </c>
      <c r="H570" s="2" t="s">
        <v>11</v>
      </c>
      <c r="I570" s="2" t="s">
        <v>806</v>
      </c>
      <c r="J570" s="2" t="str">
        <f t="shared" si="8"/>
        <v>YES</v>
      </c>
      <c r="K570" s="2" t="s">
        <v>805</v>
      </c>
    </row>
    <row r="571" spans="1:11" hidden="1" x14ac:dyDescent="0.3">
      <c r="A571" s="2" t="s">
        <v>765</v>
      </c>
      <c r="B571" s="2" t="s">
        <v>17</v>
      </c>
      <c r="C571" s="2" t="s">
        <v>18</v>
      </c>
      <c r="D571" s="2" t="s">
        <v>14</v>
      </c>
      <c r="E571" s="2" t="s">
        <v>19</v>
      </c>
      <c r="F571" s="6" t="s">
        <v>807</v>
      </c>
      <c r="G571" s="2">
        <v>1</v>
      </c>
      <c r="H571" s="2" t="s">
        <v>11</v>
      </c>
      <c r="I571" s="2" t="s">
        <v>11</v>
      </c>
      <c r="J571" s="2" t="str">
        <f t="shared" si="8"/>
        <v>YES</v>
      </c>
      <c r="K571" s="2" t="s">
        <v>807</v>
      </c>
    </row>
    <row r="572" spans="1:11" hidden="1" x14ac:dyDescent="0.3">
      <c r="A572" s="2" t="s">
        <v>765</v>
      </c>
      <c r="B572" s="2" t="s">
        <v>17</v>
      </c>
      <c r="C572" s="2" t="s">
        <v>18</v>
      </c>
      <c r="D572" s="2" t="s">
        <v>14</v>
      </c>
      <c r="E572" s="2" t="s">
        <v>19</v>
      </c>
      <c r="F572" s="6" t="s">
        <v>808</v>
      </c>
      <c r="G572" s="2">
        <v>1</v>
      </c>
      <c r="H572" s="2" t="s">
        <v>11</v>
      </c>
      <c r="I572" s="2" t="s">
        <v>11</v>
      </c>
      <c r="J572" s="2" t="str">
        <f t="shared" si="8"/>
        <v>YES</v>
      </c>
      <c r="K572" s="2" t="s">
        <v>808</v>
      </c>
    </row>
    <row r="573" spans="1:11" hidden="1" x14ac:dyDescent="0.3">
      <c r="A573" s="2" t="s">
        <v>765</v>
      </c>
      <c r="B573" s="2" t="s">
        <v>20</v>
      </c>
      <c r="C573" s="2" t="s">
        <v>18</v>
      </c>
      <c r="D573" s="2" t="s">
        <v>14</v>
      </c>
      <c r="E573" s="2" t="s">
        <v>21</v>
      </c>
      <c r="F573" s="6" t="s">
        <v>809</v>
      </c>
      <c r="G573" s="2">
        <v>1</v>
      </c>
      <c r="H573" s="2" t="s">
        <v>11</v>
      </c>
      <c r="I573" s="2" t="s">
        <v>11</v>
      </c>
      <c r="J573" s="2" t="str">
        <f t="shared" si="8"/>
        <v>YES</v>
      </c>
      <c r="K573" s="2" t="s">
        <v>809</v>
      </c>
    </row>
    <row r="574" spans="1:11" hidden="1" x14ac:dyDescent="0.3">
      <c r="A574" s="2" t="s">
        <v>765</v>
      </c>
      <c r="B574" s="2" t="s">
        <v>20</v>
      </c>
      <c r="C574" s="2" t="s">
        <v>18</v>
      </c>
      <c r="D574" s="2" t="s">
        <v>14</v>
      </c>
      <c r="E574" s="2" t="s">
        <v>21</v>
      </c>
      <c r="F574" s="6" t="s">
        <v>810</v>
      </c>
      <c r="G574" s="2">
        <v>1</v>
      </c>
      <c r="H574" s="2" t="s">
        <v>11</v>
      </c>
      <c r="I574" s="2" t="s">
        <v>11</v>
      </c>
      <c r="J574" s="2" t="str">
        <f t="shared" si="8"/>
        <v>YES</v>
      </c>
      <c r="K574" s="2" t="s">
        <v>810</v>
      </c>
    </row>
    <row r="575" spans="1:11" hidden="1" x14ac:dyDescent="0.3">
      <c r="A575" s="2" t="s">
        <v>765</v>
      </c>
      <c r="B575" s="2" t="s">
        <v>38</v>
      </c>
      <c r="C575" s="2" t="s">
        <v>39</v>
      </c>
      <c r="D575" s="2" t="s">
        <v>14</v>
      </c>
      <c r="E575" s="2" t="s">
        <v>572</v>
      </c>
      <c r="F575" s="6" t="s">
        <v>811</v>
      </c>
      <c r="G575" s="2">
        <v>1</v>
      </c>
      <c r="H575" s="2" t="s">
        <v>812</v>
      </c>
      <c r="I575" s="2" t="s">
        <v>11</v>
      </c>
      <c r="J575" s="2" t="str">
        <f t="shared" si="8"/>
        <v>YES</v>
      </c>
      <c r="K575" s="2" t="s">
        <v>811</v>
      </c>
    </row>
    <row r="576" spans="1:11" hidden="1" x14ac:dyDescent="0.3">
      <c r="A576" s="2" t="s">
        <v>765</v>
      </c>
      <c r="B576" s="2" t="s">
        <v>38</v>
      </c>
      <c r="C576" s="2" t="s">
        <v>39</v>
      </c>
      <c r="D576" s="2" t="s">
        <v>14</v>
      </c>
      <c r="E576" s="2" t="s">
        <v>572</v>
      </c>
      <c r="F576" s="6" t="s">
        <v>813</v>
      </c>
      <c r="G576" s="2">
        <v>1</v>
      </c>
      <c r="H576" s="2" t="s">
        <v>814</v>
      </c>
      <c r="I576" s="2" t="s">
        <v>11</v>
      </c>
      <c r="J576" s="2" t="str">
        <f t="shared" si="8"/>
        <v>YES</v>
      </c>
      <c r="K576" s="2" t="s">
        <v>813</v>
      </c>
    </row>
    <row r="577" spans="1:11" hidden="1" x14ac:dyDescent="0.3">
      <c r="A577" s="2" t="s">
        <v>765</v>
      </c>
      <c r="B577" s="2" t="s">
        <v>40</v>
      </c>
      <c r="C577" s="2" t="s">
        <v>41</v>
      </c>
      <c r="D577" s="2" t="s">
        <v>14</v>
      </c>
      <c r="E577" s="2" t="s">
        <v>42</v>
      </c>
      <c r="F577" s="6" t="s">
        <v>815</v>
      </c>
      <c r="G577" s="2">
        <v>1</v>
      </c>
      <c r="H577" s="2" t="s">
        <v>11</v>
      </c>
      <c r="I577" s="2" t="s">
        <v>816</v>
      </c>
      <c r="J577" s="2" t="str">
        <f t="shared" si="8"/>
        <v>YES</v>
      </c>
      <c r="K577" s="2" t="s">
        <v>815</v>
      </c>
    </row>
    <row r="578" spans="1:11" hidden="1" x14ac:dyDescent="0.3">
      <c r="A578" s="2" t="s">
        <v>765</v>
      </c>
      <c r="B578" s="2" t="s">
        <v>44</v>
      </c>
      <c r="C578" s="2" t="s">
        <v>41</v>
      </c>
      <c r="D578" s="2" t="s">
        <v>14</v>
      </c>
      <c r="E578" s="2" t="s">
        <v>45</v>
      </c>
      <c r="F578" s="6" t="s">
        <v>817</v>
      </c>
      <c r="G578" s="2">
        <v>1</v>
      </c>
      <c r="H578" s="2" t="s">
        <v>11</v>
      </c>
      <c r="I578" s="2" t="s">
        <v>11</v>
      </c>
      <c r="J578" s="2" t="str">
        <f t="shared" si="8"/>
        <v>YES</v>
      </c>
      <c r="K578" s="2" t="s">
        <v>817</v>
      </c>
    </row>
    <row r="579" spans="1:11" hidden="1" x14ac:dyDescent="0.3">
      <c r="A579" s="2" t="s">
        <v>765</v>
      </c>
      <c r="B579" s="2" t="s">
        <v>44</v>
      </c>
      <c r="C579" s="2" t="s">
        <v>41</v>
      </c>
      <c r="D579" s="2" t="s">
        <v>14</v>
      </c>
      <c r="E579" s="2" t="s">
        <v>45</v>
      </c>
      <c r="F579" s="6" t="s">
        <v>818</v>
      </c>
      <c r="G579" s="2">
        <v>1</v>
      </c>
      <c r="H579" s="2" t="s">
        <v>11</v>
      </c>
      <c r="I579" s="2" t="s">
        <v>11</v>
      </c>
      <c r="J579" s="2" t="str">
        <f t="shared" ref="J579:J642" si="9">IF(OR(F579="",F579="_",LEFT(F579,5)="SPARE",F579="N/A"),"NO","YES")</f>
        <v>YES</v>
      </c>
      <c r="K579" s="2" t="s">
        <v>818</v>
      </c>
    </row>
    <row r="580" spans="1:11" hidden="1" x14ac:dyDescent="0.3">
      <c r="A580" s="2" t="s">
        <v>765</v>
      </c>
      <c r="B580" s="2" t="s">
        <v>46</v>
      </c>
      <c r="C580" s="2" t="s">
        <v>39</v>
      </c>
      <c r="D580" s="2" t="s">
        <v>14</v>
      </c>
      <c r="E580" s="2" t="s">
        <v>47</v>
      </c>
      <c r="F580" s="6" t="s">
        <v>819</v>
      </c>
      <c r="G580" s="2">
        <v>1</v>
      </c>
      <c r="H580" s="2" t="s">
        <v>820</v>
      </c>
      <c r="I580" s="2" t="s">
        <v>11</v>
      </c>
      <c r="J580" s="2" t="str">
        <f t="shared" si="9"/>
        <v>YES</v>
      </c>
      <c r="K580" s="2" t="s">
        <v>819</v>
      </c>
    </row>
    <row r="581" spans="1:11" hidden="1" x14ac:dyDescent="0.3">
      <c r="A581" s="2" t="s">
        <v>765</v>
      </c>
      <c r="B581" s="2" t="s">
        <v>46</v>
      </c>
      <c r="C581" s="2" t="s">
        <v>39</v>
      </c>
      <c r="D581" s="2" t="s">
        <v>14</v>
      </c>
      <c r="E581" s="2" t="s">
        <v>47</v>
      </c>
      <c r="F581" s="6" t="s">
        <v>821</v>
      </c>
      <c r="G581" s="2">
        <v>1</v>
      </c>
      <c r="H581" s="2" t="s">
        <v>822</v>
      </c>
      <c r="I581" s="2" t="s">
        <v>11</v>
      </c>
      <c r="J581" s="2" t="str">
        <f t="shared" si="9"/>
        <v>YES</v>
      </c>
      <c r="K581" s="2" t="s">
        <v>821</v>
      </c>
    </row>
    <row r="582" spans="1:11" hidden="1" x14ac:dyDescent="0.3">
      <c r="A582" s="2" t="s">
        <v>765</v>
      </c>
      <c r="B582" s="2" t="s">
        <v>46</v>
      </c>
      <c r="C582" s="2" t="s">
        <v>39</v>
      </c>
      <c r="D582" s="2" t="s">
        <v>14</v>
      </c>
      <c r="E582" s="2" t="s">
        <v>47</v>
      </c>
      <c r="F582" s="6" t="s">
        <v>823</v>
      </c>
      <c r="G582" s="2">
        <v>1</v>
      </c>
      <c r="H582" s="2" t="s">
        <v>824</v>
      </c>
      <c r="I582" s="2" t="s">
        <v>11</v>
      </c>
      <c r="J582" s="2" t="str">
        <f t="shared" si="9"/>
        <v>YES</v>
      </c>
      <c r="K582" s="2" t="s">
        <v>823</v>
      </c>
    </row>
    <row r="583" spans="1:11" hidden="1" x14ac:dyDescent="0.3">
      <c r="A583" s="2" t="s">
        <v>765</v>
      </c>
      <c r="B583" s="2" t="s">
        <v>46</v>
      </c>
      <c r="C583" s="2" t="s">
        <v>39</v>
      </c>
      <c r="D583" s="2" t="s">
        <v>14</v>
      </c>
      <c r="E583" s="2" t="s">
        <v>47</v>
      </c>
      <c r="F583" s="6" t="s">
        <v>825</v>
      </c>
      <c r="G583" s="2">
        <v>1</v>
      </c>
      <c r="H583" s="2" t="s">
        <v>826</v>
      </c>
      <c r="I583" s="2" t="s">
        <v>11</v>
      </c>
      <c r="J583" s="2" t="str">
        <f t="shared" si="9"/>
        <v>YES</v>
      </c>
      <c r="K583" s="2" t="s">
        <v>825</v>
      </c>
    </row>
    <row r="584" spans="1:11" hidden="1" x14ac:dyDescent="0.3">
      <c r="A584" s="2" t="s">
        <v>765</v>
      </c>
      <c r="B584" s="2" t="s">
        <v>46</v>
      </c>
      <c r="C584" s="2" t="s">
        <v>39</v>
      </c>
      <c r="D584" s="2" t="s">
        <v>14</v>
      </c>
      <c r="E584" s="2" t="s">
        <v>47</v>
      </c>
      <c r="F584" s="6" t="s">
        <v>827</v>
      </c>
      <c r="G584" s="2">
        <v>1</v>
      </c>
      <c r="H584" s="2" t="s">
        <v>828</v>
      </c>
      <c r="I584" s="2" t="s">
        <v>11</v>
      </c>
      <c r="J584" s="2" t="str">
        <f t="shared" si="9"/>
        <v>YES</v>
      </c>
      <c r="K584" s="2" t="s">
        <v>827</v>
      </c>
    </row>
    <row r="585" spans="1:11" hidden="1" x14ac:dyDescent="0.3">
      <c r="A585" s="2" t="s">
        <v>765</v>
      </c>
      <c r="B585" s="2" t="s">
        <v>46</v>
      </c>
      <c r="C585" s="2" t="s">
        <v>39</v>
      </c>
      <c r="D585" s="2" t="s">
        <v>14</v>
      </c>
      <c r="E585" s="2" t="s">
        <v>47</v>
      </c>
      <c r="F585" s="6" t="s">
        <v>829</v>
      </c>
      <c r="G585" s="2">
        <v>1</v>
      </c>
      <c r="H585" s="2" t="s">
        <v>830</v>
      </c>
      <c r="I585" s="2" t="s">
        <v>11</v>
      </c>
      <c r="J585" s="2" t="str">
        <f t="shared" si="9"/>
        <v>YES</v>
      </c>
      <c r="K585" s="2" t="s">
        <v>829</v>
      </c>
    </row>
    <row r="586" spans="1:11" hidden="1" x14ac:dyDescent="0.3">
      <c r="A586" s="2" t="s">
        <v>765</v>
      </c>
      <c r="B586" s="2" t="s">
        <v>46</v>
      </c>
      <c r="C586" s="2" t="s">
        <v>39</v>
      </c>
      <c r="D586" s="2" t="s">
        <v>14</v>
      </c>
      <c r="E586" s="2" t="s">
        <v>47</v>
      </c>
      <c r="F586" s="6" t="s">
        <v>831</v>
      </c>
      <c r="G586" s="2">
        <v>1</v>
      </c>
      <c r="H586" s="2" t="s">
        <v>832</v>
      </c>
      <c r="I586" s="2" t="s">
        <v>11</v>
      </c>
      <c r="J586" s="2" t="str">
        <f t="shared" si="9"/>
        <v>YES</v>
      </c>
      <c r="K586" s="2" t="s">
        <v>831</v>
      </c>
    </row>
    <row r="587" spans="1:11" hidden="1" x14ac:dyDescent="0.3">
      <c r="A587" s="2" t="s">
        <v>765</v>
      </c>
      <c r="B587" s="2" t="s">
        <v>46</v>
      </c>
      <c r="C587" s="2" t="s">
        <v>39</v>
      </c>
      <c r="D587" s="2" t="s">
        <v>14</v>
      </c>
      <c r="E587" s="2" t="s">
        <v>47</v>
      </c>
      <c r="F587" s="6" t="s">
        <v>833</v>
      </c>
      <c r="G587" s="2">
        <v>1</v>
      </c>
      <c r="H587" s="2" t="s">
        <v>834</v>
      </c>
      <c r="I587" s="2" t="s">
        <v>11</v>
      </c>
      <c r="J587" s="2" t="str">
        <f t="shared" si="9"/>
        <v>YES</v>
      </c>
      <c r="K587" s="2" t="s">
        <v>833</v>
      </c>
    </row>
    <row r="588" spans="1:11" hidden="1" x14ac:dyDescent="0.3">
      <c r="A588" s="2" t="s">
        <v>765</v>
      </c>
      <c r="B588" s="2" t="s">
        <v>46</v>
      </c>
      <c r="C588" s="2" t="s">
        <v>39</v>
      </c>
      <c r="D588" s="2" t="s">
        <v>14</v>
      </c>
      <c r="E588" s="2" t="s">
        <v>47</v>
      </c>
      <c r="F588" s="6" t="s">
        <v>835</v>
      </c>
      <c r="G588" s="2">
        <v>1</v>
      </c>
      <c r="H588" s="2" t="s">
        <v>836</v>
      </c>
      <c r="I588" s="2" t="s">
        <v>11</v>
      </c>
      <c r="J588" s="2" t="str">
        <f t="shared" si="9"/>
        <v>YES</v>
      </c>
      <c r="K588" s="2" t="s">
        <v>835</v>
      </c>
    </row>
    <row r="589" spans="1:11" hidden="1" x14ac:dyDescent="0.3">
      <c r="A589" s="2" t="s">
        <v>765</v>
      </c>
      <c r="B589" s="2" t="s">
        <v>46</v>
      </c>
      <c r="C589" s="2" t="s">
        <v>39</v>
      </c>
      <c r="D589" s="2" t="s">
        <v>14</v>
      </c>
      <c r="E589" s="2" t="s">
        <v>47</v>
      </c>
      <c r="F589" s="6" t="s">
        <v>837</v>
      </c>
      <c r="G589" s="2">
        <v>1</v>
      </c>
      <c r="H589" s="2" t="s">
        <v>838</v>
      </c>
      <c r="I589" s="2" t="s">
        <v>11</v>
      </c>
      <c r="J589" s="2" t="str">
        <f t="shared" si="9"/>
        <v>YES</v>
      </c>
      <c r="K589" s="2" t="s">
        <v>837</v>
      </c>
    </row>
    <row r="590" spans="1:11" hidden="1" x14ac:dyDescent="0.3">
      <c r="A590" s="2" t="s">
        <v>765</v>
      </c>
      <c r="B590" s="2" t="s">
        <v>46</v>
      </c>
      <c r="C590" s="2" t="s">
        <v>39</v>
      </c>
      <c r="D590" s="2" t="s">
        <v>14</v>
      </c>
      <c r="E590" s="2" t="s">
        <v>47</v>
      </c>
      <c r="F590" s="6" t="s">
        <v>839</v>
      </c>
      <c r="G590" s="2">
        <v>1</v>
      </c>
      <c r="H590" s="2" t="s">
        <v>840</v>
      </c>
      <c r="I590" s="2" t="s">
        <v>11</v>
      </c>
      <c r="J590" s="2" t="str">
        <f t="shared" si="9"/>
        <v>YES</v>
      </c>
      <c r="K590" s="2" t="s">
        <v>839</v>
      </c>
    </row>
    <row r="591" spans="1:11" hidden="1" x14ac:dyDescent="0.3">
      <c r="A591" s="2" t="s">
        <v>765</v>
      </c>
      <c r="B591" s="2" t="s">
        <v>46</v>
      </c>
      <c r="C591" s="2" t="s">
        <v>39</v>
      </c>
      <c r="D591" s="2" t="s">
        <v>14</v>
      </c>
      <c r="E591" s="2" t="s">
        <v>47</v>
      </c>
      <c r="F591" s="6" t="s">
        <v>841</v>
      </c>
      <c r="G591" s="2">
        <v>1</v>
      </c>
      <c r="H591" s="2" t="s">
        <v>842</v>
      </c>
      <c r="I591" s="2" t="s">
        <v>11</v>
      </c>
      <c r="J591" s="2" t="str">
        <f t="shared" si="9"/>
        <v>YES</v>
      </c>
      <c r="K591" s="2" t="s">
        <v>841</v>
      </c>
    </row>
    <row r="592" spans="1:11" hidden="1" x14ac:dyDescent="0.3">
      <c r="A592" s="2" t="s">
        <v>765</v>
      </c>
      <c r="B592" s="2" t="s">
        <v>48</v>
      </c>
      <c r="C592" s="2" t="s">
        <v>18</v>
      </c>
      <c r="D592" s="2" t="s">
        <v>14</v>
      </c>
      <c r="E592" s="2" t="s">
        <v>49</v>
      </c>
      <c r="F592" s="6" t="s">
        <v>843</v>
      </c>
      <c r="G592" s="2">
        <v>1</v>
      </c>
      <c r="H592" s="2" t="s">
        <v>11</v>
      </c>
      <c r="I592" s="2" t="s">
        <v>11</v>
      </c>
      <c r="J592" s="2" t="str">
        <f t="shared" si="9"/>
        <v>YES</v>
      </c>
      <c r="K592" s="2" t="s">
        <v>843</v>
      </c>
    </row>
    <row r="593" spans="1:11" hidden="1" x14ac:dyDescent="0.3">
      <c r="A593" s="2" t="s">
        <v>765</v>
      </c>
      <c r="B593" s="2" t="s">
        <v>48</v>
      </c>
      <c r="C593" s="2" t="s">
        <v>18</v>
      </c>
      <c r="D593" s="2" t="s">
        <v>14</v>
      </c>
      <c r="E593" s="2" t="s">
        <v>49</v>
      </c>
      <c r="F593" s="6" t="s">
        <v>844</v>
      </c>
      <c r="G593" s="2">
        <v>1</v>
      </c>
      <c r="H593" s="2" t="s">
        <v>11</v>
      </c>
      <c r="I593" s="2" t="s">
        <v>11</v>
      </c>
      <c r="J593" s="2" t="str">
        <f t="shared" si="9"/>
        <v>YES</v>
      </c>
      <c r="K593" s="2" t="s">
        <v>844</v>
      </c>
    </row>
    <row r="594" spans="1:11" hidden="1" x14ac:dyDescent="0.3">
      <c r="A594" s="2" t="s">
        <v>765</v>
      </c>
      <c r="B594" s="2" t="s">
        <v>48</v>
      </c>
      <c r="C594" s="2" t="s">
        <v>18</v>
      </c>
      <c r="D594" s="2" t="s">
        <v>14</v>
      </c>
      <c r="E594" s="2" t="s">
        <v>49</v>
      </c>
      <c r="F594" s="6" t="s">
        <v>845</v>
      </c>
      <c r="G594" s="2">
        <v>1</v>
      </c>
      <c r="H594" s="2" t="s">
        <v>11</v>
      </c>
      <c r="I594" s="2" t="s">
        <v>11</v>
      </c>
      <c r="J594" s="2" t="str">
        <f t="shared" si="9"/>
        <v>YES</v>
      </c>
      <c r="K594" s="2" t="s">
        <v>845</v>
      </c>
    </row>
    <row r="595" spans="1:11" hidden="1" x14ac:dyDescent="0.3">
      <c r="A595" s="2" t="s">
        <v>765</v>
      </c>
      <c r="B595" s="2" t="s">
        <v>48</v>
      </c>
      <c r="C595" s="2" t="s">
        <v>18</v>
      </c>
      <c r="D595" s="2" t="s">
        <v>14</v>
      </c>
      <c r="E595" s="2" t="s">
        <v>49</v>
      </c>
      <c r="F595" s="6" t="s">
        <v>846</v>
      </c>
      <c r="G595" s="2">
        <v>1</v>
      </c>
      <c r="H595" s="2" t="s">
        <v>11</v>
      </c>
      <c r="I595" s="2" t="s">
        <v>11</v>
      </c>
      <c r="J595" s="2" t="str">
        <f t="shared" si="9"/>
        <v>YES</v>
      </c>
      <c r="K595" s="2" t="s">
        <v>846</v>
      </c>
    </row>
    <row r="596" spans="1:11" hidden="1" x14ac:dyDescent="0.3">
      <c r="A596" s="2" t="s">
        <v>765</v>
      </c>
      <c r="B596" s="2" t="s">
        <v>48</v>
      </c>
      <c r="C596" s="2" t="s">
        <v>18</v>
      </c>
      <c r="D596" s="2" t="s">
        <v>14</v>
      </c>
      <c r="E596" s="2" t="s">
        <v>49</v>
      </c>
      <c r="F596" s="6" t="s">
        <v>847</v>
      </c>
      <c r="G596" s="2">
        <v>1</v>
      </c>
      <c r="H596" s="2" t="s">
        <v>11</v>
      </c>
      <c r="I596" s="2" t="s">
        <v>11</v>
      </c>
      <c r="J596" s="2" t="str">
        <f t="shared" si="9"/>
        <v>YES</v>
      </c>
      <c r="K596" s="2" t="s">
        <v>847</v>
      </c>
    </row>
    <row r="597" spans="1:11" hidden="1" x14ac:dyDescent="0.3">
      <c r="A597" s="2" t="s">
        <v>765</v>
      </c>
      <c r="B597" s="2" t="s">
        <v>48</v>
      </c>
      <c r="C597" s="2" t="s">
        <v>18</v>
      </c>
      <c r="D597" s="2" t="s">
        <v>14</v>
      </c>
      <c r="E597" s="2" t="s">
        <v>49</v>
      </c>
      <c r="F597" s="6" t="s">
        <v>848</v>
      </c>
      <c r="G597" s="2">
        <v>1</v>
      </c>
      <c r="H597" s="2" t="s">
        <v>11</v>
      </c>
      <c r="I597" s="2" t="s">
        <v>11</v>
      </c>
      <c r="J597" s="2" t="str">
        <f t="shared" si="9"/>
        <v>YES</v>
      </c>
      <c r="K597" s="2" t="s">
        <v>848</v>
      </c>
    </row>
    <row r="598" spans="1:11" hidden="1" x14ac:dyDescent="0.3">
      <c r="A598" s="2" t="s">
        <v>765</v>
      </c>
      <c r="B598" s="2" t="s">
        <v>48</v>
      </c>
      <c r="C598" s="2" t="s">
        <v>18</v>
      </c>
      <c r="D598" s="2" t="s">
        <v>14</v>
      </c>
      <c r="E598" s="2" t="s">
        <v>49</v>
      </c>
      <c r="F598" s="6" t="s">
        <v>849</v>
      </c>
      <c r="G598" s="2">
        <v>1</v>
      </c>
      <c r="H598" s="2" t="s">
        <v>11</v>
      </c>
      <c r="I598" s="2" t="s">
        <v>11</v>
      </c>
      <c r="J598" s="2" t="str">
        <f t="shared" si="9"/>
        <v>YES</v>
      </c>
      <c r="K598" s="2" t="s">
        <v>849</v>
      </c>
    </row>
    <row r="599" spans="1:11" hidden="1" x14ac:dyDescent="0.3">
      <c r="A599" s="2" t="s">
        <v>765</v>
      </c>
      <c r="B599" s="2" t="s">
        <v>48</v>
      </c>
      <c r="C599" s="2" t="s">
        <v>18</v>
      </c>
      <c r="D599" s="2" t="s">
        <v>14</v>
      </c>
      <c r="E599" s="2" t="s">
        <v>49</v>
      </c>
      <c r="F599" s="6" t="s">
        <v>850</v>
      </c>
      <c r="G599" s="2">
        <v>1</v>
      </c>
      <c r="H599" s="2" t="s">
        <v>11</v>
      </c>
      <c r="I599" s="2" t="s">
        <v>11</v>
      </c>
      <c r="J599" s="2" t="str">
        <f t="shared" si="9"/>
        <v>YES</v>
      </c>
      <c r="K599" s="2" t="s">
        <v>850</v>
      </c>
    </row>
    <row r="600" spans="1:11" hidden="1" x14ac:dyDescent="0.3">
      <c r="A600" s="2" t="s">
        <v>765</v>
      </c>
      <c r="B600" s="2" t="s">
        <v>51</v>
      </c>
      <c r="C600" s="2" t="s">
        <v>52</v>
      </c>
      <c r="D600" s="2" t="s">
        <v>53</v>
      </c>
      <c r="E600" s="2" t="s">
        <v>54</v>
      </c>
      <c r="F600" s="6" t="s">
        <v>851</v>
      </c>
      <c r="G600" s="2">
        <v>1</v>
      </c>
      <c r="H600" s="2" t="s">
        <v>11</v>
      </c>
      <c r="I600" s="2" t="s">
        <v>852</v>
      </c>
      <c r="J600" s="2" t="str">
        <f t="shared" si="9"/>
        <v>YES</v>
      </c>
      <c r="K600" s="6" t="s">
        <v>851</v>
      </c>
    </row>
    <row r="601" spans="1:11" hidden="1" x14ac:dyDescent="0.3">
      <c r="A601" s="2" t="s">
        <v>765</v>
      </c>
      <c r="B601" s="2" t="s">
        <v>56</v>
      </c>
      <c r="C601" s="2" t="s">
        <v>57</v>
      </c>
      <c r="D601" s="2" t="s">
        <v>14</v>
      </c>
      <c r="E601" s="2" t="s">
        <v>58</v>
      </c>
      <c r="F601" s="23" t="s">
        <v>853</v>
      </c>
      <c r="G601" s="2">
        <v>1</v>
      </c>
      <c r="H601" s="2" t="s">
        <v>11</v>
      </c>
      <c r="I601" s="2" t="s">
        <v>854</v>
      </c>
      <c r="J601" s="2" t="str">
        <f t="shared" si="9"/>
        <v>YES</v>
      </c>
      <c r="K601" s="6" t="s">
        <v>853</v>
      </c>
    </row>
    <row r="602" spans="1:11" hidden="1" x14ac:dyDescent="0.3">
      <c r="A602" s="2" t="s">
        <v>765</v>
      </c>
      <c r="B602" s="2" t="s">
        <v>378</v>
      </c>
      <c r="C602" s="2" t="s">
        <v>379</v>
      </c>
      <c r="D602" s="2" t="s">
        <v>855</v>
      </c>
      <c r="E602" s="2" t="s">
        <v>381</v>
      </c>
      <c r="F602" s="6" t="s">
        <v>856</v>
      </c>
      <c r="H602" s="2" t="s">
        <v>11</v>
      </c>
      <c r="I602" s="2" t="s">
        <v>11</v>
      </c>
      <c r="J602" s="2" t="str">
        <f t="shared" si="9"/>
        <v>YES</v>
      </c>
      <c r="K602" s="2" t="str">
        <f>VLOOKUP(F602,Munka1!A:A,1,0)</f>
        <v>WXV1A881S44R</v>
      </c>
    </row>
    <row r="603" spans="1:11" hidden="1" x14ac:dyDescent="0.3">
      <c r="A603" s="2" t="s">
        <v>765</v>
      </c>
      <c r="B603" s="2" t="s">
        <v>383</v>
      </c>
      <c r="C603" s="2" t="s">
        <v>384</v>
      </c>
      <c r="D603" s="2" t="s">
        <v>855</v>
      </c>
      <c r="E603" s="2" t="s">
        <v>385</v>
      </c>
      <c r="F603" s="6" t="s">
        <v>857</v>
      </c>
      <c r="H603" s="2" t="s">
        <v>11</v>
      </c>
      <c r="I603" s="2" t="s">
        <v>11</v>
      </c>
      <c r="J603" s="2" t="str">
        <f t="shared" si="9"/>
        <v>YES</v>
      </c>
      <c r="K603" s="2" t="str">
        <f>VLOOKUP(F603,Munka1!A:A,1,0)</f>
        <v>WXW1EB83FM5L</v>
      </c>
    </row>
    <row r="604" spans="1:11" hidden="1" x14ac:dyDescent="0.3">
      <c r="A604" s="2" t="s">
        <v>765</v>
      </c>
      <c r="B604" s="2" t="s">
        <v>387</v>
      </c>
      <c r="C604" s="2" t="s">
        <v>388</v>
      </c>
      <c r="D604" s="2" t="s">
        <v>380</v>
      </c>
      <c r="E604" s="2" t="s">
        <v>388</v>
      </c>
      <c r="F604" s="6" t="s">
        <v>389</v>
      </c>
      <c r="G604" s="2">
        <v>1</v>
      </c>
      <c r="H604" s="2" t="s">
        <v>11</v>
      </c>
      <c r="I604" s="2" t="s">
        <v>11</v>
      </c>
      <c r="J604" s="2" t="str">
        <f t="shared" si="9"/>
        <v>NO</v>
      </c>
      <c r="K604" s="2" t="s">
        <v>973</v>
      </c>
    </row>
    <row r="605" spans="1:11" hidden="1" x14ac:dyDescent="0.3">
      <c r="A605" s="2" t="s">
        <v>765</v>
      </c>
      <c r="B605" s="2" t="s">
        <v>387</v>
      </c>
      <c r="C605" s="2" t="s">
        <v>388</v>
      </c>
      <c r="D605" s="2" t="s">
        <v>380</v>
      </c>
      <c r="E605" s="2" t="s">
        <v>388</v>
      </c>
      <c r="F605" s="6" t="s">
        <v>389</v>
      </c>
      <c r="G605" s="2">
        <v>1</v>
      </c>
      <c r="H605" s="2" t="s">
        <v>11</v>
      </c>
      <c r="I605" s="2" t="s">
        <v>11</v>
      </c>
      <c r="J605" s="2" t="str">
        <f t="shared" si="9"/>
        <v>NO</v>
      </c>
      <c r="K605" s="2" t="s">
        <v>973</v>
      </c>
    </row>
    <row r="606" spans="1:11" hidden="1" x14ac:dyDescent="0.3">
      <c r="A606" s="2" t="s">
        <v>765</v>
      </c>
      <c r="B606" s="2" t="s">
        <v>62</v>
      </c>
      <c r="C606" s="2" t="s">
        <v>63</v>
      </c>
      <c r="D606" s="2" t="s">
        <v>64</v>
      </c>
      <c r="E606" s="2" t="s">
        <v>65</v>
      </c>
      <c r="F606" s="6" t="s">
        <v>858</v>
      </c>
      <c r="G606" s="2">
        <v>1</v>
      </c>
      <c r="H606" s="2" t="s">
        <v>859</v>
      </c>
      <c r="I606" s="2" t="s">
        <v>860</v>
      </c>
      <c r="J606" s="2" t="str">
        <f t="shared" si="9"/>
        <v>YES</v>
      </c>
      <c r="K606" s="6" t="s">
        <v>858</v>
      </c>
    </row>
    <row r="607" spans="1:11" x14ac:dyDescent="0.3">
      <c r="A607" s="2" t="s">
        <v>765</v>
      </c>
      <c r="B607" s="2" t="s">
        <v>393</v>
      </c>
      <c r="C607" s="2" t="s">
        <v>394</v>
      </c>
      <c r="D607" s="2" t="s">
        <v>380</v>
      </c>
      <c r="E607" s="2" t="s">
        <v>395</v>
      </c>
      <c r="F607" s="6" t="s">
        <v>1004</v>
      </c>
      <c r="G607" s="2">
        <v>1</v>
      </c>
      <c r="H607" s="2" t="s">
        <v>860</v>
      </c>
      <c r="I607" s="2" t="s">
        <v>11</v>
      </c>
      <c r="J607" s="2" t="str">
        <f t="shared" si="9"/>
        <v>YES</v>
      </c>
      <c r="K607" s="2" t="s">
        <v>63</v>
      </c>
    </row>
    <row r="608" spans="1:11" hidden="1" x14ac:dyDescent="0.3">
      <c r="A608" s="2" t="s">
        <v>765</v>
      </c>
      <c r="B608" s="2" t="s">
        <v>623</v>
      </c>
      <c r="C608" s="2" t="s">
        <v>624</v>
      </c>
      <c r="D608" s="2" t="s">
        <v>380</v>
      </c>
      <c r="E608" s="2" t="s">
        <v>625</v>
      </c>
      <c r="F608" s="6" t="s">
        <v>1003</v>
      </c>
      <c r="G608" s="2">
        <v>1</v>
      </c>
      <c r="H608" s="2" t="s">
        <v>860</v>
      </c>
      <c r="I608" s="2" t="s">
        <v>11</v>
      </c>
      <c r="J608" s="2" t="str">
        <f t="shared" si="9"/>
        <v>YES</v>
      </c>
      <c r="K608" s="2" t="s">
        <v>63</v>
      </c>
    </row>
    <row r="609" spans="1:11" hidden="1" x14ac:dyDescent="0.3">
      <c r="A609" s="2" t="s">
        <v>765</v>
      </c>
      <c r="B609" s="2" t="s">
        <v>396</v>
      </c>
      <c r="C609" s="2" t="s">
        <v>397</v>
      </c>
      <c r="D609" s="2" t="s">
        <v>64</v>
      </c>
      <c r="E609" s="2" t="s">
        <v>398</v>
      </c>
      <c r="F609" s="6" t="s">
        <v>861</v>
      </c>
      <c r="G609" s="2">
        <v>1</v>
      </c>
      <c r="H609" s="2" t="s">
        <v>860</v>
      </c>
      <c r="I609" s="2" t="s">
        <v>11</v>
      </c>
      <c r="J609" s="2" t="str">
        <f t="shared" si="9"/>
        <v>YES</v>
      </c>
      <c r="K609" s="6" t="s">
        <v>861</v>
      </c>
    </row>
    <row r="610" spans="1:11" hidden="1" x14ac:dyDescent="0.3">
      <c r="A610" s="2" t="s">
        <v>765</v>
      </c>
      <c r="B610" s="2" t="s">
        <v>400</v>
      </c>
      <c r="C610" s="2" t="s">
        <v>401</v>
      </c>
      <c r="D610" s="2" t="s">
        <v>64</v>
      </c>
      <c r="E610" s="2" t="s">
        <v>402</v>
      </c>
      <c r="F610" s="6" t="s">
        <v>389</v>
      </c>
      <c r="G610" s="2">
        <v>1</v>
      </c>
      <c r="H610" s="2" t="s">
        <v>860</v>
      </c>
      <c r="I610" s="2" t="s">
        <v>11</v>
      </c>
      <c r="J610" s="2" t="str">
        <f t="shared" si="9"/>
        <v>NO</v>
      </c>
      <c r="K610" s="2" t="s">
        <v>973</v>
      </c>
    </row>
    <row r="611" spans="1:11" hidden="1" x14ac:dyDescent="0.3">
      <c r="A611" s="2" t="s">
        <v>765</v>
      </c>
      <c r="B611" s="2" t="s">
        <v>407</v>
      </c>
      <c r="C611" s="2" t="s">
        <v>408</v>
      </c>
      <c r="D611" s="2" t="s">
        <v>64</v>
      </c>
      <c r="E611" s="2" t="s">
        <v>409</v>
      </c>
      <c r="F611" s="6" t="s">
        <v>862</v>
      </c>
      <c r="G611" s="2">
        <v>1</v>
      </c>
      <c r="H611" s="2" t="s">
        <v>860</v>
      </c>
      <c r="I611" s="2" t="s">
        <v>11</v>
      </c>
      <c r="J611" s="2" t="str">
        <f t="shared" si="9"/>
        <v>YES</v>
      </c>
      <c r="K611" s="6" t="s">
        <v>862</v>
      </c>
    </row>
    <row r="612" spans="1:11" hidden="1" x14ac:dyDescent="0.3">
      <c r="A612" s="2" t="s">
        <v>765</v>
      </c>
      <c r="B612" s="2" t="s">
        <v>67</v>
      </c>
      <c r="C612" s="2" t="s">
        <v>68</v>
      </c>
      <c r="D612" s="2" t="s">
        <v>64</v>
      </c>
      <c r="E612" s="2" t="s">
        <v>69</v>
      </c>
      <c r="F612" s="6" t="s">
        <v>863</v>
      </c>
      <c r="G612" s="2">
        <v>1</v>
      </c>
      <c r="H612" s="2" t="s">
        <v>860</v>
      </c>
      <c r="I612" s="2" t="s">
        <v>864</v>
      </c>
      <c r="J612" s="2" t="str">
        <f t="shared" si="9"/>
        <v>YES</v>
      </c>
      <c r="K612" s="6" t="s">
        <v>863</v>
      </c>
    </row>
    <row r="613" spans="1:11" hidden="1" x14ac:dyDescent="0.3">
      <c r="A613" s="2" t="s">
        <v>765</v>
      </c>
      <c r="B613" s="2" t="s">
        <v>67</v>
      </c>
      <c r="C613" s="2" t="s">
        <v>68</v>
      </c>
      <c r="D613" s="2" t="s">
        <v>64</v>
      </c>
      <c r="E613" s="2" t="s">
        <v>69</v>
      </c>
      <c r="F613" s="6" t="s">
        <v>865</v>
      </c>
      <c r="G613" s="2">
        <v>1</v>
      </c>
      <c r="H613" s="2" t="s">
        <v>860</v>
      </c>
      <c r="I613" s="2" t="s">
        <v>866</v>
      </c>
      <c r="J613" s="2" t="str">
        <f t="shared" si="9"/>
        <v>YES</v>
      </c>
      <c r="K613" s="6" t="s">
        <v>865</v>
      </c>
    </row>
    <row r="614" spans="1:11" hidden="1" x14ac:dyDescent="0.3">
      <c r="A614" s="2" t="s">
        <v>765</v>
      </c>
      <c r="B614" s="2" t="s">
        <v>632</v>
      </c>
      <c r="C614" s="2" t="s">
        <v>633</v>
      </c>
      <c r="D614" s="2" t="s">
        <v>64</v>
      </c>
      <c r="E614" s="2" t="s">
        <v>385</v>
      </c>
      <c r="F614" s="6" t="s">
        <v>867</v>
      </c>
      <c r="H614" s="2" t="s">
        <v>860</v>
      </c>
      <c r="I614" s="2" t="s">
        <v>11</v>
      </c>
      <c r="J614" s="2" t="str">
        <f t="shared" si="9"/>
        <v>YES</v>
      </c>
      <c r="K614" s="6" t="s">
        <v>867</v>
      </c>
    </row>
    <row r="615" spans="1:11" hidden="1" x14ac:dyDescent="0.3">
      <c r="A615" s="2" t="s">
        <v>765</v>
      </c>
      <c r="B615" s="2" t="s">
        <v>632</v>
      </c>
      <c r="C615" s="2" t="s">
        <v>633</v>
      </c>
      <c r="D615" s="2" t="s">
        <v>64</v>
      </c>
      <c r="E615" s="2" t="s">
        <v>385</v>
      </c>
      <c r="F615" s="6" t="s">
        <v>868</v>
      </c>
      <c r="H615" s="2" t="s">
        <v>860</v>
      </c>
      <c r="I615" s="2" t="s">
        <v>11</v>
      </c>
      <c r="J615" s="2" t="str">
        <f t="shared" si="9"/>
        <v>YES</v>
      </c>
      <c r="K615" s="6" t="s">
        <v>868</v>
      </c>
    </row>
    <row r="616" spans="1:11" hidden="1" x14ac:dyDescent="0.3">
      <c r="A616" s="2" t="s">
        <v>765</v>
      </c>
      <c r="B616" s="2" t="s">
        <v>62</v>
      </c>
      <c r="C616" s="2" t="s">
        <v>63</v>
      </c>
      <c r="D616" s="2" t="s">
        <v>64</v>
      </c>
      <c r="E616" s="2" t="s">
        <v>65</v>
      </c>
      <c r="F616" s="6" t="s">
        <v>869</v>
      </c>
      <c r="G616" s="2">
        <v>1</v>
      </c>
      <c r="H616" s="2" t="s">
        <v>417</v>
      </c>
      <c r="I616" s="2" t="s">
        <v>870</v>
      </c>
      <c r="J616" s="2" t="str">
        <f t="shared" si="9"/>
        <v>YES</v>
      </c>
      <c r="K616" s="6" t="s">
        <v>869</v>
      </c>
    </row>
    <row r="617" spans="1:11" hidden="1" x14ac:dyDescent="0.3">
      <c r="A617" s="2" t="s">
        <v>765</v>
      </c>
      <c r="B617" s="2" t="s">
        <v>393</v>
      </c>
      <c r="C617" s="2" t="s">
        <v>394</v>
      </c>
      <c r="D617" s="2" t="s">
        <v>380</v>
      </c>
      <c r="E617" s="2" t="s">
        <v>395</v>
      </c>
      <c r="F617" s="6" t="s">
        <v>1010</v>
      </c>
      <c r="G617" s="2">
        <v>1</v>
      </c>
      <c r="H617" s="2" t="s">
        <v>870</v>
      </c>
      <c r="I617" s="2" t="s">
        <v>11</v>
      </c>
      <c r="J617" s="2" t="str">
        <f t="shared" si="9"/>
        <v>YES</v>
      </c>
      <c r="K617" s="2" t="s">
        <v>63</v>
      </c>
    </row>
    <row r="618" spans="1:11" hidden="1" x14ac:dyDescent="0.3">
      <c r="A618" s="2" t="s">
        <v>765</v>
      </c>
      <c r="B618" s="2" t="s">
        <v>396</v>
      </c>
      <c r="C618" s="2" t="s">
        <v>397</v>
      </c>
      <c r="D618" s="2" t="s">
        <v>64</v>
      </c>
      <c r="E618" s="2" t="s">
        <v>398</v>
      </c>
      <c r="F618" s="6" t="s">
        <v>871</v>
      </c>
      <c r="G618" s="2">
        <v>1</v>
      </c>
      <c r="H618" s="2" t="s">
        <v>870</v>
      </c>
      <c r="I618" s="2" t="s">
        <v>11</v>
      </c>
      <c r="J618" s="2" t="str">
        <f t="shared" si="9"/>
        <v>YES</v>
      </c>
      <c r="K618" s="6" t="s">
        <v>871</v>
      </c>
    </row>
    <row r="619" spans="1:11" hidden="1" x14ac:dyDescent="0.3">
      <c r="A619" s="2" t="s">
        <v>765</v>
      </c>
      <c r="B619" s="2" t="s">
        <v>400</v>
      </c>
      <c r="C619" s="2" t="s">
        <v>401</v>
      </c>
      <c r="D619" s="2" t="s">
        <v>64</v>
      </c>
      <c r="E619" s="2" t="s">
        <v>402</v>
      </c>
      <c r="F619" s="6" t="s">
        <v>389</v>
      </c>
      <c r="G619" s="2">
        <v>1</v>
      </c>
      <c r="H619" s="2" t="s">
        <v>870</v>
      </c>
      <c r="I619" s="2" t="s">
        <v>11</v>
      </c>
      <c r="J619" s="2" t="str">
        <f t="shared" si="9"/>
        <v>NO</v>
      </c>
      <c r="K619" s="2" t="s">
        <v>973</v>
      </c>
    </row>
    <row r="620" spans="1:11" hidden="1" x14ac:dyDescent="0.3">
      <c r="A620" s="2" t="s">
        <v>765</v>
      </c>
      <c r="B620" s="2" t="s">
        <v>403</v>
      </c>
      <c r="C620" s="2" t="s">
        <v>404</v>
      </c>
      <c r="D620" s="2" t="s">
        <v>64</v>
      </c>
      <c r="E620" s="2" t="s">
        <v>405</v>
      </c>
      <c r="F620" s="6" t="s">
        <v>872</v>
      </c>
      <c r="G620" s="2">
        <v>1</v>
      </c>
      <c r="H620" s="2" t="s">
        <v>870</v>
      </c>
      <c r="I620" s="2" t="s">
        <v>11</v>
      </c>
      <c r="J620" s="2" t="str">
        <f t="shared" si="9"/>
        <v>YES</v>
      </c>
      <c r="K620" s="6" t="s">
        <v>872</v>
      </c>
    </row>
    <row r="621" spans="1:11" hidden="1" x14ac:dyDescent="0.3">
      <c r="A621" s="2" t="s">
        <v>765</v>
      </c>
      <c r="B621" s="2" t="s">
        <v>407</v>
      </c>
      <c r="C621" s="2" t="s">
        <v>408</v>
      </c>
      <c r="D621" s="2" t="s">
        <v>64</v>
      </c>
      <c r="E621" s="2" t="s">
        <v>409</v>
      </c>
      <c r="F621" s="6" t="s">
        <v>873</v>
      </c>
      <c r="G621" s="2">
        <v>1</v>
      </c>
      <c r="H621" s="2" t="s">
        <v>870</v>
      </c>
      <c r="I621" s="2" t="s">
        <v>11</v>
      </c>
      <c r="J621" s="2" t="str">
        <f t="shared" si="9"/>
        <v>YES</v>
      </c>
      <c r="K621" s="6" t="s">
        <v>873</v>
      </c>
    </row>
    <row r="622" spans="1:11" hidden="1" x14ac:dyDescent="0.3">
      <c r="A622" s="2" t="s">
        <v>765</v>
      </c>
      <c r="B622" s="2" t="s">
        <v>67</v>
      </c>
      <c r="C622" s="2" t="s">
        <v>68</v>
      </c>
      <c r="D622" s="2" t="s">
        <v>64</v>
      </c>
      <c r="E622" s="2" t="s">
        <v>69</v>
      </c>
      <c r="F622" s="6" t="s">
        <v>874</v>
      </c>
      <c r="G622" s="2">
        <v>1</v>
      </c>
      <c r="H622" s="2" t="s">
        <v>870</v>
      </c>
      <c r="I622" s="2" t="s">
        <v>875</v>
      </c>
      <c r="J622" s="2" t="str">
        <f t="shared" si="9"/>
        <v>YES</v>
      </c>
      <c r="K622" s="6" t="s">
        <v>874</v>
      </c>
    </row>
    <row r="623" spans="1:11" hidden="1" x14ac:dyDescent="0.3">
      <c r="A623" s="2" t="s">
        <v>765</v>
      </c>
      <c r="B623" s="2" t="s">
        <v>67</v>
      </c>
      <c r="C623" s="2" t="s">
        <v>68</v>
      </c>
      <c r="D623" s="2" t="s">
        <v>64</v>
      </c>
      <c r="E623" s="2" t="s">
        <v>69</v>
      </c>
      <c r="F623" s="6" t="s">
        <v>876</v>
      </c>
      <c r="G623" s="2">
        <v>1</v>
      </c>
      <c r="H623" s="2" t="s">
        <v>870</v>
      </c>
      <c r="I623" s="2" t="s">
        <v>877</v>
      </c>
      <c r="J623" s="2" t="str">
        <f t="shared" si="9"/>
        <v>YES</v>
      </c>
      <c r="K623" s="6" t="s">
        <v>876</v>
      </c>
    </row>
    <row r="624" spans="1:11" hidden="1" x14ac:dyDescent="0.3">
      <c r="A624" s="2" t="s">
        <v>765</v>
      </c>
      <c r="B624" s="2" t="s">
        <v>62</v>
      </c>
      <c r="C624" s="2" t="s">
        <v>63</v>
      </c>
      <c r="D624" s="2" t="s">
        <v>64</v>
      </c>
      <c r="E624" s="2" t="s">
        <v>65</v>
      </c>
      <c r="F624" s="6" t="s">
        <v>878</v>
      </c>
      <c r="G624" s="2">
        <v>1</v>
      </c>
      <c r="H624" s="2" t="s">
        <v>417</v>
      </c>
      <c r="I624" s="2" t="s">
        <v>879</v>
      </c>
      <c r="J624" s="2" t="str">
        <f t="shared" si="9"/>
        <v>YES</v>
      </c>
      <c r="K624" s="6" t="s">
        <v>878</v>
      </c>
    </row>
    <row r="625" spans="1:11" hidden="1" x14ac:dyDescent="0.3">
      <c r="A625" s="2" t="s">
        <v>765</v>
      </c>
      <c r="B625" s="2" t="s">
        <v>393</v>
      </c>
      <c r="C625" s="2" t="s">
        <v>394</v>
      </c>
      <c r="D625" s="2" t="s">
        <v>380</v>
      </c>
      <c r="E625" s="2" t="s">
        <v>395</v>
      </c>
      <c r="F625" s="6" t="s">
        <v>1006</v>
      </c>
      <c r="G625" s="2">
        <v>1</v>
      </c>
      <c r="H625" s="2" t="s">
        <v>879</v>
      </c>
      <c r="I625" s="2" t="s">
        <v>11</v>
      </c>
      <c r="J625" s="2" t="str">
        <f t="shared" si="9"/>
        <v>YES</v>
      </c>
      <c r="K625" s="2" t="s">
        <v>63</v>
      </c>
    </row>
    <row r="626" spans="1:11" hidden="1" x14ac:dyDescent="0.3">
      <c r="A626" s="2" t="s">
        <v>765</v>
      </c>
      <c r="B626" s="2" t="s">
        <v>396</v>
      </c>
      <c r="C626" s="2" t="s">
        <v>397</v>
      </c>
      <c r="D626" s="2" t="s">
        <v>64</v>
      </c>
      <c r="E626" s="2" t="s">
        <v>398</v>
      </c>
      <c r="F626" s="6" t="s">
        <v>880</v>
      </c>
      <c r="G626" s="2">
        <v>1</v>
      </c>
      <c r="H626" s="2" t="s">
        <v>879</v>
      </c>
      <c r="I626" s="2" t="s">
        <v>11</v>
      </c>
      <c r="J626" s="2" t="str">
        <f t="shared" si="9"/>
        <v>YES</v>
      </c>
      <c r="K626" s="6" t="s">
        <v>880</v>
      </c>
    </row>
    <row r="627" spans="1:11" hidden="1" x14ac:dyDescent="0.3">
      <c r="A627" s="2" t="s">
        <v>765</v>
      </c>
      <c r="B627" s="2" t="s">
        <v>400</v>
      </c>
      <c r="C627" s="2" t="s">
        <v>401</v>
      </c>
      <c r="D627" s="2" t="s">
        <v>64</v>
      </c>
      <c r="E627" s="2" t="s">
        <v>402</v>
      </c>
      <c r="F627" s="6" t="s">
        <v>389</v>
      </c>
      <c r="G627" s="2">
        <v>1</v>
      </c>
      <c r="H627" s="2" t="s">
        <v>879</v>
      </c>
      <c r="I627" s="2" t="s">
        <v>11</v>
      </c>
      <c r="J627" s="2" t="str">
        <f t="shared" si="9"/>
        <v>NO</v>
      </c>
      <c r="K627" s="2" t="s">
        <v>973</v>
      </c>
    </row>
    <row r="628" spans="1:11" hidden="1" x14ac:dyDescent="0.3">
      <c r="A628" s="2" t="s">
        <v>765</v>
      </c>
      <c r="B628" s="2" t="s">
        <v>403</v>
      </c>
      <c r="C628" s="2" t="s">
        <v>404</v>
      </c>
      <c r="D628" s="2" t="s">
        <v>64</v>
      </c>
      <c r="E628" s="2" t="s">
        <v>405</v>
      </c>
      <c r="F628" s="6" t="s">
        <v>881</v>
      </c>
      <c r="G628" s="2">
        <v>1</v>
      </c>
      <c r="H628" s="2" t="s">
        <v>879</v>
      </c>
      <c r="I628" s="2" t="s">
        <v>11</v>
      </c>
      <c r="J628" s="2" t="str">
        <f t="shared" si="9"/>
        <v>YES</v>
      </c>
      <c r="K628" s="6" t="s">
        <v>881</v>
      </c>
    </row>
    <row r="629" spans="1:11" hidden="1" x14ac:dyDescent="0.3">
      <c r="A629" s="2" t="s">
        <v>765</v>
      </c>
      <c r="B629" s="2" t="s">
        <v>407</v>
      </c>
      <c r="C629" s="2" t="s">
        <v>408</v>
      </c>
      <c r="D629" s="2" t="s">
        <v>64</v>
      </c>
      <c r="E629" s="2" t="s">
        <v>409</v>
      </c>
      <c r="F629" s="6" t="s">
        <v>882</v>
      </c>
      <c r="G629" s="2">
        <v>1</v>
      </c>
      <c r="H629" s="2" t="s">
        <v>879</v>
      </c>
      <c r="I629" s="2" t="s">
        <v>11</v>
      </c>
      <c r="J629" s="2" t="str">
        <f t="shared" si="9"/>
        <v>YES</v>
      </c>
      <c r="K629" s="6" t="s">
        <v>882</v>
      </c>
    </row>
    <row r="630" spans="1:11" hidden="1" x14ac:dyDescent="0.3">
      <c r="A630" s="2" t="s">
        <v>765</v>
      </c>
      <c r="B630" s="2" t="s">
        <v>67</v>
      </c>
      <c r="C630" s="2" t="s">
        <v>68</v>
      </c>
      <c r="D630" s="2" t="s">
        <v>64</v>
      </c>
      <c r="E630" s="2" t="s">
        <v>69</v>
      </c>
      <c r="F630" s="6" t="s">
        <v>883</v>
      </c>
      <c r="G630" s="2">
        <v>1</v>
      </c>
      <c r="H630" s="2" t="s">
        <v>879</v>
      </c>
      <c r="I630" s="2" t="s">
        <v>884</v>
      </c>
      <c r="J630" s="2" t="str">
        <f t="shared" si="9"/>
        <v>YES</v>
      </c>
      <c r="K630" s="6" t="s">
        <v>883</v>
      </c>
    </row>
    <row r="631" spans="1:11" hidden="1" x14ac:dyDescent="0.3">
      <c r="A631" s="2" t="s">
        <v>765</v>
      </c>
      <c r="B631" s="2" t="s">
        <v>67</v>
      </c>
      <c r="C631" s="2" t="s">
        <v>68</v>
      </c>
      <c r="D631" s="2" t="s">
        <v>64</v>
      </c>
      <c r="E631" s="2" t="s">
        <v>69</v>
      </c>
      <c r="F631" s="6" t="s">
        <v>885</v>
      </c>
      <c r="G631" s="2">
        <v>1</v>
      </c>
      <c r="H631" s="2" t="s">
        <v>879</v>
      </c>
      <c r="I631" s="2" t="s">
        <v>886</v>
      </c>
      <c r="J631" s="2" t="str">
        <f t="shared" si="9"/>
        <v>YES</v>
      </c>
      <c r="K631" s="6" t="s">
        <v>885</v>
      </c>
    </row>
    <row r="632" spans="1:11" hidden="1" x14ac:dyDescent="0.3">
      <c r="A632" s="2" t="s">
        <v>765</v>
      </c>
      <c r="B632" s="2" t="s">
        <v>62</v>
      </c>
      <c r="C632" s="2" t="s">
        <v>63</v>
      </c>
      <c r="D632" s="2" t="s">
        <v>64</v>
      </c>
      <c r="E632" s="2" t="s">
        <v>65</v>
      </c>
      <c r="F632" s="6" t="s">
        <v>887</v>
      </c>
      <c r="G632" s="2">
        <v>1</v>
      </c>
      <c r="H632" s="2" t="s">
        <v>11</v>
      </c>
      <c r="I632" s="2" t="s">
        <v>888</v>
      </c>
      <c r="J632" s="2" t="str">
        <f t="shared" si="9"/>
        <v>YES</v>
      </c>
      <c r="K632" s="6" t="s">
        <v>887</v>
      </c>
    </row>
    <row r="633" spans="1:11" hidden="1" x14ac:dyDescent="0.3">
      <c r="A633" s="2" t="s">
        <v>765</v>
      </c>
      <c r="B633" s="2" t="s">
        <v>393</v>
      </c>
      <c r="C633" s="2" t="s">
        <v>394</v>
      </c>
      <c r="D633" s="2" t="s">
        <v>380</v>
      </c>
      <c r="E633" s="2" t="s">
        <v>395</v>
      </c>
      <c r="F633" s="6" t="s">
        <v>1007</v>
      </c>
      <c r="G633" s="2">
        <v>1</v>
      </c>
      <c r="H633" s="2" t="s">
        <v>888</v>
      </c>
      <c r="I633" s="2" t="s">
        <v>11</v>
      </c>
      <c r="J633" s="2" t="str">
        <f t="shared" si="9"/>
        <v>YES</v>
      </c>
      <c r="K633" s="2" t="s">
        <v>63</v>
      </c>
    </row>
    <row r="634" spans="1:11" hidden="1" x14ac:dyDescent="0.3">
      <c r="A634" s="2" t="s">
        <v>765</v>
      </c>
      <c r="B634" s="2" t="s">
        <v>396</v>
      </c>
      <c r="C634" s="2" t="s">
        <v>397</v>
      </c>
      <c r="D634" s="2" t="s">
        <v>64</v>
      </c>
      <c r="E634" s="2" t="s">
        <v>398</v>
      </c>
      <c r="F634" s="6" t="s">
        <v>889</v>
      </c>
      <c r="G634" s="2">
        <v>1</v>
      </c>
      <c r="H634" s="2" t="s">
        <v>888</v>
      </c>
      <c r="I634" s="2" t="s">
        <v>11</v>
      </c>
      <c r="J634" s="2" t="str">
        <f t="shared" si="9"/>
        <v>YES</v>
      </c>
      <c r="K634" s="6" t="s">
        <v>889</v>
      </c>
    </row>
    <row r="635" spans="1:11" hidden="1" x14ac:dyDescent="0.3">
      <c r="A635" s="2" t="s">
        <v>765</v>
      </c>
      <c r="B635" s="2" t="s">
        <v>400</v>
      </c>
      <c r="C635" s="2" t="s">
        <v>401</v>
      </c>
      <c r="D635" s="2" t="s">
        <v>64</v>
      </c>
      <c r="E635" s="2" t="s">
        <v>402</v>
      </c>
      <c r="F635" s="6" t="s">
        <v>389</v>
      </c>
      <c r="G635" s="2">
        <v>1</v>
      </c>
      <c r="H635" s="2" t="s">
        <v>888</v>
      </c>
      <c r="I635" s="2" t="s">
        <v>11</v>
      </c>
      <c r="J635" s="2" t="str">
        <f t="shared" si="9"/>
        <v>NO</v>
      </c>
      <c r="K635" s="2" t="s">
        <v>973</v>
      </c>
    </row>
    <row r="636" spans="1:11" hidden="1" x14ac:dyDescent="0.3">
      <c r="A636" s="2" t="s">
        <v>765</v>
      </c>
      <c r="B636" s="2" t="s">
        <v>403</v>
      </c>
      <c r="C636" s="2" t="s">
        <v>404</v>
      </c>
      <c r="D636" s="2" t="s">
        <v>64</v>
      </c>
      <c r="E636" s="2" t="s">
        <v>405</v>
      </c>
      <c r="F636" s="6" t="s">
        <v>890</v>
      </c>
      <c r="G636" s="2">
        <v>1</v>
      </c>
      <c r="H636" s="2" t="s">
        <v>888</v>
      </c>
      <c r="I636" s="2" t="s">
        <v>11</v>
      </c>
      <c r="J636" s="2" t="str">
        <f t="shared" si="9"/>
        <v>YES</v>
      </c>
      <c r="K636" s="6" t="s">
        <v>890</v>
      </c>
    </row>
    <row r="637" spans="1:11" hidden="1" x14ac:dyDescent="0.3">
      <c r="A637" s="2" t="s">
        <v>765</v>
      </c>
      <c r="B637" s="2" t="s">
        <v>407</v>
      </c>
      <c r="C637" s="2" t="s">
        <v>408</v>
      </c>
      <c r="D637" s="2" t="s">
        <v>64</v>
      </c>
      <c r="E637" s="2" t="s">
        <v>409</v>
      </c>
      <c r="F637" s="6" t="s">
        <v>891</v>
      </c>
      <c r="G637" s="2">
        <v>1</v>
      </c>
      <c r="H637" s="2" t="s">
        <v>888</v>
      </c>
      <c r="I637" s="2" t="s">
        <v>11</v>
      </c>
      <c r="J637" s="2" t="str">
        <f t="shared" si="9"/>
        <v>YES</v>
      </c>
      <c r="K637" s="6" t="s">
        <v>891</v>
      </c>
    </row>
    <row r="638" spans="1:11" hidden="1" x14ac:dyDescent="0.3">
      <c r="A638" s="2" t="s">
        <v>765</v>
      </c>
      <c r="B638" s="2" t="s">
        <v>67</v>
      </c>
      <c r="C638" s="2" t="s">
        <v>68</v>
      </c>
      <c r="D638" s="2" t="s">
        <v>64</v>
      </c>
      <c r="E638" s="2" t="s">
        <v>69</v>
      </c>
      <c r="F638" s="6" t="s">
        <v>892</v>
      </c>
      <c r="G638" s="2">
        <v>1</v>
      </c>
      <c r="H638" s="2" t="s">
        <v>888</v>
      </c>
      <c r="I638" s="2" t="s">
        <v>893</v>
      </c>
      <c r="J638" s="2" t="str">
        <f t="shared" si="9"/>
        <v>YES</v>
      </c>
      <c r="K638" s="6" t="s">
        <v>892</v>
      </c>
    </row>
    <row r="639" spans="1:11" hidden="1" x14ac:dyDescent="0.3">
      <c r="A639" s="2" t="s">
        <v>765</v>
      </c>
      <c r="B639" s="2" t="s">
        <v>67</v>
      </c>
      <c r="C639" s="2" t="s">
        <v>68</v>
      </c>
      <c r="D639" s="2" t="s">
        <v>64</v>
      </c>
      <c r="E639" s="2" t="s">
        <v>69</v>
      </c>
      <c r="F639" s="6" t="s">
        <v>894</v>
      </c>
      <c r="G639" s="2">
        <v>1</v>
      </c>
      <c r="H639" s="2" t="s">
        <v>888</v>
      </c>
      <c r="I639" s="2" t="s">
        <v>895</v>
      </c>
      <c r="J639" s="2" t="str">
        <f t="shared" si="9"/>
        <v>YES</v>
      </c>
      <c r="K639" s="6" t="s">
        <v>894</v>
      </c>
    </row>
    <row r="640" spans="1:11" hidden="1" x14ac:dyDescent="0.3">
      <c r="A640" s="2" t="s">
        <v>765</v>
      </c>
      <c r="B640" s="2" t="s">
        <v>62</v>
      </c>
      <c r="C640" s="2" t="s">
        <v>63</v>
      </c>
      <c r="D640" s="2" t="s">
        <v>64</v>
      </c>
      <c r="E640" s="2" t="s">
        <v>65</v>
      </c>
      <c r="F640" s="6" t="s">
        <v>896</v>
      </c>
      <c r="G640" s="2">
        <v>1</v>
      </c>
      <c r="H640" s="2" t="s">
        <v>11</v>
      </c>
      <c r="I640" s="2" t="s">
        <v>897</v>
      </c>
      <c r="J640" s="2" t="str">
        <f t="shared" si="9"/>
        <v>YES</v>
      </c>
      <c r="K640" s="6" t="s">
        <v>896</v>
      </c>
    </row>
    <row r="641" spans="1:11" hidden="1" x14ac:dyDescent="0.3">
      <c r="A641" s="2" t="s">
        <v>765</v>
      </c>
      <c r="B641" s="2" t="s">
        <v>393</v>
      </c>
      <c r="C641" s="2" t="s">
        <v>394</v>
      </c>
      <c r="D641" s="2" t="s">
        <v>380</v>
      </c>
      <c r="E641" s="2" t="s">
        <v>395</v>
      </c>
      <c r="F641" s="6" t="s">
        <v>1008</v>
      </c>
      <c r="G641" s="2">
        <v>1</v>
      </c>
      <c r="H641" s="2" t="s">
        <v>897</v>
      </c>
      <c r="I641" s="2" t="s">
        <v>11</v>
      </c>
      <c r="J641" s="2" t="str">
        <f t="shared" si="9"/>
        <v>YES</v>
      </c>
      <c r="K641" s="2" t="s">
        <v>63</v>
      </c>
    </row>
    <row r="642" spans="1:11" hidden="1" x14ac:dyDescent="0.3">
      <c r="A642" s="2" t="s">
        <v>765</v>
      </c>
      <c r="B642" s="2" t="s">
        <v>396</v>
      </c>
      <c r="C642" s="2" t="s">
        <v>397</v>
      </c>
      <c r="D642" s="2" t="s">
        <v>64</v>
      </c>
      <c r="E642" s="2" t="s">
        <v>398</v>
      </c>
      <c r="F642" s="6" t="s">
        <v>898</v>
      </c>
      <c r="G642" s="2">
        <v>1</v>
      </c>
      <c r="H642" s="2" t="s">
        <v>897</v>
      </c>
      <c r="I642" s="2" t="s">
        <v>11</v>
      </c>
      <c r="J642" s="2" t="str">
        <f t="shared" si="9"/>
        <v>YES</v>
      </c>
      <c r="K642" s="6" t="s">
        <v>898</v>
      </c>
    </row>
    <row r="643" spans="1:11" hidden="1" x14ac:dyDescent="0.3">
      <c r="A643" s="2" t="s">
        <v>765</v>
      </c>
      <c r="B643" s="2" t="s">
        <v>400</v>
      </c>
      <c r="C643" s="2" t="s">
        <v>401</v>
      </c>
      <c r="D643" s="2" t="s">
        <v>64</v>
      </c>
      <c r="E643" s="2" t="s">
        <v>402</v>
      </c>
      <c r="F643" s="6" t="s">
        <v>389</v>
      </c>
      <c r="G643" s="2">
        <v>1</v>
      </c>
      <c r="H643" s="2" t="s">
        <v>897</v>
      </c>
      <c r="I643" s="2" t="s">
        <v>11</v>
      </c>
      <c r="J643" s="2" t="str">
        <f t="shared" ref="J643:J706" si="10">IF(OR(F643="",F643="_",LEFT(F643,5)="SPARE",F643="N/A"),"NO","YES")</f>
        <v>NO</v>
      </c>
      <c r="K643" s="2" t="s">
        <v>973</v>
      </c>
    </row>
    <row r="644" spans="1:11" hidden="1" x14ac:dyDescent="0.3">
      <c r="A644" s="2" t="s">
        <v>765</v>
      </c>
      <c r="B644" s="2" t="s">
        <v>403</v>
      </c>
      <c r="C644" s="2" t="s">
        <v>404</v>
      </c>
      <c r="D644" s="2" t="s">
        <v>64</v>
      </c>
      <c r="E644" s="2" t="s">
        <v>405</v>
      </c>
      <c r="F644" s="6" t="s">
        <v>899</v>
      </c>
      <c r="G644" s="2">
        <v>1</v>
      </c>
      <c r="H644" s="2" t="s">
        <v>897</v>
      </c>
      <c r="I644" s="2" t="s">
        <v>11</v>
      </c>
      <c r="J644" s="2" t="str">
        <f t="shared" si="10"/>
        <v>YES</v>
      </c>
      <c r="K644" s="6" t="s">
        <v>899</v>
      </c>
    </row>
    <row r="645" spans="1:11" hidden="1" x14ac:dyDescent="0.3">
      <c r="A645" s="2" t="s">
        <v>765</v>
      </c>
      <c r="B645" s="2" t="s">
        <v>407</v>
      </c>
      <c r="C645" s="2" t="s">
        <v>408</v>
      </c>
      <c r="D645" s="2" t="s">
        <v>64</v>
      </c>
      <c r="E645" s="2" t="s">
        <v>409</v>
      </c>
      <c r="F645" s="6" t="s">
        <v>900</v>
      </c>
      <c r="G645" s="2">
        <v>1</v>
      </c>
      <c r="H645" s="2" t="s">
        <v>897</v>
      </c>
      <c r="I645" s="2" t="s">
        <v>11</v>
      </c>
      <c r="J645" s="2" t="str">
        <f t="shared" si="10"/>
        <v>YES</v>
      </c>
      <c r="K645" s="6" t="s">
        <v>900</v>
      </c>
    </row>
    <row r="646" spans="1:11" hidden="1" x14ac:dyDescent="0.3">
      <c r="A646" s="2" t="s">
        <v>765</v>
      </c>
      <c r="B646" s="2" t="s">
        <v>67</v>
      </c>
      <c r="C646" s="2" t="s">
        <v>68</v>
      </c>
      <c r="D646" s="2" t="s">
        <v>64</v>
      </c>
      <c r="E646" s="2" t="s">
        <v>69</v>
      </c>
      <c r="F646" s="6" t="s">
        <v>901</v>
      </c>
      <c r="G646" s="2">
        <v>1</v>
      </c>
      <c r="H646" s="2" t="s">
        <v>897</v>
      </c>
      <c r="I646" s="2" t="s">
        <v>902</v>
      </c>
      <c r="J646" s="2" t="str">
        <f t="shared" si="10"/>
        <v>YES</v>
      </c>
      <c r="K646" s="6" t="s">
        <v>901</v>
      </c>
    </row>
    <row r="647" spans="1:11" hidden="1" x14ac:dyDescent="0.3">
      <c r="A647" s="2" t="s">
        <v>765</v>
      </c>
      <c r="B647" s="2" t="s">
        <v>67</v>
      </c>
      <c r="C647" s="2" t="s">
        <v>68</v>
      </c>
      <c r="D647" s="2" t="s">
        <v>64</v>
      </c>
      <c r="E647" s="2" t="s">
        <v>69</v>
      </c>
      <c r="F647" s="6" t="s">
        <v>903</v>
      </c>
      <c r="G647" s="2">
        <v>1</v>
      </c>
      <c r="H647" s="2" t="s">
        <v>897</v>
      </c>
      <c r="I647" s="2" t="s">
        <v>904</v>
      </c>
      <c r="J647" s="2" t="str">
        <f t="shared" si="10"/>
        <v>YES</v>
      </c>
      <c r="K647" s="6" t="s">
        <v>903</v>
      </c>
    </row>
    <row r="648" spans="1:11" hidden="1" x14ac:dyDescent="0.3">
      <c r="A648" s="2" t="s">
        <v>765</v>
      </c>
      <c r="B648" s="2" t="s">
        <v>62</v>
      </c>
      <c r="C648" s="2" t="s">
        <v>63</v>
      </c>
      <c r="D648" s="2" t="s">
        <v>64</v>
      </c>
      <c r="E648" s="2" t="s">
        <v>65</v>
      </c>
      <c r="F648" s="6" t="s">
        <v>905</v>
      </c>
      <c r="G648" s="2">
        <v>1</v>
      </c>
      <c r="H648" s="2" t="s">
        <v>11</v>
      </c>
      <c r="I648" s="2" t="s">
        <v>906</v>
      </c>
      <c r="J648" s="2" t="str">
        <f t="shared" si="10"/>
        <v>YES</v>
      </c>
      <c r="K648" s="6" t="s">
        <v>905</v>
      </c>
    </row>
    <row r="649" spans="1:11" hidden="1" x14ac:dyDescent="0.3">
      <c r="A649" s="2" t="s">
        <v>765</v>
      </c>
      <c r="B649" s="2" t="s">
        <v>393</v>
      </c>
      <c r="C649" s="2" t="s">
        <v>394</v>
      </c>
      <c r="D649" s="2" t="s">
        <v>380</v>
      </c>
      <c r="E649" s="2" t="s">
        <v>395</v>
      </c>
      <c r="F649" s="6" t="s">
        <v>1009</v>
      </c>
      <c r="G649" s="2">
        <v>1</v>
      </c>
      <c r="H649" s="2" t="s">
        <v>906</v>
      </c>
      <c r="I649" s="2" t="s">
        <v>11</v>
      </c>
      <c r="J649" s="2" t="str">
        <f t="shared" si="10"/>
        <v>YES</v>
      </c>
      <c r="K649" s="2" t="s">
        <v>63</v>
      </c>
    </row>
    <row r="650" spans="1:11" hidden="1" x14ac:dyDescent="0.3">
      <c r="A650" s="2" t="s">
        <v>765</v>
      </c>
      <c r="B650" s="2" t="s">
        <v>396</v>
      </c>
      <c r="C650" s="2" t="s">
        <v>397</v>
      </c>
      <c r="D650" s="2" t="s">
        <v>64</v>
      </c>
      <c r="E650" s="2" t="s">
        <v>398</v>
      </c>
      <c r="F650" s="6" t="s">
        <v>907</v>
      </c>
      <c r="G650" s="2">
        <v>1</v>
      </c>
      <c r="H650" s="2" t="s">
        <v>906</v>
      </c>
      <c r="I650" s="2" t="s">
        <v>11</v>
      </c>
      <c r="J650" s="2" t="str">
        <f t="shared" si="10"/>
        <v>YES</v>
      </c>
      <c r="K650" s="6" t="s">
        <v>907</v>
      </c>
    </row>
    <row r="651" spans="1:11" hidden="1" x14ac:dyDescent="0.3">
      <c r="A651" s="2" t="s">
        <v>765</v>
      </c>
      <c r="B651" s="2" t="s">
        <v>400</v>
      </c>
      <c r="C651" s="2" t="s">
        <v>401</v>
      </c>
      <c r="D651" s="2" t="s">
        <v>64</v>
      </c>
      <c r="E651" s="2" t="s">
        <v>402</v>
      </c>
      <c r="F651" s="6" t="s">
        <v>389</v>
      </c>
      <c r="G651" s="2">
        <v>1</v>
      </c>
      <c r="H651" s="2" t="s">
        <v>906</v>
      </c>
      <c r="I651" s="2" t="s">
        <v>11</v>
      </c>
      <c r="J651" s="2" t="str">
        <f t="shared" si="10"/>
        <v>NO</v>
      </c>
      <c r="K651" s="2" t="s">
        <v>973</v>
      </c>
    </row>
    <row r="652" spans="1:11" hidden="1" x14ac:dyDescent="0.3">
      <c r="A652" s="2" t="s">
        <v>765</v>
      </c>
      <c r="B652" s="2" t="s">
        <v>403</v>
      </c>
      <c r="C652" s="2" t="s">
        <v>404</v>
      </c>
      <c r="D652" s="2" t="s">
        <v>64</v>
      </c>
      <c r="E652" s="2" t="s">
        <v>405</v>
      </c>
      <c r="F652" s="6" t="s">
        <v>908</v>
      </c>
      <c r="G652" s="2">
        <v>1</v>
      </c>
      <c r="H652" s="2" t="s">
        <v>906</v>
      </c>
      <c r="I652" s="2" t="s">
        <v>11</v>
      </c>
      <c r="J652" s="2" t="str">
        <f t="shared" si="10"/>
        <v>YES</v>
      </c>
      <c r="K652" s="6" t="s">
        <v>908</v>
      </c>
    </row>
    <row r="653" spans="1:11" hidden="1" x14ac:dyDescent="0.3">
      <c r="A653" s="2" t="s">
        <v>765</v>
      </c>
      <c r="B653" s="2" t="s">
        <v>407</v>
      </c>
      <c r="C653" s="2" t="s">
        <v>408</v>
      </c>
      <c r="D653" s="2" t="s">
        <v>64</v>
      </c>
      <c r="E653" s="2" t="s">
        <v>409</v>
      </c>
      <c r="F653" s="6" t="s">
        <v>909</v>
      </c>
      <c r="G653" s="2">
        <v>1</v>
      </c>
      <c r="H653" s="2" t="s">
        <v>906</v>
      </c>
      <c r="I653" s="2" t="s">
        <v>11</v>
      </c>
      <c r="J653" s="2" t="str">
        <f t="shared" si="10"/>
        <v>YES</v>
      </c>
      <c r="K653" s="6" t="s">
        <v>909</v>
      </c>
    </row>
    <row r="654" spans="1:11" hidden="1" x14ac:dyDescent="0.3">
      <c r="A654" s="2" t="s">
        <v>765</v>
      </c>
      <c r="B654" s="2" t="s">
        <v>67</v>
      </c>
      <c r="C654" s="2" t="s">
        <v>68</v>
      </c>
      <c r="D654" s="2" t="s">
        <v>64</v>
      </c>
      <c r="E654" s="2" t="s">
        <v>69</v>
      </c>
      <c r="F654" s="6" t="s">
        <v>910</v>
      </c>
      <c r="G654" s="2">
        <v>1</v>
      </c>
      <c r="H654" s="2" t="s">
        <v>906</v>
      </c>
      <c r="I654" s="2" t="s">
        <v>911</v>
      </c>
      <c r="J654" s="2" t="str">
        <f t="shared" si="10"/>
        <v>YES</v>
      </c>
      <c r="K654" s="6" t="s">
        <v>910</v>
      </c>
    </row>
    <row r="655" spans="1:11" hidden="1" x14ac:dyDescent="0.3">
      <c r="A655" s="2" t="s">
        <v>765</v>
      </c>
      <c r="B655" s="2" t="s">
        <v>67</v>
      </c>
      <c r="C655" s="2" t="s">
        <v>68</v>
      </c>
      <c r="D655" s="2" t="s">
        <v>64</v>
      </c>
      <c r="E655" s="2" t="s">
        <v>69</v>
      </c>
      <c r="F655" s="6" t="s">
        <v>912</v>
      </c>
      <c r="G655" s="2">
        <v>1</v>
      </c>
      <c r="H655" s="2" t="s">
        <v>906</v>
      </c>
      <c r="I655" s="2" t="s">
        <v>913</v>
      </c>
      <c r="J655" s="2" t="str">
        <f t="shared" si="10"/>
        <v>YES</v>
      </c>
      <c r="K655" s="6" t="s">
        <v>912</v>
      </c>
    </row>
    <row r="656" spans="1:11" hidden="1" x14ac:dyDescent="0.3">
      <c r="A656" s="2" t="s">
        <v>765</v>
      </c>
      <c r="B656" s="2" t="s">
        <v>62</v>
      </c>
      <c r="C656" s="2" t="s">
        <v>63</v>
      </c>
      <c r="D656" s="2" t="s">
        <v>64</v>
      </c>
      <c r="E656" s="2" t="s">
        <v>65</v>
      </c>
      <c r="F656" s="6" t="s">
        <v>914</v>
      </c>
      <c r="G656" s="2">
        <v>1</v>
      </c>
      <c r="H656" s="2" t="s">
        <v>11</v>
      </c>
      <c r="I656" s="2" t="s">
        <v>915</v>
      </c>
      <c r="J656" s="2" t="str">
        <f t="shared" si="10"/>
        <v>YES</v>
      </c>
      <c r="K656" s="6" t="s">
        <v>914</v>
      </c>
    </row>
    <row r="657" spans="1:11" hidden="1" x14ac:dyDescent="0.3">
      <c r="A657" s="2" t="s">
        <v>765</v>
      </c>
      <c r="B657" s="2" t="s">
        <v>393</v>
      </c>
      <c r="C657" s="2" t="s">
        <v>394</v>
      </c>
      <c r="D657" s="2" t="s">
        <v>380</v>
      </c>
      <c r="E657" s="2" t="s">
        <v>395</v>
      </c>
      <c r="F657" s="6" t="s">
        <v>1005</v>
      </c>
      <c r="G657" s="2">
        <v>1</v>
      </c>
      <c r="H657" s="2" t="s">
        <v>915</v>
      </c>
      <c r="I657" s="2" t="s">
        <v>11</v>
      </c>
      <c r="J657" s="2" t="str">
        <f t="shared" si="10"/>
        <v>YES</v>
      </c>
      <c r="K657" s="2" t="s">
        <v>63</v>
      </c>
    </row>
    <row r="658" spans="1:11" hidden="1" x14ac:dyDescent="0.3">
      <c r="A658" s="2" t="s">
        <v>765</v>
      </c>
      <c r="B658" s="2" t="s">
        <v>396</v>
      </c>
      <c r="C658" s="2" t="s">
        <v>397</v>
      </c>
      <c r="D658" s="2" t="s">
        <v>64</v>
      </c>
      <c r="E658" s="2" t="s">
        <v>398</v>
      </c>
      <c r="F658" s="6" t="s">
        <v>916</v>
      </c>
      <c r="G658" s="2">
        <v>1</v>
      </c>
      <c r="H658" s="2" t="s">
        <v>915</v>
      </c>
      <c r="I658" s="2" t="s">
        <v>11</v>
      </c>
      <c r="J658" s="2" t="str">
        <f t="shared" si="10"/>
        <v>YES</v>
      </c>
      <c r="K658" s="6" t="s">
        <v>916</v>
      </c>
    </row>
    <row r="659" spans="1:11" hidden="1" x14ac:dyDescent="0.3">
      <c r="A659" s="2" t="s">
        <v>765</v>
      </c>
      <c r="B659" s="2" t="s">
        <v>400</v>
      </c>
      <c r="C659" s="2" t="s">
        <v>401</v>
      </c>
      <c r="D659" s="2" t="s">
        <v>64</v>
      </c>
      <c r="E659" s="2" t="s">
        <v>402</v>
      </c>
      <c r="F659" s="6" t="s">
        <v>389</v>
      </c>
      <c r="G659" s="2">
        <v>1</v>
      </c>
      <c r="H659" s="2" t="s">
        <v>915</v>
      </c>
      <c r="I659" s="2" t="s">
        <v>11</v>
      </c>
      <c r="J659" s="2" t="str">
        <f t="shared" si="10"/>
        <v>NO</v>
      </c>
      <c r="K659" s="2" t="s">
        <v>973</v>
      </c>
    </row>
    <row r="660" spans="1:11" hidden="1" x14ac:dyDescent="0.3">
      <c r="A660" s="2" t="s">
        <v>765</v>
      </c>
      <c r="B660" s="2" t="s">
        <v>403</v>
      </c>
      <c r="C660" s="2" t="s">
        <v>404</v>
      </c>
      <c r="D660" s="2" t="s">
        <v>64</v>
      </c>
      <c r="E660" s="2" t="s">
        <v>405</v>
      </c>
      <c r="F660" s="6" t="s">
        <v>917</v>
      </c>
      <c r="G660" s="2">
        <v>1</v>
      </c>
      <c r="H660" s="2" t="s">
        <v>915</v>
      </c>
      <c r="I660" s="2" t="s">
        <v>11</v>
      </c>
      <c r="J660" s="2" t="str">
        <f t="shared" si="10"/>
        <v>YES</v>
      </c>
      <c r="K660" s="6" t="s">
        <v>917</v>
      </c>
    </row>
    <row r="661" spans="1:11" hidden="1" x14ac:dyDescent="0.3">
      <c r="A661" s="2" t="s">
        <v>765</v>
      </c>
      <c r="B661" s="2" t="s">
        <v>407</v>
      </c>
      <c r="C661" s="2" t="s">
        <v>408</v>
      </c>
      <c r="D661" s="2" t="s">
        <v>64</v>
      </c>
      <c r="E661" s="2" t="s">
        <v>409</v>
      </c>
      <c r="F661" s="6" t="s">
        <v>918</v>
      </c>
      <c r="G661" s="2">
        <v>1</v>
      </c>
      <c r="H661" s="2" t="s">
        <v>915</v>
      </c>
      <c r="I661" s="2" t="s">
        <v>11</v>
      </c>
      <c r="J661" s="2" t="str">
        <f t="shared" si="10"/>
        <v>YES</v>
      </c>
      <c r="K661" s="6" t="s">
        <v>918</v>
      </c>
    </row>
    <row r="662" spans="1:11" hidden="1" x14ac:dyDescent="0.3">
      <c r="A662" s="2" t="s">
        <v>765</v>
      </c>
      <c r="B662" s="2" t="s">
        <v>217</v>
      </c>
      <c r="C662" s="2" t="s">
        <v>68</v>
      </c>
      <c r="D662" s="2" t="s">
        <v>64</v>
      </c>
      <c r="E662" s="2" t="s">
        <v>218</v>
      </c>
      <c r="F662" s="6" t="s">
        <v>919</v>
      </c>
      <c r="G662" s="2">
        <v>1</v>
      </c>
      <c r="H662" s="2" t="s">
        <v>915</v>
      </c>
      <c r="I662" s="2" t="s">
        <v>920</v>
      </c>
      <c r="J662" s="2" t="str">
        <f t="shared" si="10"/>
        <v>YES</v>
      </c>
      <c r="K662" s="6" t="s">
        <v>919</v>
      </c>
    </row>
    <row r="663" spans="1:11" hidden="1" x14ac:dyDescent="0.3">
      <c r="A663" s="2" t="s">
        <v>765</v>
      </c>
      <c r="B663" s="2" t="s">
        <v>217</v>
      </c>
      <c r="C663" s="2" t="s">
        <v>68</v>
      </c>
      <c r="D663" s="2" t="s">
        <v>64</v>
      </c>
      <c r="E663" s="2" t="s">
        <v>218</v>
      </c>
      <c r="F663" s="6" t="s">
        <v>921</v>
      </c>
      <c r="G663" s="2">
        <v>1</v>
      </c>
      <c r="H663" s="2" t="s">
        <v>915</v>
      </c>
      <c r="I663" s="2" t="s">
        <v>922</v>
      </c>
      <c r="J663" s="2" t="str">
        <f t="shared" si="10"/>
        <v>YES</v>
      </c>
      <c r="K663" s="6" t="s">
        <v>921</v>
      </c>
    </row>
    <row r="664" spans="1:11" hidden="1" x14ac:dyDescent="0.3">
      <c r="A664" s="2" t="s">
        <v>765</v>
      </c>
      <c r="B664" s="2" t="s">
        <v>923</v>
      </c>
      <c r="C664" s="2" t="s">
        <v>923</v>
      </c>
      <c r="D664" s="2" t="s">
        <v>11</v>
      </c>
      <c r="E664" s="2" t="s">
        <v>11</v>
      </c>
      <c r="F664" s="6" t="s">
        <v>11</v>
      </c>
      <c r="G664" s="2">
        <v>1</v>
      </c>
      <c r="H664" s="2" t="s">
        <v>923</v>
      </c>
      <c r="I664" s="2" t="s">
        <v>11</v>
      </c>
      <c r="J664" s="2" t="str">
        <f t="shared" si="10"/>
        <v>NO</v>
      </c>
    </row>
    <row r="665" spans="1:11" hidden="1" x14ac:dyDescent="0.3">
      <c r="A665" s="2" t="s">
        <v>765</v>
      </c>
      <c r="B665" s="2" t="s">
        <v>62</v>
      </c>
      <c r="C665" s="2" t="s">
        <v>63</v>
      </c>
      <c r="D665" s="2" t="s">
        <v>64</v>
      </c>
      <c r="E665" s="2" t="s">
        <v>65</v>
      </c>
      <c r="F665" s="6" t="s">
        <v>924</v>
      </c>
      <c r="G665" s="2">
        <v>1</v>
      </c>
      <c r="H665" s="2" t="s">
        <v>11</v>
      </c>
      <c r="I665" s="2" t="s">
        <v>925</v>
      </c>
      <c r="J665" s="2" t="str">
        <f t="shared" si="10"/>
        <v>YES</v>
      </c>
      <c r="K665" s="6" t="s">
        <v>924</v>
      </c>
    </row>
    <row r="666" spans="1:11" hidden="1" x14ac:dyDescent="0.3">
      <c r="A666" s="2" t="s">
        <v>765</v>
      </c>
      <c r="B666" s="2" t="s">
        <v>393</v>
      </c>
      <c r="C666" s="2" t="s">
        <v>394</v>
      </c>
      <c r="D666" s="2" t="s">
        <v>380</v>
      </c>
      <c r="E666" s="2" t="s">
        <v>395</v>
      </c>
      <c r="F666" s="6" t="s">
        <v>1002</v>
      </c>
      <c r="G666" s="2">
        <v>1</v>
      </c>
      <c r="H666" s="2" t="s">
        <v>925</v>
      </c>
      <c r="I666" s="2" t="s">
        <v>11</v>
      </c>
      <c r="J666" s="2" t="str">
        <f t="shared" si="10"/>
        <v>YES</v>
      </c>
      <c r="K666" s="2" t="s">
        <v>63</v>
      </c>
    </row>
    <row r="667" spans="1:11" hidden="1" x14ac:dyDescent="0.3">
      <c r="A667" s="2" t="s">
        <v>765</v>
      </c>
      <c r="B667" s="2" t="s">
        <v>623</v>
      </c>
      <c r="C667" s="2" t="s">
        <v>624</v>
      </c>
      <c r="D667" s="2" t="s">
        <v>380</v>
      </c>
      <c r="E667" s="2" t="s">
        <v>625</v>
      </c>
      <c r="F667" s="6" t="s">
        <v>1001</v>
      </c>
      <c r="G667" s="2">
        <v>1</v>
      </c>
      <c r="H667" s="2" t="s">
        <v>925</v>
      </c>
      <c r="I667" s="2" t="s">
        <v>11</v>
      </c>
      <c r="J667" s="2" t="str">
        <f t="shared" si="10"/>
        <v>YES</v>
      </c>
      <c r="K667" s="2" t="s">
        <v>63</v>
      </c>
    </row>
    <row r="668" spans="1:11" hidden="1" x14ac:dyDescent="0.3">
      <c r="A668" s="2" t="s">
        <v>765</v>
      </c>
      <c r="B668" s="2" t="s">
        <v>396</v>
      </c>
      <c r="C668" s="2" t="s">
        <v>397</v>
      </c>
      <c r="D668" s="2" t="s">
        <v>64</v>
      </c>
      <c r="E668" s="2" t="s">
        <v>398</v>
      </c>
      <c r="F668" s="6" t="s">
        <v>926</v>
      </c>
      <c r="G668" s="2">
        <v>1</v>
      </c>
      <c r="H668" s="2" t="s">
        <v>925</v>
      </c>
      <c r="I668" s="2" t="s">
        <v>11</v>
      </c>
      <c r="J668" s="2" t="str">
        <f t="shared" si="10"/>
        <v>YES</v>
      </c>
      <c r="K668" s="6" t="s">
        <v>926</v>
      </c>
    </row>
    <row r="669" spans="1:11" hidden="1" x14ac:dyDescent="0.3">
      <c r="A669" s="2" t="s">
        <v>765</v>
      </c>
      <c r="B669" s="2" t="s">
        <v>400</v>
      </c>
      <c r="C669" s="2" t="s">
        <v>401</v>
      </c>
      <c r="D669" s="2" t="s">
        <v>64</v>
      </c>
      <c r="E669" s="2" t="s">
        <v>402</v>
      </c>
      <c r="F669" s="6" t="s">
        <v>389</v>
      </c>
      <c r="G669" s="2">
        <v>1</v>
      </c>
      <c r="H669" s="2" t="s">
        <v>925</v>
      </c>
      <c r="I669" s="2" t="s">
        <v>11</v>
      </c>
      <c r="J669" s="2" t="str">
        <f t="shared" si="10"/>
        <v>NO</v>
      </c>
      <c r="K669" s="2" t="s">
        <v>973</v>
      </c>
    </row>
    <row r="670" spans="1:11" hidden="1" x14ac:dyDescent="0.3">
      <c r="A670" s="2" t="s">
        <v>765</v>
      </c>
      <c r="B670" s="2" t="s">
        <v>403</v>
      </c>
      <c r="C670" s="2" t="s">
        <v>404</v>
      </c>
      <c r="D670" s="2" t="s">
        <v>64</v>
      </c>
      <c r="E670" s="2" t="s">
        <v>405</v>
      </c>
      <c r="F670" s="6" t="s">
        <v>927</v>
      </c>
      <c r="G670" s="2">
        <v>1</v>
      </c>
      <c r="H670" s="2" t="s">
        <v>11</v>
      </c>
      <c r="I670" s="2" t="s">
        <v>11</v>
      </c>
      <c r="J670" s="2" t="str">
        <f t="shared" si="10"/>
        <v>YES</v>
      </c>
      <c r="K670" s="6" t="s">
        <v>927</v>
      </c>
    </row>
    <row r="671" spans="1:11" hidden="1" x14ac:dyDescent="0.3">
      <c r="A671" s="2" t="s">
        <v>765</v>
      </c>
      <c r="B671" s="2" t="s">
        <v>407</v>
      </c>
      <c r="C671" s="2" t="s">
        <v>408</v>
      </c>
      <c r="D671" s="2" t="s">
        <v>64</v>
      </c>
      <c r="E671" s="2" t="s">
        <v>409</v>
      </c>
      <c r="F671" s="6" t="s">
        <v>928</v>
      </c>
      <c r="G671" s="2">
        <v>1</v>
      </c>
      <c r="H671" s="2" t="s">
        <v>11</v>
      </c>
      <c r="I671" s="2" t="s">
        <v>11</v>
      </c>
      <c r="J671" s="2" t="str">
        <f t="shared" si="10"/>
        <v>YES</v>
      </c>
      <c r="K671" s="6" t="s">
        <v>928</v>
      </c>
    </row>
    <row r="672" spans="1:11" hidden="1" x14ac:dyDescent="0.3">
      <c r="A672" s="2" t="s">
        <v>765</v>
      </c>
      <c r="B672" s="2" t="s">
        <v>407</v>
      </c>
      <c r="C672" s="2" t="s">
        <v>408</v>
      </c>
      <c r="D672" s="2" t="s">
        <v>64</v>
      </c>
      <c r="E672" s="2" t="s">
        <v>409</v>
      </c>
      <c r="F672" s="6" t="s">
        <v>929</v>
      </c>
      <c r="G672" s="2">
        <v>1</v>
      </c>
      <c r="H672" s="2" t="s">
        <v>11</v>
      </c>
      <c r="I672" s="2" t="s">
        <v>11</v>
      </c>
      <c r="J672" s="2" t="str">
        <f t="shared" si="10"/>
        <v>YES</v>
      </c>
      <c r="K672" s="6" t="s">
        <v>929</v>
      </c>
    </row>
    <row r="673" spans="1:11" hidden="1" x14ac:dyDescent="0.3">
      <c r="A673" s="2" t="s">
        <v>765</v>
      </c>
      <c r="B673" s="2" t="s">
        <v>67</v>
      </c>
      <c r="C673" s="2" t="s">
        <v>68</v>
      </c>
      <c r="D673" s="2" t="s">
        <v>64</v>
      </c>
      <c r="E673" s="2" t="s">
        <v>69</v>
      </c>
      <c r="F673" s="6" t="s">
        <v>930</v>
      </c>
      <c r="G673" s="2">
        <v>1</v>
      </c>
      <c r="H673" s="2" t="s">
        <v>11</v>
      </c>
      <c r="I673" s="2" t="s">
        <v>931</v>
      </c>
      <c r="J673" s="2" t="str">
        <f t="shared" si="10"/>
        <v>YES</v>
      </c>
      <c r="K673" s="6" t="s">
        <v>930</v>
      </c>
    </row>
    <row r="674" spans="1:11" hidden="1" x14ac:dyDescent="0.3">
      <c r="A674" s="2" t="s">
        <v>765</v>
      </c>
      <c r="B674" s="2" t="s">
        <v>67</v>
      </c>
      <c r="C674" s="2" t="s">
        <v>68</v>
      </c>
      <c r="D674" s="2" t="s">
        <v>64</v>
      </c>
      <c r="E674" s="2" t="s">
        <v>69</v>
      </c>
      <c r="F674" s="6" t="s">
        <v>932</v>
      </c>
      <c r="G674" s="2">
        <v>1</v>
      </c>
      <c r="H674" s="2" t="s">
        <v>11</v>
      </c>
      <c r="I674" s="2" t="s">
        <v>933</v>
      </c>
      <c r="J674" s="2" t="str">
        <f t="shared" si="10"/>
        <v>YES</v>
      </c>
      <c r="K674" s="6" t="s">
        <v>932</v>
      </c>
    </row>
    <row r="675" spans="1:11" hidden="1" x14ac:dyDescent="0.3">
      <c r="A675" s="2" t="s">
        <v>765</v>
      </c>
      <c r="B675" s="2" t="s">
        <v>217</v>
      </c>
      <c r="C675" s="2" t="s">
        <v>68</v>
      </c>
      <c r="D675" s="2" t="s">
        <v>64</v>
      </c>
      <c r="E675" s="2" t="s">
        <v>218</v>
      </c>
      <c r="F675" s="6" t="s">
        <v>934</v>
      </c>
      <c r="G675" s="2">
        <v>1</v>
      </c>
      <c r="H675" s="2" t="s">
        <v>11</v>
      </c>
      <c r="I675" s="2" t="s">
        <v>935</v>
      </c>
      <c r="J675" s="2" t="str">
        <f t="shared" si="10"/>
        <v>YES</v>
      </c>
      <c r="K675" s="6" t="s">
        <v>934</v>
      </c>
    </row>
    <row r="676" spans="1:11" hidden="1" x14ac:dyDescent="0.3">
      <c r="A676" s="2" t="s">
        <v>765</v>
      </c>
      <c r="B676" s="2" t="s">
        <v>525</v>
      </c>
      <c r="C676" s="2" t="s">
        <v>526</v>
      </c>
      <c r="D676" s="2" t="s">
        <v>380</v>
      </c>
      <c r="E676" s="2" t="s">
        <v>527</v>
      </c>
      <c r="F676" s="6" t="s">
        <v>389</v>
      </c>
      <c r="G676" s="2">
        <v>1</v>
      </c>
      <c r="H676" s="2" t="s">
        <v>11</v>
      </c>
      <c r="I676" s="2" t="s">
        <v>936</v>
      </c>
      <c r="J676" s="2" t="str">
        <f t="shared" si="10"/>
        <v>NO</v>
      </c>
      <c r="K676" s="2" t="s">
        <v>973</v>
      </c>
    </row>
    <row r="677" spans="1:11" hidden="1" x14ac:dyDescent="0.3">
      <c r="A677" s="2" t="s">
        <v>765</v>
      </c>
      <c r="B677" s="2" t="s">
        <v>38</v>
      </c>
      <c r="C677" s="2" t="s">
        <v>39</v>
      </c>
      <c r="D677" s="2" t="s">
        <v>14</v>
      </c>
      <c r="E677" s="2" t="s">
        <v>572</v>
      </c>
      <c r="F677" s="6" t="s">
        <v>937</v>
      </c>
      <c r="G677" s="2">
        <v>1</v>
      </c>
      <c r="H677" s="2" t="s">
        <v>11</v>
      </c>
      <c r="I677" s="2" t="s">
        <v>938</v>
      </c>
      <c r="J677" s="2" t="str">
        <f t="shared" si="10"/>
        <v>YES</v>
      </c>
      <c r="K677" s="6" t="s">
        <v>937</v>
      </c>
    </row>
    <row r="678" spans="1:11" hidden="1" x14ac:dyDescent="0.3">
      <c r="A678" s="2" t="s">
        <v>765</v>
      </c>
      <c r="B678" s="2" t="s">
        <v>393</v>
      </c>
      <c r="C678" s="2" t="s">
        <v>394</v>
      </c>
      <c r="D678" s="2" t="s">
        <v>380</v>
      </c>
      <c r="E678" s="2" t="s">
        <v>395</v>
      </c>
      <c r="F678" s="6" t="s">
        <v>939</v>
      </c>
      <c r="G678" s="2">
        <v>1</v>
      </c>
      <c r="H678" s="2" t="s">
        <v>11</v>
      </c>
      <c r="I678" s="2" t="s">
        <v>940</v>
      </c>
      <c r="J678" s="2" t="str">
        <f t="shared" si="10"/>
        <v>YES</v>
      </c>
      <c r="K678" s="2" t="s">
        <v>939</v>
      </c>
    </row>
    <row r="679" spans="1:11" hidden="1" x14ac:dyDescent="0.3">
      <c r="A679" s="2" t="s">
        <v>765</v>
      </c>
      <c r="B679" s="2" t="s">
        <v>46</v>
      </c>
      <c r="C679" s="2" t="s">
        <v>39</v>
      </c>
      <c r="D679" s="2" t="s">
        <v>380</v>
      </c>
      <c r="E679" s="2" t="s">
        <v>47</v>
      </c>
      <c r="F679" s="20" t="s">
        <v>972</v>
      </c>
      <c r="G679" s="2">
        <v>1</v>
      </c>
      <c r="H679" s="2" t="s">
        <v>11</v>
      </c>
      <c r="I679" s="2" t="s">
        <v>942</v>
      </c>
      <c r="J679" s="2" t="str">
        <f t="shared" si="10"/>
        <v>YES</v>
      </c>
      <c r="K679" s="2" t="s">
        <v>972</v>
      </c>
    </row>
    <row r="680" spans="1:11" hidden="1" x14ac:dyDescent="0.3">
      <c r="A680" s="2" t="s">
        <v>765</v>
      </c>
      <c r="B680" s="2" t="s">
        <v>46</v>
      </c>
      <c r="C680" s="2" t="s">
        <v>39</v>
      </c>
      <c r="D680" s="2" t="s">
        <v>380</v>
      </c>
      <c r="E680" s="2" t="s">
        <v>47</v>
      </c>
      <c r="F680" s="20" t="s">
        <v>971</v>
      </c>
      <c r="G680" s="2">
        <v>1</v>
      </c>
      <c r="H680" s="2" t="s">
        <v>11</v>
      </c>
      <c r="I680" s="2" t="s">
        <v>944</v>
      </c>
      <c r="J680" s="2" t="str">
        <f t="shared" si="10"/>
        <v>YES</v>
      </c>
      <c r="K680" s="2" t="s">
        <v>971</v>
      </c>
    </row>
    <row r="681" spans="1:11" hidden="1" x14ac:dyDescent="0.3">
      <c r="A681" s="2" t="s">
        <v>765</v>
      </c>
      <c r="B681" s="2" t="s">
        <v>28</v>
      </c>
      <c r="C681" s="2" t="s">
        <v>18</v>
      </c>
      <c r="D681" s="2" t="s">
        <v>533</v>
      </c>
      <c r="E681" s="2" t="s">
        <v>29</v>
      </c>
      <c r="F681" s="6" t="s">
        <v>945</v>
      </c>
      <c r="G681" s="2">
        <v>1</v>
      </c>
      <c r="H681" s="2" t="s">
        <v>11</v>
      </c>
      <c r="I681" s="2" t="s">
        <v>946</v>
      </c>
      <c r="J681" s="2" t="str">
        <f t="shared" si="10"/>
        <v>YES</v>
      </c>
      <c r="K681" s="2" t="s">
        <v>945</v>
      </c>
    </row>
    <row r="682" spans="1:11" hidden="1" x14ac:dyDescent="0.3">
      <c r="A682" s="2" t="s">
        <v>765</v>
      </c>
      <c r="B682" s="2" t="s">
        <v>28</v>
      </c>
      <c r="C682" s="2" t="s">
        <v>18</v>
      </c>
      <c r="D682" s="2" t="s">
        <v>533</v>
      </c>
      <c r="E682" s="2" t="s">
        <v>29</v>
      </c>
      <c r="F682" s="6" t="s">
        <v>947</v>
      </c>
      <c r="G682" s="2">
        <v>1</v>
      </c>
      <c r="H682" s="2" t="s">
        <v>11</v>
      </c>
      <c r="I682" s="2" t="s">
        <v>948</v>
      </c>
      <c r="J682" s="2" t="str">
        <f t="shared" si="10"/>
        <v>YES</v>
      </c>
      <c r="K682" s="2" t="s">
        <v>947</v>
      </c>
    </row>
    <row r="683" spans="1:11" hidden="1" x14ac:dyDescent="0.3">
      <c r="A683" s="2" t="s">
        <v>765</v>
      </c>
      <c r="B683" s="2" t="s">
        <v>30</v>
      </c>
      <c r="C683" s="2" t="s">
        <v>18</v>
      </c>
      <c r="D683" s="2" t="s">
        <v>533</v>
      </c>
      <c r="E683" s="2" t="s">
        <v>31</v>
      </c>
      <c r="F683" s="6" t="s">
        <v>949</v>
      </c>
      <c r="G683" s="2">
        <v>1</v>
      </c>
      <c r="H683" s="2" t="s">
        <v>11</v>
      </c>
      <c r="I683" s="2" t="s">
        <v>950</v>
      </c>
      <c r="J683" s="2" t="str">
        <f t="shared" si="10"/>
        <v>YES</v>
      </c>
      <c r="K683" s="2" t="s">
        <v>949</v>
      </c>
    </row>
    <row r="684" spans="1:11" hidden="1" x14ac:dyDescent="0.3">
      <c r="A684" s="2" t="s">
        <v>765</v>
      </c>
      <c r="B684" s="2" t="s">
        <v>30</v>
      </c>
      <c r="C684" s="2" t="s">
        <v>18</v>
      </c>
      <c r="D684" s="2" t="s">
        <v>533</v>
      </c>
      <c r="E684" s="2" t="s">
        <v>31</v>
      </c>
      <c r="F684" s="6" t="s">
        <v>951</v>
      </c>
      <c r="G684" s="2">
        <v>1</v>
      </c>
      <c r="H684" s="2" t="s">
        <v>11</v>
      </c>
      <c r="I684" s="2" t="s">
        <v>952</v>
      </c>
      <c r="J684" s="2" t="str">
        <f t="shared" si="10"/>
        <v>YES</v>
      </c>
      <c r="K684" s="2" t="s">
        <v>951</v>
      </c>
    </row>
    <row r="685" spans="1:11" hidden="1" x14ac:dyDescent="0.3">
      <c r="A685" s="2" t="s">
        <v>765</v>
      </c>
      <c r="B685" s="2" t="s">
        <v>32</v>
      </c>
      <c r="C685" s="2" t="s">
        <v>18</v>
      </c>
      <c r="D685" s="2" t="s">
        <v>533</v>
      </c>
      <c r="E685" s="2" t="s">
        <v>33</v>
      </c>
      <c r="F685" s="21" t="s">
        <v>970</v>
      </c>
      <c r="G685" s="2">
        <v>1</v>
      </c>
      <c r="H685" s="2" t="s">
        <v>11</v>
      </c>
      <c r="I685" s="2" t="s">
        <v>954</v>
      </c>
      <c r="J685" s="2" t="str">
        <f t="shared" si="10"/>
        <v>YES</v>
      </c>
      <c r="K685" s="2" t="s">
        <v>970</v>
      </c>
    </row>
    <row r="686" spans="1:11" hidden="1" x14ac:dyDescent="0.3">
      <c r="J686" s="2" t="str">
        <f t="shared" si="10"/>
        <v>NO</v>
      </c>
      <c r="K686" s="2" t="e">
        <f>VLOOKUP(F686,Munka1!A:A,1,0)</f>
        <v>#N/A</v>
      </c>
    </row>
    <row r="687" spans="1:11" hidden="1" x14ac:dyDescent="0.3">
      <c r="J687" s="2" t="str">
        <f t="shared" si="10"/>
        <v>NO</v>
      </c>
      <c r="K687" s="2" t="e">
        <f>VLOOKUP(F687,Munka1!A:A,1,0)</f>
        <v>#N/A</v>
      </c>
    </row>
    <row r="688" spans="1:11" hidden="1" x14ac:dyDescent="0.3">
      <c r="J688" s="2" t="str">
        <f t="shared" si="10"/>
        <v>NO</v>
      </c>
      <c r="K688" s="2" t="e">
        <f>VLOOKUP(F688,Munka1!A:A,1,0)</f>
        <v>#N/A</v>
      </c>
    </row>
    <row r="689" spans="10:11" hidden="1" x14ac:dyDescent="0.3">
      <c r="J689" s="2" t="str">
        <f t="shared" si="10"/>
        <v>NO</v>
      </c>
      <c r="K689" s="2" t="e">
        <f>VLOOKUP(F689,Munka1!A:A,1,0)</f>
        <v>#N/A</v>
      </c>
    </row>
    <row r="690" spans="10:11" hidden="1" x14ac:dyDescent="0.3">
      <c r="J690" s="2" t="str">
        <f t="shared" si="10"/>
        <v>NO</v>
      </c>
      <c r="K690" s="2" t="e">
        <f>VLOOKUP(F690,Munka1!A:A,1,0)</f>
        <v>#N/A</v>
      </c>
    </row>
    <row r="691" spans="10:11" hidden="1" x14ac:dyDescent="0.3">
      <c r="J691" s="2" t="str">
        <f t="shared" si="10"/>
        <v>NO</v>
      </c>
      <c r="K691" s="2" t="e">
        <f>VLOOKUP(F691,Munka1!A:A,1,0)</f>
        <v>#N/A</v>
      </c>
    </row>
    <row r="692" spans="10:11" hidden="1" x14ac:dyDescent="0.3">
      <c r="J692" s="2" t="str">
        <f t="shared" si="10"/>
        <v>NO</v>
      </c>
      <c r="K692" s="2" t="e">
        <f>VLOOKUP(F692,Munka1!A:A,1,0)</f>
        <v>#N/A</v>
      </c>
    </row>
    <row r="693" spans="10:11" hidden="1" x14ac:dyDescent="0.3">
      <c r="J693" s="2" t="str">
        <f t="shared" si="10"/>
        <v>NO</v>
      </c>
      <c r="K693" s="2" t="e">
        <f>VLOOKUP(F693,Munka1!A:A,1,0)</f>
        <v>#N/A</v>
      </c>
    </row>
    <row r="694" spans="10:11" hidden="1" x14ac:dyDescent="0.3">
      <c r="J694" s="2" t="str">
        <f t="shared" si="10"/>
        <v>NO</v>
      </c>
      <c r="K694" s="2" t="e">
        <f>VLOOKUP(F694,Munka1!A:A,1,0)</f>
        <v>#N/A</v>
      </c>
    </row>
    <row r="695" spans="10:11" hidden="1" x14ac:dyDescent="0.3">
      <c r="J695" s="2" t="str">
        <f t="shared" si="10"/>
        <v>NO</v>
      </c>
      <c r="K695" s="2" t="e">
        <f>VLOOKUP(F695,Munka1!A:A,1,0)</f>
        <v>#N/A</v>
      </c>
    </row>
    <row r="696" spans="10:11" hidden="1" x14ac:dyDescent="0.3">
      <c r="J696" s="2" t="str">
        <f t="shared" si="10"/>
        <v>NO</v>
      </c>
      <c r="K696" s="2" t="e">
        <f>VLOOKUP(F696,Munka1!A:A,1,0)</f>
        <v>#N/A</v>
      </c>
    </row>
    <row r="697" spans="10:11" hidden="1" x14ac:dyDescent="0.3">
      <c r="J697" s="2" t="str">
        <f t="shared" si="10"/>
        <v>NO</v>
      </c>
      <c r="K697" s="2" t="e">
        <f>VLOOKUP(F697,Munka1!A:A,1,0)</f>
        <v>#N/A</v>
      </c>
    </row>
    <row r="698" spans="10:11" hidden="1" x14ac:dyDescent="0.3">
      <c r="J698" s="2" t="str">
        <f t="shared" si="10"/>
        <v>NO</v>
      </c>
      <c r="K698" s="2" t="e">
        <f>VLOOKUP(F698,Munka1!A:A,1,0)</f>
        <v>#N/A</v>
      </c>
    </row>
    <row r="699" spans="10:11" hidden="1" x14ac:dyDescent="0.3">
      <c r="J699" s="2" t="str">
        <f t="shared" si="10"/>
        <v>NO</v>
      </c>
      <c r="K699" s="2" t="e">
        <f>VLOOKUP(F699,Munka1!A:A,1,0)</f>
        <v>#N/A</v>
      </c>
    </row>
    <row r="700" spans="10:11" hidden="1" x14ac:dyDescent="0.3">
      <c r="J700" s="2" t="str">
        <f t="shared" si="10"/>
        <v>NO</v>
      </c>
      <c r="K700" s="2" t="e">
        <f>VLOOKUP(F700,Munka1!A:A,1,0)</f>
        <v>#N/A</v>
      </c>
    </row>
    <row r="701" spans="10:11" hidden="1" x14ac:dyDescent="0.3">
      <c r="J701" s="2" t="str">
        <f t="shared" si="10"/>
        <v>NO</v>
      </c>
      <c r="K701" s="2" t="e">
        <f>VLOOKUP(F701,Munka1!A:A,1,0)</f>
        <v>#N/A</v>
      </c>
    </row>
    <row r="702" spans="10:11" hidden="1" x14ac:dyDescent="0.3">
      <c r="J702" s="2" t="str">
        <f t="shared" si="10"/>
        <v>NO</v>
      </c>
      <c r="K702" s="2" t="e">
        <f>VLOOKUP(F702,Munka1!A:A,1,0)</f>
        <v>#N/A</v>
      </c>
    </row>
    <row r="703" spans="10:11" hidden="1" x14ac:dyDescent="0.3">
      <c r="J703" s="2" t="str">
        <f t="shared" si="10"/>
        <v>NO</v>
      </c>
      <c r="K703" s="2" t="e">
        <f>VLOOKUP(F703,Munka1!A:A,1,0)</f>
        <v>#N/A</v>
      </c>
    </row>
    <row r="704" spans="10:11" hidden="1" x14ac:dyDescent="0.3">
      <c r="J704" s="2" t="str">
        <f t="shared" si="10"/>
        <v>NO</v>
      </c>
      <c r="K704" s="2" t="e">
        <f>VLOOKUP(F704,Munka1!A:A,1,0)</f>
        <v>#N/A</v>
      </c>
    </row>
    <row r="705" spans="10:11" hidden="1" x14ac:dyDescent="0.3">
      <c r="J705" s="2" t="str">
        <f t="shared" si="10"/>
        <v>NO</v>
      </c>
      <c r="K705" s="2" t="e">
        <f>VLOOKUP(F705,Munka1!A:A,1,0)</f>
        <v>#N/A</v>
      </c>
    </row>
    <row r="706" spans="10:11" hidden="1" x14ac:dyDescent="0.3">
      <c r="J706" s="2" t="str">
        <f t="shared" si="10"/>
        <v>NO</v>
      </c>
      <c r="K706" s="2" t="e">
        <f>VLOOKUP(F706,Munka1!A:A,1,0)</f>
        <v>#N/A</v>
      </c>
    </row>
    <row r="707" spans="10:11" hidden="1" x14ac:dyDescent="0.3">
      <c r="J707" s="2" t="str">
        <f t="shared" ref="J707:J770" si="11">IF(OR(F707="",F707="_",LEFT(F707,5)="SPARE",F707="N/A"),"NO","YES")</f>
        <v>NO</v>
      </c>
      <c r="K707" s="2" t="e">
        <f>VLOOKUP(F707,Munka1!A:A,1,0)</f>
        <v>#N/A</v>
      </c>
    </row>
    <row r="708" spans="10:11" hidden="1" x14ac:dyDescent="0.3">
      <c r="J708" s="2" t="str">
        <f t="shared" si="11"/>
        <v>NO</v>
      </c>
      <c r="K708" s="2" t="e">
        <f>VLOOKUP(F708,Munka1!A:A,1,0)</f>
        <v>#N/A</v>
      </c>
    </row>
    <row r="709" spans="10:11" hidden="1" x14ac:dyDescent="0.3">
      <c r="J709" s="2" t="str">
        <f t="shared" si="11"/>
        <v>NO</v>
      </c>
      <c r="K709" s="2" t="e">
        <f>VLOOKUP(F709,Munka1!A:A,1,0)</f>
        <v>#N/A</v>
      </c>
    </row>
    <row r="710" spans="10:11" hidden="1" x14ac:dyDescent="0.3">
      <c r="J710" s="2" t="str">
        <f t="shared" si="11"/>
        <v>NO</v>
      </c>
      <c r="K710" s="2" t="e">
        <f>VLOOKUP(F710,Munka1!A:A,1,0)</f>
        <v>#N/A</v>
      </c>
    </row>
    <row r="711" spans="10:11" hidden="1" x14ac:dyDescent="0.3">
      <c r="J711" s="2" t="str">
        <f t="shared" si="11"/>
        <v>NO</v>
      </c>
      <c r="K711" s="2" t="e">
        <f>VLOOKUP(F711,Munka1!A:A,1,0)</f>
        <v>#N/A</v>
      </c>
    </row>
    <row r="712" spans="10:11" hidden="1" x14ac:dyDescent="0.3">
      <c r="J712" s="2" t="str">
        <f t="shared" si="11"/>
        <v>NO</v>
      </c>
      <c r="K712" s="2" t="e">
        <f>VLOOKUP(F712,Munka1!A:A,1,0)</f>
        <v>#N/A</v>
      </c>
    </row>
    <row r="713" spans="10:11" hidden="1" x14ac:dyDescent="0.3">
      <c r="J713" s="2" t="str">
        <f t="shared" si="11"/>
        <v>NO</v>
      </c>
      <c r="K713" s="2" t="e">
        <f>VLOOKUP(F713,Munka1!A:A,1,0)</f>
        <v>#N/A</v>
      </c>
    </row>
    <row r="714" spans="10:11" hidden="1" x14ac:dyDescent="0.3">
      <c r="J714" s="2" t="str">
        <f t="shared" si="11"/>
        <v>NO</v>
      </c>
      <c r="K714" s="2" t="e">
        <f>VLOOKUP(F714,Munka1!A:A,1,0)</f>
        <v>#N/A</v>
      </c>
    </row>
    <row r="715" spans="10:11" hidden="1" x14ac:dyDescent="0.3">
      <c r="J715" s="2" t="str">
        <f t="shared" si="11"/>
        <v>NO</v>
      </c>
      <c r="K715" s="2" t="e">
        <f>VLOOKUP(F715,Munka1!A:A,1,0)</f>
        <v>#N/A</v>
      </c>
    </row>
    <row r="716" spans="10:11" hidden="1" x14ac:dyDescent="0.3">
      <c r="J716" s="2" t="str">
        <f t="shared" si="11"/>
        <v>NO</v>
      </c>
      <c r="K716" s="2" t="e">
        <f>VLOOKUP(F716,Munka1!A:A,1,0)</f>
        <v>#N/A</v>
      </c>
    </row>
    <row r="717" spans="10:11" hidden="1" x14ac:dyDescent="0.3">
      <c r="J717" s="2" t="str">
        <f t="shared" si="11"/>
        <v>NO</v>
      </c>
      <c r="K717" s="2" t="e">
        <f>VLOOKUP(F717,Munka1!A:A,1,0)</f>
        <v>#N/A</v>
      </c>
    </row>
    <row r="718" spans="10:11" hidden="1" x14ac:dyDescent="0.3">
      <c r="J718" s="2" t="str">
        <f t="shared" si="11"/>
        <v>NO</v>
      </c>
      <c r="K718" s="2" t="e">
        <f>VLOOKUP(F718,Munka1!A:A,1,0)</f>
        <v>#N/A</v>
      </c>
    </row>
    <row r="719" spans="10:11" hidden="1" x14ac:dyDescent="0.3">
      <c r="J719" s="2" t="str">
        <f t="shared" si="11"/>
        <v>NO</v>
      </c>
      <c r="K719" s="2" t="e">
        <f>VLOOKUP(F719,Munka1!A:A,1,0)</f>
        <v>#N/A</v>
      </c>
    </row>
    <row r="720" spans="10:11" hidden="1" x14ac:dyDescent="0.3">
      <c r="J720" s="2" t="str">
        <f t="shared" si="11"/>
        <v>NO</v>
      </c>
      <c r="K720" s="2" t="e">
        <f>VLOOKUP(F720,Munka1!A:A,1,0)</f>
        <v>#N/A</v>
      </c>
    </row>
    <row r="721" spans="10:11" hidden="1" x14ac:dyDescent="0.3">
      <c r="J721" s="2" t="str">
        <f t="shared" si="11"/>
        <v>NO</v>
      </c>
      <c r="K721" s="2" t="e">
        <f>VLOOKUP(F721,Munka1!A:A,1,0)</f>
        <v>#N/A</v>
      </c>
    </row>
    <row r="722" spans="10:11" hidden="1" x14ac:dyDescent="0.3">
      <c r="J722" s="2" t="str">
        <f t="shared" si="11"/>
        <v>NO</v>
      </c>
      <c r="K722" s="2" t="e">
        <f>VLOOKUP(F722,Munka1!A:A,1,0)</f>
        <v>#N/A</v>
      </c>
    </row>
    <row r="723" spans="10:11" hidden="1" x14ac:dyDescent="0.3">
      <c r="J723" s="2" t="str">
        <f t="shared" si="11"/>
        <v>NO</v>
      </c>
      <c r="K723" s="2" t="e">
        <f>VLOOKUP(F723,Munka1!A:A,1,0)</f>
        <v>#N/A</v>
      </c>
    </row>
    <row r="724" spans="10:11" hidden="1" x14ac:dyDescent="0.3">
      <c r="J724" s="2" t="str">
        <f t="shared" si="11"/>
        <v>NO</v>
      </c>
      <c r="K724" s="2" t="e">
        <f>VLOOKUP(F724,Munka1!A:A,1,0)</f>
        <v>#N/A</v>
      </c>
    </row>
    <row r="725" spans="10:11" hidden="1" x14ac:dyDescent="0.3">
      <c r="J725" s="2" t="str">
        <f t="shared" si="11"/>
        <v>NO</v>
      </c>
      <c r="K725" s="2" t="e">
        <f>VLOOKUP(F725,Munka1!A:A,1,0)</f>
        <v>#N/A</v>
      </c>
    </row>
    <row r="726" spans="10:11" hidden="1" x14ac:dyDescent="0.3">
      <c r="J726" s="2" t="str">
        <f t="shared" si="11"/>
        <v>NO</v>
      </c>
      <c r="K726" s="2" t="e">
        <f>VLOOKUP(F726,Munka1!A:A,1,0)</f>
        <v>#N/A</v>
      </c>
    </row>
    <row r="727" spans="10:11" hidden="1" x14ac:dyDescent="0.3">
      <c r="J727" s="2" t="str">
        <f t="shared" si="11"/>
        <v>NO</v>
      </c>
      <c r="K727" s="2" t="e">
        <f>VLOOKUP(F727,Munka1!A:A,1,0)</f>
        <v>#N/A</v>
      </c>
    </row>
    <row r="728" spans="10:11" hidden="1" x14ac:dyDescent="0.3">
      <c r="J728" s="2" t="str">
        <f t="shared" si="11"/>
        <v>NO</v>
      </c>
      <c r="K728" s="2" t="e">
        <f>VLOOKUP(F728,Munka1!A:A,1,0)</f>
        <v>#N/A</v>
      </c>
    </row>
    <row r="729" spans="10:11" hidden="1" x14ac:dyDescent="0.3">
      <c r="J729" s="2" t="str">
        <f t="shared" si="11"/>
        <v>NO</v>
      </c>
      <c r="K729" s="2" t="e">
        <f>VLOOKUP(F729,Munka1!A:A,1,0)</f>
        <v>#N/A</v>
      </c>
    </row>
    <row r="730" spans="10:11" hidden="1" x14ac:dyDescent="0.3">
      <c r="J730" s="2" t="str">
        <f t="shared" si="11"/>
        <v>NO</v>
      </c>
      <c r="K730" s="2" t="e">
        <f>VLOOKUP(F730,Munka1!A:A,1,0)</f>
        <v>#N/A</v>
      </c>
    </row>
    <row r="731" spans="10:11" hidden="1" x14ac:dyDescent="0.3">
      <c r="J731" s="2" t="str">
        <f t="shared" si="11"/>
        <v>NO</v>
      </c>
      <c r="K731" s="2" t="e">
        <f>VLOOKUP(F731,Munka1!A:A,1,0)</f>
        <v>#N/A</v>
      </c>
    </row>
    <row r="732" spans="10:11" hidden="1" x14ac:dyDescent="0.3">
      <c r="J732" s="2" t="str">
        <f t="shared" si="11"/>
        <v>NO</v>
      </c>
      <c r="K732" s="2" t="e">
        <f>VLOOKUP(F732,Munka1!A:A,1,0)</f>
        <v>#N/A</v>
      </c>
    </row>
    <row r="733" spans="10:11" hidden="1" x14ac:dyDescent="0.3">
      <c r="J733" s="2" t="str">
        <f t="shared" si="11"/>
        <v>NO</v>
      </c>
      <c r="K733" s="2" t="e">
        <f>VLOOKUP(F733,Munka1!A:A,1,0)</f>
        <v>#N/A</v>
      </c>
    </row>
    <row r="734" spans="10:11" hidden="1" x14ac:dyDescent="0.3">
      <c r="J734" s="2" t="str">
        <f t="shared" si="11"/>
        <v>NO</v>
      </c>
      <c r="K734" s="2" t="e">
        <f>VLOOKUP(F734,Munka1!A:A,1,0)</f>
        <v>#N/A</v>
      </c>
    </row>
    <row r="735" spans="10:11" hidden="1" x14ac:dyDescent="0.3">
      <c r="J735" s="2" t="str">
        <f t="shared" si="11"/>
        <v>NO</v>
      </c>
      <c r="K735" s="2" t="e">
        <f>VLOOKUP(F735,Munka1!A:A,1,0)</f>
        <v>#N/A</v>
      </c>
    </row>
    <row r="736" spans="10:11" hidden="1" x14ac:dyDescent="0.3">
      <c r="J736" s="2" t="str">
        <f t="shared" si="11"/>
        <v>NO</v>
      </c>
      <c r="K736" s="2" t="e">
        <f>VLOOKUP(F736,Munka1!A:A,1,0)</f>
        <v>#N/A</v>
      </c>
    </row>
    <row r="737" spans="10:11" hidden="1" x14ac:dyDescent="0.3">
      <c r="J737" s="2" t="str">
        <f t="shared" si="11"/>
        <v>NO</v>
      </c>
      <c r="K737" s="2" t="e">
        <f>VLOOKUP(F737,Munka1!A:A,1,0)</f>
        <v>#N/A</v>
      </c>
    </row>
    <row r="738" spans="10:11" hidden="1" x14ac:dyDescent="0.3">
      <c r="J738" s="2" t="str">
        <f t="shared" si="11"/>
        <v>NO</v>
      </c>
      <c r="K738" s="2" t="e">
        <f>VLOOKUP(F738,Munka1!A:A,1,0)</f>
        <v>#N/A</v>
      </c>
    </row>
    <row r="739" spans="10:11" hidden="1" x14ac:dyDescent="0.3">
      <c r="J739" s="2" t="str">
        <f t="shared" si="11"/>
        <v>NO</v>
      </c>
      <c r="K739" s="2" t="e">
        <f>VLOOKUP(F739,Munka1!A:A,1,0)</f>
        <v>#N/A</v>
      </c>
    </row>
    <row r="740" spans="10:11" hidden="1" x14ac:dyDescent="0.3">
      <c r="J740" s="2" t="str">
        <f t="shared" si="11"/>
        <v>NO</v>
      </c>
      <c r="K740" s="2" t="e">
        <f>VLOOKUP(F740,Munka1!A:A,1,0)</f>
        <v>#N/A</v>
      </c>
    </row>
    <row r="741" spans="10:11" hidden="1" x14ac:dyDescent="0.3">
      <c r="J741" s="2" t="str">
        <f t="shared" si="11"/>
        <v>NO</v>
      </c>
      <c r="K741" s="2" t="e">
        <f>VLOOKUP(F741,Munka1!A:A,1,0)</f>
        <v>#N/A</v>
      </c>
    </row>
    <row r="742" spans="10:11" hidden="1" x14ac:dyDescent="0.3">
      <c r="J742" s="2" t="str">
        <f t="shared" si="11"/>
        <v>NO</v>
      </c>
      <c r="K742" s="2" t="e">
        <f>VLOOKUP(F742,Munka1!A:A,1,0)</f>
        <v>#N/A</v>
      </c>
    </row>
    <row r="743" spans="10:11" hidden="1" x14ac:dyDescent="0.3">
      <c r="J743" s="2" t="str">
        <f t="shared" si="11"/>
        <v>NO</v>
      </c>
      <c r="K743" s="2" t="e">
        <f>VLOOKUP(F743,Munka1!A:A,1,0)</f>
        <v>#N/A</v>
      </c>
    </row>
    <row r="744" spans="10:11" hidden="1" x14ac:dyDescent="0.3">
      <c r="J744" s="2" t="str">
        <f t="shared" si="11"/>
        <v>NO</v>
      </c>
      <c r="K744" s="2" t="e">
        <f>VLOOKUP(F744,Munka1!A:A,1,0)</f>
        <v>#N/A</v>
      </c>
    </row>
    <row r="745" spans="10:11" hidden="1" x14ac:dyDescent="0.3">
      <c r="J745" s="2" t="str">
        <f t="shared" si="11"/>
        <v>NO</v>
      </c>
      <c r="K745" s="2" t="e">
        <f>VLOOKUP(F745,Munka1!A:A,1,0)</f>
        <v>#N/A</v>
      </c>
    </row>
    <row r="746" spans="10:11" hidden="1" x14ac:dyDescent="0.3">
      <c r="J746" s="2" t="str">
        <f t="shared" si="11"/>
        <v>NO</v>
      </c>
      <c r="K746" s="2" t="e">
        <f>VLOOKUP(F746,Munka1!A:A,1,0)</f>
        <v>#N/A</v>
      </c>
    </row>
    <row r="747" spans="10:11" hidden="1" x14ac:dyDescent="0.3">
      <c r="J747" s="2" t="str">
        <f t="shared" si="11"/>
        <v>NO</v>
      </c>
      <c r="K747" s="2" t="e">
        <f>VLOOKUP(F747,Munka1!A:A,1,0)</f>
        <v>#N/A</v>
      </c>
    </row>
    <row r="748" spans="10:11" hidden="1" x14ac:dyDescent="0.3">
      <c r="J748" s="2" t="str">
        <f t="shared" si="11"/>
        <v>NO</v>
      </c>
      <c r="K748" s="2" t="e">
        <f>VLOOKUP(F748,Munka1!A:A,1,0)</f>
        <v>#N/A</v>
      </c>
    </row>
    <row r="749" spans="10:11" hidden="1" x14ac:dyDescent="0.3">
      <c r="J749" s="2" t="str">
        <f t="shared" si="11"/>
        <v>NO</v>
      </c>
      <c r="K749" s="2" t="e">
        <f>VLOOKUP(F749,Munka1!A:A,1,0)</f>
        <v>#N/A</v>
      </c>
    </row>
    <row r="750" spans="10:11" hidden="1" x14ac:dyDescent="0.3">
      <c r="J750" s="2" t="str">
        <f t="shared" si="11"/>
        <v>NO</v>
      </c>
      <c r="K750" s="2" t="e">
        <f>VLOOKUP(F750,Munka1!A:A,1,0)</f>
        <v>#N/A</v>
      </c>
    </row>
    <row r="751" spans="10:11" hidden="1" x14ac:dyDescent="0.3">
      <c r="J751" s="2" t="str">
        <f t="shared" si="11"/>
        <v>NO</v>
      </c>
      <c r="K751" s="2" t="e">
        <f>VLOOKUP(F751,Munka1!A:A,1,0)</f>
        <v>#N/A</v>
      </c>
    </row>
    <row r="752" spans="10:11" hidden="1" x14ac:dyDescent="0.3">
      <c r="J752" s="2" t="str">
        <f t="shared" si="11"/>
        <v>NO</v>
      </c>
      <c r="K752" s="2" t="e">
        <f>VLOOKUP(F752,Munka1!A:A,1,0)</f>
        <v>#N/A</v>
      </c>
    </row>
    <row r="753" spans="10:11" hidden="1" x14ac:dyDescent="0.3">
      <c r="J753" s="2" t="str">
        <f t="shared" si="11"/>
        <v>NO</v>
      </c>
      <c r="K753" s="2" t="e">
        <f>VLOOKUP(F753,Munka1!A:A,1,0)</f>
        <v>#N/A</v>
      </c>
    </row>
    <row r="754" spans="10:11" hidden="1" x14ac:dyDescent="0.3">
      <c r="J754" s="2" t="str">
        <f t="shared" si="11"/>
        <v>NO</v>
      </c>
      <c r="K754" s="2" t="e">
        <f>VLOOKUP(F754,Munka1!A:A,1,0)</f>
        <v>#N/A</v>
      </c>
    </row>
    <row r="755" spans="10:11" hidden="1" x14ac:dyDescent="0.3">
      <c r="J755" s="2" t="str">
        <f t="shared" si="11"/>
        <v>NO</v>
      </c>
      <c r="K755" s="2" t="e">
        <f>VLOOKUP(F755,Munka1!A:A,1,0)</f>
        <v>#N/A</v>
      </c>
    </row>
    <row r="756" spans="10:11" hidden="1" x14ac:dyDescent="0.3">
      <c r="J756" s="2" t="str">
        <f t="shared" si="11"/>
        <v>NO</v>
      </c>
      <c r="K756" s="2" t="e">
        <f>VLOOKUP(F756,Munka1!A:A,1,0)</f>
        <v>#N/A</v>
      </c>
    </row>
    <row r="757" spans="10:11" hidden="1" x14ac:dyDescent="0.3">
      <c r="J757" s="2" t="str">
        <f t="shared" si="11"/>
        <v>NO</v>
      </c>
      <c r="K757" s="2" t="e">
        <f>VLOOKUP(F757,Munka1!A:A,1,0)</f>
        <v>#N/A</v>
      </c>
    </row>
    <row r="758" spans="10:11" hidden="1" x14ac:dyDescent="0.3">
      <c r="J758" s="2" t="str">
        <f t="shared" si="11"/>
        <v>NO</v>
      </c>
      <c r="K758" s="2" t="e">
        <f>VLOOKUP(F758,Munka1!A:A,1,0)</f>
        <v>#N/A</v>
      </c>
    </row>
    <row r="759" spans="10:11" hidden="1" x14ac:dyDescent="0.3">
      <c r="J759" s="2" t="str">
        <f t="shared" si="11"/>
        <v>NO</v>
      </c>
      <c r="K759" s="2" t="e">
        <f>VLOOKUP(F759,Munka1!A:A,1,0)</f>
        <v>#N/A</v>
      </c>
    </row>
    <row r="760" spans="10:11" hidden="1" x14ac:dyDescent="0.3">
      <c r="J760" s="2" t="str">
        <f t="shared" si="11"/>
        <v>NO</v>
      </c>
      <c r="K760" s="2" t="e">
        <f>VLOOKUP(F760,Munka1!A:A,1,0)</f>
        <v>#N/A</v>
      </c>
    </row>
    <row r="761" spans="10:11" hidden="1" x14ac:dyDescent="0.3">
      <c r="J761" s="2" t="str">
        <f t="shared" si="11"/>
        <v>NO</v>
      </c>
      <c r="K761" s="2" t="e">
        <f>VLOOKUP(F761,Munka1!A:A,1,0)</f>
        <v>#N/A</v>
      </c>
    </row>
    <row r="762" spans="10:11" hidden="1" x14ac:dyDescent="0.3">
      <c r="J762" s="2" t="str">
        <f t="shared" si="11"/>
        <v>NO</v>
      </c>
      <c r="K762" s="2" t="e">
        <f>VLOOKUP(F762,Munka1!A:A,1,0)</f>
        <v>#N/A</v>
      </c>
    </row>
    <row r="763" spans="10:11" hidden="1" x14ac:dyDescent="0.3">
      <c r="J763" s="2" t="str">
        <f t="shared" si="11"/>
        <v>NO</v>
      </c>
      <c r="K763" s="2" t="e">
        <f>VLOOKUP(F763,Munka1!A:A,1,0)</f>
        <v>#N/A</v>
      </c>
    </row>
    <row r="764" spans="10:11" hidden="1" x14ac:dyDescent="0.3">
      <c r="J764" s="2" t="str">
        <f t="shared" si="11"/>
        <v>NO</v>
      </c>
      <c r="K764" s="2" t="e">
        <f>VLOOKUP(F764,Munka1!A:A,1,0)</f>
        <v>#N/A</v>
      </c>
    </row>
    <row r="765" spans="10:11" hidden="1" x14ac:dyDescent="0.3">
      <c r="J765" s="2" t="str">
        <f t="shared" si="11"/>
        <v>NO</v>
      </c>
      <c r="K765" s="2" t="e">
        <f>VLOOKUP(F765,Munka1!A:A,1,0)</f>
        <v>#N/A</v>
      </c>
    </row>
    <row r="766" spans="10:11" hidden="1" x14ac:dyDescent="0.3">
      <c r="J766" s="2" t="str">
        <f t="shared" si="11"/>
        <v>NO</v>
      </c>
      <c r="K766" s="2" t="e">
        <f>VLOOKUP(F766,Munka1!A:A,1,0)</f>
        <v>#N/A</v>
      </c>
    </row>
    <row r="767" spans="10:11" hidden="1" x14ac:dyDescent="0.3">
      <c r="J767" s="2" t="str">
        <f t="shared" si="11"/>
        <v>NO</v>
      </c>
      <c r="K767" s="2" t="e">
        <f>VLOOKUP(F767,Munka1!A:A,1,0)</f>
        <v>#N/A</v>
      </c>
    </row>
    <row r="768" spans="10:11" hidden="1" x14ac:dyDescent="0.3">
      <c r="J768" s="2" t="str">
        <f t="shared" si="11"/>
        <v>NO</v>
      </c>
      <c r="K768" s="2" t="e">
        <f>VLOOKUP(F768,Munka1!A:A,1,0)</f>
        <v>#N/A</v>
      </c>
    </row>
    <row r="769" spans="10:11" hidden="1" x14ac:dyDescent="0.3">
      <c r="J769" s="2" t="str">
        <f t="shared" si="11"/>
        <v>NO</v>
      </c>
      <c r="K769" s="2" t="e">
        <f>VLOOKUP(F769,Munka1!A:A,1,0)</f>
        <v>#N/A</v>
      </c>
    </row>
    <row r="770" spans="10:11" hidden="1" x14ac:dyDescent="0.3">
      <c r="J770" s="2" t="str">
        <f t="shared" si="11"/>
        <v>NO</v>
      </c>
      <c r="K770" s="2" t="e">
        <f>VLOOKUP(F770,Munka1!A:A,1,0)</f>
        <v>#N/A</v>
      </c>
    </row>
    <row r="771" spans="10:11" hidden="1" x14ac:dyDescent="0.3">
      <c r="J771" s="2" t="str">
        <f t="shared" ref="J771:J834" si="12">IF(OR(F771="",F771="_",LEFT(F771,5)="SPARE",F771="N/A"),"NO","YES")</f>
        <v>NO</v>
      </c>
      <c r="K771" s="2" t="e">
        <f>VLOOKUP(F771,Munka1!A:A,1,0)</f>
        <v>#N/A</v>
      </c>
    </row>
    <row r="772" spans="10:11" hidden="1" x14ac:dyDescent="0.3">
      <c r="J772" s="2" t="str">
        <f t="shared" si="12"/>
        <v>NO</v>
      </c>
      <c r="K772" s="2" t="e">
        <f>VLOOKUP(F772,Munka1!A:A,1,0)</f>
        <v>#N/A</v>
      </c>
    </row>
    <row r="773" spans="10:11" hidden="1" x14ac:dyDescent="0.3">
      <c r="J773" s="2" t="str">
        <f t="shared" si="12"/>
        <v>NO</v>
      </c>
      <c r="K773" s="2" t="e">
        <f>VLOOKUP(F773,Munka1!A:A,1,0)</f>
        <v>#N/A</v>
      </c>
    </row>
    <row r="774" spans="10:11" hidden="1" x14ac:dyDescent="0.3">
      <c r="J774" s="2" t="str">
        <f t="shared" si="12"/>
        <v>NO</v>
      </c>
      <c r="K774" s="2" t="e">
        <f>VLOOKUP(F774,Munka1!A:A,1,0)</f>
        <v>#N/A</v>
      </c>
    </row>
    <row r="775" spans="10:11" hidden="1" x14ac:dyDescent="0.3">
      <c r="J775" s="2" t="str">
        <f t="shared" si="12"/>
        <v>NO</v>
      </c>
      <c r="K775" s="2" t="e">
        <f>VLOOKUP(F775,Munka1!A:A,1,0)</f>
        <v>#N/A</v>
      </c>
    </row>
    <row r="776" spans="10:11" hidden="1" x14ac:dyDescent="0.3">
      <c r="J776" s="2" t="str">
        <f t="shared" si="12"/>
        <v>NO</v>
      </c>
      <c r="K776" s="2" t="e">
        <f>VLOOKUP(F776,Munka1!A:A,1,0)</f>
        <v>#N/A</v>
      </c>
    </row>
    <row r="777" spans="10:11" hidden="1" x14ac:dyDescent="0.3">
      <c r="J777" s="2" t="str">
        <f t="shared" si="12"/>
        <v>NO</v>
      </c>
      <c r="K777" s="2" t="e">
        <f>VLOOKUP(F777,Munka1!A:A,1,0)</f>
        <v>#N/A</v>
      </c>
    </row>
    <row r="778" spans="10:11" hidden="1" x14ac:dyDescent="0.3">
      <c r="J778" s="2" t="str">
        <f t="shared" si="12"/>
        <v>NO</v>
      </c>
      <c r="K778" s="2" t="e">
        <f>VLOOKUP(F778,Munka1!A:A,1,0)</f>
        <v>#N/A</v>
      </c>
    </row>
    <row r="779" spans="10:11" hidden="1" x14ac:dyDescent="0.3">
      <c r="J779" s="2" t="str">
        <f t="shared" si="12"/>
        <v>NO</v>
      </c>
      <c r="K779" s="2" t="e">
        <f>VLOOKUP(F779,Munka1!A:A,1,0)</f>
        <v>#N/A</v>
      </c>
    </row>
    <row r="780" spans="10:11" hidden="1" x14ac:dyDescent="0.3">
      <c r="J780" s="2" t="str">
        <f t="shared" si="12"/>
        <v>NO</v>
      </c>
      <c r="K780" s="2" t="e">
        <f>VLOOKUP(F780,Munka1!A:A,1,0)</f>
        <v>#N/A</v>
      </c>
    </row>
    <row r="781" spans="10:11" hidden="1" x14ac:dyDescent="0.3">
      <c r="J781" s="2" t="str">
        <f t="shared" si="12"/>
        <v>NO</v>
      </c>
      <c r="K781" s="2" t="e">
        <f>VLOOKUP(F781,Munka1!A:A,1,0)</f>
        <v>#N/A</v>
      </c>
    </row>
    <row r="782" spans="10:11" hidden="1" x14ac:dyDescent="0.3">
      <c r="J782" s="2" t="str">
        <f t="shared" si="12"/>
        <v>NO</v>
      </c>
      <c r="K782" s="2" t="e">
        <f>VLOOKUP(F782,Munka1!A:A,1,0)</f>
        <v>#N/A</v>
      </c>
    </row>
    <row r="783" spans="10:11" hidden="1" x14ac:dyDescent="0.3">
      <c r="J783" s="2" t="str">
        <f t="shared" si="12"/>
        <v>NO</v>
      </c>
      <c r="K783" s="2" t="e">
        <f>VLOOKUP(F783,Munka1!A:A,1,0)</f>
        <v>#N/A</v>
      </c>
    </row>
    <row r="784" spans="10:11" hidden="1" x14ac:dyDescent="0.3">
      <c r="J784" s="2" t="str">
        <f t="shared" si="12"/>
        <v>NO</v>
      </c>
      <c r="K784" s="2" t="e">
        <f>VLOOKUP(F784,Munka1!A:A,1,0)</f>
        <v>#N/A</v>
      </c>
    </row>
    <row r="785" spans="10:11" hidden="1" x14ac:dyDescent="0.3">
      <c r="J785" s="2" t="str">
        <f t="shared" si="12"/>
        <v>NO</v>
      </c>
      <c r="K785" s="2" t="e">
        <f>VLOOKUP(F785,Munka1!A:A,1,0)</f>
        <v>#N/A</v>
      </c>
    </row>
    <row r="786" spans="10:11" hidden="1" x14ac:dyDescent="0.3">
      <c r="J786" s="2" t="str">
        <f t="shared" si="12"/>
        <v>NO</v>
      </c>
      <c r="K786" s="2" t="e">
        <f>VLOOKUP(F786,Munka1!A:A,1,0)</f>
        <v>#N/A</v>
      </c>
    </row>
    <row r="787" spans="10:11" hidden="1" x14ac:dyDescent="0.3">
      <c r="J787" s="2" t="str">
        <f t="shared" si="12"/>
        <v>NO</v>
      </c>
      <c r="K787" s="2" t="e">
        <f>VLOOKUP(F787,Munka1!A:A,1,0)</f>
        <v>#N/A</v>
      </c>
    </row>
    <row r="788" spans="10:11" hidden="1" x14ac:dyDescent="0.3">
      <c r="J788" s="2" t="str">
        <f t="shared" si="12"/>
        <v>NO</v>
      </c>
      <c r="K788" s="2" t="e">
        <f>VLOOKUP(F788,Munka1!A:A,1,0)</f>
        <v>#N/A</v>
      </c>
    </row>
    <row r="789" spans="10:11" hidden="1" x14ac:dyDescent="0.3">
      <c r="J789" s="2" t="str">
        <f t="shared" si="12"/>
        <v>NO</v>
      </c>
      <c r="K789" s="2" t="e">
        <f>VLOOKUP(F789,Munka1!A:A,1,0)</f>
        <v>#N/A</v>
      </c>
    </row>
    <row r="790" spans="10:11" hidden="1" x14ac:dyDescent="0.3">
      <c r="J790" s="2" t="str">
        <f t="shared" si="12"/>
        <v>NO</v>
      </c>
      <c r="K790" s="2" t="e">
        <f>VLOOKUP(F790,Munka1!A:A,1,0)</f>
        <v>#N/A</v>
      </c>
    </row>
    <row r="791" spans="10:11" hidden="1" x14ac:dyDescent="0.3">
      <c r="J791" s="2" t="str">
        <f t="shared" si="12"/>
        <v>NO</v>
      </c>
      <c r="K791" s="2" t="e">
        <f>VLOOKUP(F791,Munka1!A:A,1,0)</f>
        <v>#N/A</v>
      </c>
    </row>
    <row r="792" spans="10:11" hidden="1" x14ac:dyDescent="0.3">
      <c r="J792" s="2" t="str">
        <f t="shared" si="12"/>
        <v>NO</v>
      </c>
      <c r="K792" s="2" t="e">
        <f>VLOOKUP(F792,Munka1!A:A,1,0)</f>
        <v>#N/A</v>
      </c>
    </row>
    <row r="793" spans="10:11" hidden="1" x14ac:dyDescent="0.3">
      <c r="J793" s="2" t="str">
        <f t="shared" si="12"/>
        <v>NO</v>
      </c>
      <c r="K793" s="2" t="e">
        <f>VLOOKUP(F793,Munka1!A:A,1,0)</f>
        <v>#N/A</v>
      </c>
    </row>
    <row r="794" spans="10:11" hidden="1" x14ac:dyDescent="0.3">
      <c r="J794" s="2" t="str">
        <f t="shared" si="12"/>
        <v>NO</v>
      </c>
      <c r="K794" s="2" t="e">
        <f>VLOOKUP(F794,Munka1!A:A,1,0)</f>
        <v>#N/A</v>
      </c>
    </row>
    <row r="795" spans="10:11" hidden="1" x14ac:dyDescent="0.3">
      <c r="J795" s="2" t="str">
        <f t="shared" si="12"/>
        <v>NO</v>
      </c>
      <c r="K795" s="2" t="e">
        <f>VLOOKUP(F795,Munka1!A:A,1,0)</f>
        <v>#N/A</v>
      </c>
    </row>
    <row r="796" spans="10:11" hidden="1" x14ac:dyDescent="0.3">
      <c r="J796" s="2" t="str">
        <f t="shared" si="12"/>
        <v>NO</v>
      </c>
      <c r="K796" s="2" t="e">
        <f>VLOOKUP(F796,Munka1!A:A,1,0)</f>
        <v>#N/A</v>
      </c>
    </row>
    <row r="797" spans="10:11" hidden="1" x14ac:dyDescent="0.3">
      <c r="J797" s="2" t="str">
        <f t="shared" si="12"/>
        <v>NO</v>
      </c>
      <c r="K797" s="2" t="e">
        <f>VLOOKUP(F797,Munka1!A:A,1,0)</f>
        <v>#N/A</v>
      </c>
    </row>
    <row r="798" spans="10:11" hidden="1" x14ac:dyDescent="0.3">
      <c r="J798" s="2" t="str">
        <f t="shared" si="12"/>
        <v>NO</v>
      </c>
      <c r="K798" s="2" t="e">
        <f>VLOOKUP(F798,Munka1!A:A,1,0)</f>
        <v>#N/A</v>
      </c>
    </row>
    <row r="799" spans="10:11" hidden="1" x14ac:dyDescent="0.3">
      <c r="J799" s="2" t="str">
        <f t="shared" si="12"/>
        <v>NO</v>
      </c>
      <c r="K799" s="2" t="e">
        <f>VLOOKUP(F799,Munka1!A:A,1,0)</f>
        <v>#N/A</v>
      </c>
    </row>
    <row r="800" spans="10:11" hidden="1" x14ac:dyDescent="0.3">
      <c r="J800" s="2" t="str">
        <f t="shared" si="12"/>
        <v>NO</v>
      </c>
      <c r="K800" s="2" t="e">
        <f>VLOOKUP(F800,Munka1!A:A,1,0)</f>
        <v>#N/A</v>
      </c>
    </row>
    <row r="801" spans="10:11" hidden="1" x14ac:dyDescent="0.3">
      <c r="J801" s="2" t="str">
        <f t="shared" si="12"/>
        <v>NO</v>
      </c>
      <c r="K801" s="2" t="e">
        <f>VLOOKUP(F801,Munka1!A:A,1,0)</f>
        <v>#N/A</v>
      </c>
    </row>
    <row r="802" spans="10:11" hidden="1" x14ac:dyDescent="0.3">
      <c r="J802" s="2" t="str">
        <f t="shared" si="12"/>
        <v>NO</v>
      </c>
      <c r="K802" s="2" t="e">
        <f>VLOOKUP(F802,Munka1!A:A,1,0)</f>
        <v>#N/A</v>
      </c>
    </row>
    <row r="803" spans="10:11" hidden="1" x14ac:dyDescent="0.3">
      <c r="J803" s="2" t="str">
        <f t="shared" si="12"/>
        <v>NO</v>
      </c>
      <c r="K803" s="2" t="e">
        <f>VLOOKUP(F803,Munka1!A:A,1,0)</f>
        <v>#N/A</v>
      </c>
    </row>
    <row r="804" spans="10:11" hidden="1" x14ac:dyDescent="0.3">
      <c r="J804" s="2" t="str">
        <f t="shared" si="12"/>
        <v>NO</v>
      </c>
      <c r="K804" s="2" t="e">
        <f>VLOOKUP(F804,Munka1!A:A,1,0)</f>
        <v>#N/A</v>
      </c>
    </row>
    <row r="805" spans="10:11" hidden="1" x14ac:dyDescent="0.3">
      <c r="J805" s="2" t="str">
        <f t="shared" si="12"/>
        <v>NO</v>
      </c>
      <c r="K805" s="2" t="e">
        <f>VLOOKUP(F805,Munka1!A:A,1,0)</f>
        <v>#N/A</v>
      </c>
    </row>
    <row r="806" spans="10:11" hidden="1" x14ac:dyDescent="0.3">
      <c r="J806" s="2" t="str">
        <f t="shared" si="12"/>
        <v>NO</v>
      </c>
      <c r="K806" s="2" t="e">
        <f>VLOOKUP(F806,Munka1!A:A,1,0)</f>
        <v>#N/A</v>
      </c>
    </row>
    <row r="807" spans="10:11" hidden="1" x14ac:dyDescent="0.3">
      <c r="J807" s="2" t="str">
        <f t="shared" si="12"/>
        <v>NO</v>
      </c>
      <c r="K807" s="2" t="e">
        <f>VLOOKUP(F807,Munka1!A:A,1,0)</f>
        <v>#N/A</v>
      </c>
    </row>
    <row r="808" spans="10:11" hidden="1" x14ac:dyDescent="0.3">
      <c r="J808" s="2" t="str">
        <f t="shared" si="12"/>
        <v>NO</v>
      </c>
      <c r="K808" s="2" t="e">
        <f>VLOOKUP(F808,Munka1!A:A,1,0)</f>
        <v>#N/A</v>
      </c>
    </row>
    <row r="809" spans="10:11" hidden="1" x14ac:dyDescent="0.3">
      <c r="J809" s="2" t="str">
        <f t="shared" si="12"/>
        <v>NO</v>
      </c>
      <c r="K809" s="2" t="e">
        <f>VLOOKUP(F809,Munka1!A:A,1,0)</f>
        <v>#N/A</v>
      </c>
    </row>
    <row r="810" spans="10:11" hidden="1" x14ac:dyDescent="0.3">
      <c r="J810" s="2" t="str">
        <f t="shared" si="12"/>
        <v>NO</v>
      </c>
      <c r="K810" s="2" t="e">
        <f>VLOOKUP(F810,Munka1!A:A,1,0)</f>
        <v>#N/A</v>
      </c>
    </row>
    <row r="811" spans="10:11" hidden="1" x14ac:dyDescent="0.3">
      <c r="J811" s="2" t="str">
        <f t="shared" si="12"/>
        <v>NO</v>
      </c>
      <c r="K811" s="2" t="e">
        <f>VLOOKUP(F811,Munka1!A:A,1,0)</f>
        <v>#N/A</v>
      </c>
    </row>
    <row r="812" spans="10:11" hidden="1" x14ac:dyDescent="0.3">
      <c r="J812" s="2" t="str">
        <f t="shared" si="12"/>
        <v>NO</v>
      </c>
      <c r="K812" s="2" t="e">
        <f>VLOOKUP(F812,Munka1!A:A,1,0)</f>
        <v>#N/A</v>
      </c>
    </row>
    <row r="813" spans="10:11" hidden="1" x14ac:dyDescent="0.3">
      <c r="J813" s="2" t="str">
        <f t="shared" si="12"/>
        <v>NO</v>
      </c>
      <c r="K813" s="2" t="e">
        <f>VLOOKUP(F813,Munka1!A:A,1,0)</f>
        <v>#N/A</v>
      </c>
    </row>
    <row r="814" spans="10:11" hidden="1" x14ac:dyDescent="0.3">
      <c r="J814" s="2" t="str">
        <f t="shared" si="12"/>
        <v>NO</v>
      </c>
      <c r="K814" s="2" t="e">
        <f>VLOOKUP(F814,Munka1!A:A,1,0)</f>
        <v>#N/A</v>
      </c>
    </row>
    <row r="815" spans="10:11" hidden="1" x14ac:dyDescent="0.3">
      <c r="J815" s="2" t="str">
        <f t="shared" si="12"/>
        <v>NO</v>
      </c>
      <c r="K815" s="2" t="e">
        <f>VLOOKUP(F815,Munka1!A:A,1,0)</f>
        <v>#N/A</v>
      </c>
    </row>
    <row r="816" spans="10:11" hidden="1" x14ac:dyDescent="0.3">
      <c r="J816" s="2" t="str">
        <f t="shared" si="12"/>
        <v>NO</v>
      </c>
      <c r="K816" s="2" t="e">
        <f>VLOOKUP(F816,Munka1!A:A,1,0)</f>
        <v>#N/A</v>
      </c>
    </row>
    <row r="817" spans="10:11" hidden="1" x14ac:dyDescent="0.3">
      <c r="J817" s="2" t="str">
        <f t="shared" si="12"/>
        <v>NO</v>
      </c>
      <c r="K817" s="2" t="e">
        <f>VLOOKUP(F817,Munka1!A:A,1,0)</f>
        <v>#N/A</v>
      </c>
    </row>
    <row r="818" spans="10:11" hidden="1" x14ac:dyDescent="0.3">
      <c r="J818" s="2" t="str">
        <f t="shared" si="12"/>
        <v>NO</v>
      </c>
      <c r="K818" s="2" t="e">
        <f>VLOOKUP(F818,Munka1!A:A,1,0)</f>
        <v>#N/A</v>
      </c>
    </row>
    <row r="819" spans="10:11" hidden="1" x14ac:dyDescent="0.3">
      <c r="J819" s="2" t="str">
        <f t="shared" si="12"/>
        <v>NO</v>
      </c>
      <c r="K819" s="2" t="e">
        <f>VLOOKUP(F819,Munka1!A:A,1,0)</f>
        <v>#N/A</v>
      </c>
    </row>
    <row r="820" spans="10:11" hidden="1" x14ac:dyDescent="0.3">
      <c r="J820" s="2" t="str">
        <f t="shared" si="12"/>
        <v>NO</v>
      </c>
      <c r="K820" s="2" t="e">
        <f>VLOOKUP(F820,Munka1!A:A,1,0)</f>
        <v>#N/A</v>
      </c>
    </row>
    <row r="821" spans="10:11" hidden="1" x14ac:dyDescent="0.3">
      <c r="J821" s="2" t="str">
        <f t="shared" si="12"/>
        <v>NO</v>
      </c>
      <c r="K821" s="2" t="e">
        <f>VLOOKUP(F821,Munka1!A:A,1,0)</f>
        <v>#N/A</v>
      </c>
    </row>
    <row r="822" spans="10:11" hidden="1" x14ac:dyDescent="0.3">
      <c r="J822" s="2" t="str">
        <f t="shared" si="12"/>
        <v>NO</v>
      </c>
      <c r="K822" s="2" t="e">
        <f>VLOOKUP(F822,Munka1!A:A,1,0)</f>
        <v>#N/A</v>
      </c>
    </row>
    <row r="823" spans="10:11" hidden="1" x14ac:dyDescent="0.3">
      <c r="J823" s="2" t="str">
        <f t="shared" si="12"/>
        <v>NO</v>
      </c>
      <c r="K823" s="2" t="e">
        <f>VLOOKUP(F823,Munka1!A:A,1,0)</f>
        <v>#N/A</v>
      </c>
    </row>
    <row r="824" spans="10:11" hidden="1" x14ac:dyDescent="0.3">
      <c r="J824" s="2" t="str">
        <f t="shared" si="12"/>
        <v>NO</v>
      </c>
      <c r="K824" s="2" t="e">
        <f>VLOOKUP(F824,Munka1!A:A,1,0)</f>
        <v>#N/A</v>
      </c>
    </row>
    <row r="825" spans="10:11" hidden="1" x14ac:dyDescent="0.3">
      <c r="J825" s="2" t="str">
        <f t="shared" si="12"/>
        <v>NO</v>
      </c>
      <c r="K825" s="2" t="e">
        <f>VLOOKUP(F825,Munka1!A:A,1,0)</f>
        <v>#N/A</v>
      </c>
    </row>
    <row r="826" spans="10:11" hidden="1" x14ac:dyDescent="0.3">
      <c r="J826" s="2" t="str">
        <f t="shared" si="12"/>
        <v>NO</v>
      </c>
      <c r="K826" s="2" t="e">
        <f>VLOOKUP(F826,Munka1!A:A,1,0)</f>
        <v>#N/A</v>
      </c>
    </row>
    <row r="827" spans="10:11" hidden="1" x14ac:dyDescent="0.3">
      <c r="J827" s="2" t="str">
        <f t="shared" si="12"/>
        <v>NO</v>
      </c>
      <c r="K827" s="2" t="e">
        <f>VLOOKUP(F827,Munka1!A:A,1,0)</f>
        <v>#N/A</v>
      </c>
    </row>
    <row r="828" spans="10:11" hidden="1" x14ac:dyDescent="0.3">
      <c r="J828" s="2" t="str">
        <f t="shared" si="12"/>
        <v>NO</v>
      </c>
      <c r="K828" s="2" t="e">
        <f>VLOOKUP(F828,Munka1!A:A,1,0)</f>
        <v>#N/A</v>
      </c>
    </row>
    <row r="829" spans="10:11" hidden="1" x14ac:dyDescent="0.3">
      <c r="J829" s="2" t="str">
        <f t="shared" si="12"/>
        <v>NO</v>
      </c>
      <c r="K829" s="2" t="e">
        <f>VLOOKUP(F829,Munka1!A:A,1,0)</f>
        <v>#N/A</v>
      </c>
    </row>
    <row r="830" spans="10:11" hidden="1" x14ac:dyDescent="0.3">
      <c r="J830" s="2" t="str">
        <f t="shared" si="12"/>
        <v>NO</v>
      </c>
      <c r="K830" s="2" t="e">
        <f>VLOOKUP(F830,Munka1!A:A,1,0)</f>
        <v>#N/A</v>
      </c>
    </row>
    <row r="831" spans="10:11" hidden="1" x14ac:dyDescent="0.3">
      <c r="J831" s="2" t="str">
        <f t="shared" si="12"/>
        <v>NO</v>
      </c>
      <c r="K831" s="2" t="e">
        <f>VLOOKUP(F831,Munka1!A:A,1,0)</f>
        <v>#N/A</v>
      </c>
    </row>
    <row r="832" spans="10:11" hidden="1" x14ac:dyDescent="0.3">
      <c r="J832" s="2" t="str">
        <f t="shared" si="12"/>
        <v>NO</v>
      </c>
      <c r="K832" s="2" t="e">
        <f>VLOOKUP(F832,Munka1!A:A,1,0)</f>
        <v>#N/A</v>
      </c>
    </row>
    <row r="833" spans="10:11" hidden="1" x14ac:dyDescent="0.3">
      <c r="J833" s="2" t="str">
        <f t="shared" si="12"/>
        <v>NO</v>
      </c>
      <c r="K833" s="2" t="e">
        <f>VLOOKUP(F833,Munka1!A:A,1,0)</f>
        <v>#N/A</v>
      </c>
    </row>
    <row r="834" spans="10:11" hidden="1" x14ac:dyDescent="0.3">
      <c r="J834" s="2" t="str">
        <f t="shared" si="12"/>
        <v>NO</v>
      </c>
      <c r="K834" s="2" t="e">
        <f>VLOOKUP(F834,Munka1!A:A,1,0)</f>
        <v>#N/A</v>
      </c>
    </row>
    <row r="835" spans="10:11" hidden="1" x14ac:dyDescent="0.3">
      <c r="J835" s="2" t="str">
        <f t="shared" ref="J835:J898" si="13">IF(OR(F835="",F835="_",LEFT(F835,5)="SPARE",F835="N/A"),"NO","YES")</f>
        <v>NO</v>
      </c>
      <c r="K835" s="2" t="e">
        <f>VLOOKUP(F835,Munka1!A:A,1,0)</f>
        <v>#N/A</v>
      </c>
    </row>
    <row r="836" spans="10:11" hidden="1" x14ac:dyDescent="0.3">
      <c r="J836" s="2" t="str">
        <f t="shared" si="13"/>
        <v>NO</v>
      </c>
      <c r="K836" s="2" t="e">
        <f>VLOOKUP(F836,Munka1!A:A,1,0)</f>
        <v>#N/A</v>
      </c>
    </row>
    <row r="837" spans="10:11" hidden="1" x14ac:dyDescent="0.3">
      <c r="J837" s="2" t="str">
        <f t="shared" si="13"/>
        <v>NO</v>
      </c>
      <c r="K837" s="2" t="e">
        <f>VLOOKUP(F837,Munka1!A:A,1,0)</f>
        <v>#N/A</v>
      </c>
    </row>
    <row r="838" spans="10:11" hidden="1" x14ac:dyDescent="0.3">
      <c r="J838" s="2" t="str">
        <f t="shared" si="13"/>
        <v>NO</v>
      </c>
      <c r="K838" s="2" t="e">
        <f>VLOOKUP(F838,Munka1!A:A,1,0)</f>
        <v>#N/A</v>
      </c>
    </row>
    <row r="839" spans="10:11" hidden="1" x14ac:dyDescent="0.3">
      <c r="J839" s="2" t="str">
        <f t="shared" si="13"/>
        <v>NO</v>
      </c>
      <c r="K839" s="2" t="e">
        <f>VLOOKUP(F839,Munka1!A:A,1,0)</f>
        <v>#N/A</v>
      </c>
    </row>
    <row r="840" spans="10:11" hidden="1" x14ac:dyDescent="0.3">
      <c r="J840" s="2" t="str">
        <f t="shared" si="13"/>
        <v>NO</v>
      </c>
      <c r="K840" s="2" t="e">
        <f>VLOOKUP(F840,Munka1!A:A,1,0)</f>
        <v>#N/A</v>
      </c>
    </row>
    <row r="841" spans="10:11" hidden="1" x14ac:dyDescent="0.3">
      <c r="J841" s="2" t="str">
        <f t="shared" si="13"/>
        <v>NO</v>
      </c>
      <c r="K841" s="2" t="e">
        <f>VLOOKUP(F841,Munka1!A:A,1,0)</f>
        <v>#N/A</v>
      </c>
    </row>
    <row r="842" spans="10:11" hidden="1" x14ac:dyDescent="0.3">
      <c r="J842" s="2" t="str">
        <f t="shared" si="13"/>
        <v>NO</v>
      </c>
      <c r="K842" s="2" t="e">
        <f>VLOOKUP(F842,Munka1!A:A,1,0)</f>
        <v>#N/A</v>
      </c>
    </row>
    <row r="843" spans="10:11" hidden="1" x14ac:dyDescent="0.3">
      <c r="J843" s="2" t="str">
        <f t="shared" si="13"/>
        <v>NO</v>
      </c>
      <c r="K843" s="2" t="e">
        <f>VLOOKUP(F843,Munka1!A:A,1,0)</f>
        <v>#N/A</v>
      </c>
    </row>
    <row r="844" spans="10:11" hidden="1" x14ac:dyDescent="0.3">
      <c r="J844" s="2" t="str">
        <f t="shared" si="13"/>
        <v>NO</v>
      </c>
      <c r="K844" s="2" t="e">
        <f>VLOOKUP(F844,Munka1!A:A,1,0)</f>
        <v>#N/A</v>
      </c>
    </row>
    <row r="845" spans="10:11" hidden="1" x14ac:dyDescent="0.3">
      <c r="J845" s="2" t="str">
        <f t="shared" si="13"/>
        <v>NO</v>
      </c>
      <c r="K845" s="2" t="e">
        <f>VLOOKUP(F845,Munka1!A:A,1,0)</f>
        <v>#N/A</v>
      </c>
    </row>
    <row r="846" spans="10:11" hidden="1" x14ac:dyDescent="0.3">
      <c r="J846" s="2" t="str">
        <f t="shared" si="13"/>
        <v>NO</v>
      </c>
      <c r="K846" s="2" t="e">
        <f>VLOOKUP(F846,Munka1!A:A,1,0)</f>
        <v>#N/A</v>
      </c>
    </row>
    <row r="847" spans="10:11" hidden="1" x14ac:dyDescent="0.3">
      <c r="J847" s="2" t="str">
        <f t="shared" si="13"/>
        <v>NO</v>
      </c>
      <c r="K847" s="2" t="e">
        <f>VLOOKUP(F847,Munka1!A:A,1,0)</f>
        <v>#N/A</v>
      </c>
    </row>
    <row r="848" spans="10:11" hidden="1" x14ac:dyDescent="0.3">
      <c r="J848" s="2" t="str">
        <f t="shared" si="13"/>
        <v>NO</v>
      </c>
      <c r="K848" s="2" t="e">
        <f>VLOOKUP(F848,Munka1!A:A,1,0)</f>
        <v>#N/A</v>
      </c>
    </row>
    <row r="849" spans="10:11" hidden="1" x14ac:dyDescent="0.3">
      <c r="J849" s="2" t="str">
        <f t="shared" si="13"/>
        <v>NO</v>
      </c>
      <c r="K849" s="2" t="e">
        <f>VLOOKUP(F849,Munka1!A:A,1,0)</f>
        <v>#N/A</v>
      </c>
    </row>
    <row r="850" spans="10:11" hidden="1" x14ac:dyDescent="0.3">
      <c r="J850" s="2" t="str">
        <f t="shared" si="13"/>
        <v>NO</v>
      </c>
      <c r="K850" s="2" t="e">
        <f>VLOOKUP(F850,Munka1!A:A,1,0)</f>
        <v>#N/A</v>
      </c>
    </row>
    <row r="851" spans="10:11" hidden="1" x14ac:dyDescent="0.3">
      <c r="J851" s="2" t="str">
        <f t="shared" si="13"/>
        <v>NO</v>
      </c>
      <c r="K851" s="2" t="e">
        <f>VLOOKUP(F851,Munka1!A:A,1,0)</f>
        <v>#N/A</v>
      </c>
    </row>
    <row r="852" spans="10:11" hidden="1" x14ac:dyDescent="0.3">
      <c r="J852" s="2" t="str">
        <f t="shared" si="13"/>
        <v>NO</v>
      </c>
      <c r="K852" s="2" t="e">
        <f>VLOOKUP(F852,Munka1!A:A,1,0)</f>
        <v>#N/A</v>
      </c>
    </row>
    <row r="853" spans="10:11" hidden="1" x14ac:dyDescent="0.3">
      <c r="J853" s="2" t="str">
        <f t="shared" si="13"/>
        <v>NO</v>
      </c>
      <c r="K853" s="2" t="e">
        <f>VLOOKUP(F853,Munka1!A:A,1,0)</f>
        <v>#N/A</v>
      </c>
    </row>
    <row r="854" spans="10:11" hidden="1" x14ac:dyDescent="0.3">
      <c r="J854" s="2" t="str">
        <f t="shared" si="13"/>
        <v>NO</v>
      </c>
      <c r="K854" s="2" t="e">
        <f>VLOOKUP(F854,Munka1!A:A,1,0)</f>
        <v>#N/A</v>
      </c>
    </row>
    <row r="855" spans="10:11" hidden="1" x14ac:dyDescent="0.3">
      <c r="J855" s="2" t="str">
        <f t="shared" si="13"/>
        <v>NO</v>
      </c>
      <c r="K855" s="2" t="e">
        <f>VLOOKUP(F855,Munka1!A:A,1,0)</f>
        <v>#N/A</v>
      </c>
    </row>
    <row r="856" spans="10:11" hidden="1" x14ac:dyDescent="0.3">
      <c r="J856" s="2" t="str">
        <f t="shared" si="13"/>
        <v>NO</v>
      </c>
      <c r="K856" s="2" t="e">
        <f>VLOOKUP(F856,Munka1!A:A,1,0)</f>
        <v>#N/A</v>
      </c>
    </row>
    <row r="857" spans="10:11" hidden="1" x14ac:dyDescent="0.3">
      <c r="J857" s="2" t="str">
        <f t="shared" si="13"/>
        <v>NO</v>
      </c>
      <c r="K857" s="2" t="e">
        <f>VLOOKUP(F857,Munka1!A:A,1,0)</f>
        <v>#N/A</v>
      </c>
    </row>
    <row r="858" spans="10:11" hidden="1" x14ac:dyDescent="0.3">
      <c r="J858" s="2" t="str">
        <f t="shared" si="13"/>
        <v>NO</v>
      </c>
      <c r="K858" s="2" t="e">
        <f>VLOOKUP(F858,Munka1!A:A,1,0)</f>
        <v>#N/A</v>
      </c>
    </row>
    <row r="859" spans="10:11" hidden="1" x14ac:dyDescent="0.3">
      <c r="J859" s="2" t="str">
        <f t="shared" si="13"/>
        <v>NO</v>
      </c>
      <c r="K859" s="2" t="e">
        <f>VLOOKUP(F859,Munka1!A:A,1,0)</f>
        <v>#N/A</v>
      </c>
    </row>
    <row r="860" spans="10:11" hidden="1" x14ac:dyDescent="0.3">
      <c r="J860" s="2" t="str">
        <f t="shared" si="13"/>
        <v>NO</v>
      </c>
      <c r="K860" s="2" t="e">
        <f>VLOOKUP(F860,Munka1!A:A,1,0)</f>
        <v>#N/A</v>
      </c>
    </row>
    <row r="861" spans="10:11" hidden="1" x14ac:dyDescent="0.3">
      <c r="J861" s="2" t="str">
        <f t="shared" si="13"/>
        <v>NO</v>
      </c>
      <c r="K861" s="2" t="e">
        <f>VLOOKUP(F861,Munka1!A:A,1,0)</f>
        <v>#N/A</v>
      </c>
    </row>
    <row r="862" spans="10:11" hidden="1" x14ac:dyDescent="0.3">
      <c r="J862" s="2" t="str">
        <f t="shared" si="13"/>
        <v>NO</v>
      </c>
      <c r="K862" s="2" t="e">
        <f>VLOOKUP(F862,Munka1!A:A,1,0)</f>
        <v>#N/A</v>
      </c>
    </row>
    <row r="863" spans="10:11" hidden="1" x14ac:dyDescent="0.3">
      <c r="J863" s="2" t="str">
        <f t="shared" si="13"/>
        <v>NO</v>
      </c>
      <c r="K863" s="2" t="e">
        <f>VLOOKUP(F863,Munka1!A:A,1,0)</f>
        <v>#N/A</v>
      </c>
    </row>
    <row r="864" spans="10:11" hidden="1" x14ac:dyDescent="0.3">
      <c r="J864" s="2" t="str">
        <f t="shared" si="13"/>
        <v>NO</v>
      </c>
      <c r="K864" s="2" t="e">
        <f>VLOOKUP(F864,Munka1!A:A,1,0)</f>
        <v>#N/A</v>
      </c>
    </row>
    <row r="865" spans="10:11" hidden="1" x14ac:dyDescent="0.3">
      <c r="J865" s="2" t="str">
        <f t="shared" si="13"/>
        <v>NO</v>
      </c>
      <c r="K865" s="2" t="e">
        <f>VLOOKUP(F865,Munka1!A:A,1,0)</f>
        <v>#N/A</v>
      </c>
    </row>
    <row r="866" spans="10:11" hidden="1" x14ac:dyDescent="0.3">
      <c r="J866" s="2" t="str">
        <f t="shared" si="13"/>
        <v>NO</v>
      </c>
      <c r="K866" s="2" t="e">
        <f>VLOOKUP(F866,Munka1!A:A,1,0)</f>
        <v>#N/A</v>
      </c>
    </row>
    <row r="867" spans="10:11" hidden="1" x14ac:dyDescent="0.3">
      <c r="J867" s="2" t="str">
        <f t="shared" si="13"/>
        <v>NO</v>
      </c>
      <c r="K867" s="2" t="e">
        <f>VLOOKUP(F867,Munka1!A:A,1,0)</f>
        <v>#N/A</v>
      </c>
    </row>
    <row r="868" spans="10:11" hidden="1" x14ac:dyDescent="0.3">
      <c r="J868" s="2" t="str">
        <f t="shared" si="13"/>
        <v>NO</v>
      </c>
      <c r="K868" s="2" t="e">
        <f>VLOOKUP(F868,Munka1!A:A,1,0)</f>
        <v>#N/A</v>
      </c>
    </row>
    <row r="869" spans="10:11" hidden="1" x14ac:dyDescent="0.3">
      <c r="J869" s="2" t="str">
        <f t="shared" si="13"/>
        <v>NO</v>
      </c>
      <c r="K869" s="2" t="e">
        <f>VLOOKUP(F869,Munka1!A:A,1,0)</f>
        <v>#N/A</v>
      </c>
    </row>
    <row r="870" spans="10:11" hidden="1" x14ac:dyDescent="0.3">
      <c r="J870" s="2" t="str">
        <f t="shared" si="13"/>
        <v>NO</v>
      </c>
      <c r="K870" s="2" t="e">
        <f>VLOOKUP(F870,Munka1!A:A,1,0)</f>
        <v>#N/A</v>
      </c>
    </row>
    <row r="871" spans="10:11" hidden="1" x14ac:dyDescent="0.3">
      <c r="J871" s="2" t="str">
        <f t="shared" si="13"/>
        <v>NO</v>
      </c>
      <c r="K871" s="2" t="e">
        <f>VLOOKUP(F871,Munka1!A:A,1,0)</f>
        <v>#N/A</v>
      </c>
    </row>
    <row r="872" spans="10:11" hidden="1" x14ac:dyDescent="0.3">
      <c r="J872" s="2" t="str">
        <f t="shared" si="13"/>
        <v>NO</v>
      </c>
      <c r="K872" s="2" t="e">
        <f>VLOOKUP(F872,Munka1!A:A,1,0)</f>
        <v>#N/A</v>
      </c>
    </row>
    <row r="873" spans="10:11" hidden="1" x14ac:dyDescent="0.3">
      <c r="J873" s="2" t="str">
        <f t="shared" si="13"/>
        <v>NO</v>
      </c>
      <c r="K873" s="2" t="e">
        <f>VLOOKUP(F873,Munka1!A:A,1,0)</f>
        <v>#N/A</v>
      </c>
    </row>
    <row r="874" spans="10:11" hidden="1" x14ac:dyDescent="0.3">
      <c r="J874" s="2" t="str">
        <f t="shared" si="13"/>
        <v>NO</v>
      </c>
      <c r="K874" s="2" t="e">
        <f>VLOOKUP(F874,Munka1!A:A,1,0)</f>
        <v>#N/A</v>
      </c>
    </row>
    <row r="875" spans="10:11" hidden="1" x14ac:dyDescent="0.3">
      <c r="J875" s="2" t="str">
        <f t="shared" si="13"/>
        <v>NO</v>
      </c>
      <c r="K875" s="2" t="e">
        <f>VLOOKUP(F875,Munka1!A:A,1,0)</f>
        <v>#N/A</v>
      </c>
    </row>
    <row r="876" spans="10:11" hidden="1" x14ac:dyDescent="0.3">
      <c r="J876" s="2" t="str">
        <f t="shared" si="13"/>
        <v>NO</v>
      </c>
      <c r="K876" s="2" t="e">
        <f>VLOOKUP(F876,Munka1!A:A,1,0)</f>
        <v>#N/A</v>
      </c>
    </row>
    <row r="877" spans="10:11" hidden="1" x14ac:dyDescent="0.3">
      <c r="J877" s="2" t="str">
        <f t="shared" si="13"/>
        <v>NO</v>
      </c>
      <c r="K877" s="2" t="e">
        <f>VLOOKUP(F877,Munka1!A:A,1,0)</f>
        <v>#N/A</v>
      </c>
    </row>
    <row r="878" spans="10:11" hidden="1" x14ac:dyDescent="0.3">
      <c r="J878" s="2" t="str">
        <f t="shared" si="13"/>
        <v>NO</v>
      </c>
      <c r="K878" s="2" t="e">
        <f>VLOOKUP(F878,Munka1!A:A,1,0)</f>
        <v>#N/A</v>
      </c>
    </row>
    <row r="879" spans="10:11" hidden="1" x14ac:dyDescent="0.3">
      <c r="J879" s="2" t="str">
        <f t="shared" si="13"/>
        <v>NO</v>
      </c>
      <c r="K879" s="2" t="e">
        <f>VLOOKUP(F879,Munka1!A:A,1,0)</f>
        <v>#N/A</v>
      </c>
    </row>
    <row r="880" spans="10:11" hidden="1" x14ac:dyDescent="0.3">
      <c r="J880" s="2" t="str">
        <f t="shared" si="13"/>
        <v>NO</v>
      </c>
      <c r="K880" s="2" t="e">
        <f>VLOOKUP(F880,Munka1!A:A,1,0)</f>
        <v>#N/A</v>
      </c>
    </row>
    <row r="881" spans="10:11" hidden="1" x14ac:dyDescent="0.3">
      <c r="J881" s="2" t="str">
        <f t="shared" si="13"/>
        <v>NO</v>
      </c>
      <c r="K881" s="2" t="e">
        <f>VLOOKUP(F881,Munka1!A:A,1,0)</f>
        <v>#N/A</v>
      </c>
    </row>
    <row r="882" spans="10:11" hidden="1" x14ac:dyDescent="0.3">
      <c r="J882" s="2" t="str">
        <f t="shared" si="13"/>
        <v>NO</v>
      </c>
      <c r="K882" s="2" t="e">
        <f>VLOOKUP(F882,Munka1!A:A,1,0)</f>
        <v>#N/A</v>
      </c>
    </row>
    <row r="883" spans="10:11" hidden="1" x14ac:dyDescent="0.3">
      <c r="J883" s="2" t="str">
        <f t="shared" si="13"/>
        <v>NO</v>
      </c>
      <c r="K883" s="2" t="e">
        <f>VLOOKUP(F883,Munka1!A:A,1,0)</f>
        <v>#N/A</v>
      </c>
    </row>
    <row r="884" spans="10:11" hidden="1" x14ac:dyDescent="0.3">
      <c r="J884" s="2" t="str">
        <f t="shared" si="13"/>
        <v>NO</v>
      </c>
      <c r="K884" s="2" t="e">
        <f>VLOOKUP(F884,Munka1!A:A,1,0)</f>
        <v>#N/A</v>
      </c>
    </row>
    <row r="885" spans="10:11" hidden="1" x14ac:dyDescent="0.3">
      <c r="J885" s="2" t="str">
        <f t="shared" si="13"/>
        <v>NO</v>
      </c>
      <c r="K885" s="2" t="e">
        <f>VLOOKUP(F885,Munka1!A:A,1,0)</f>
        <v>#N/A</v>
      </c>
    </row>
    <row r="886" spans="10:11" hidden="1" x14ac:dyDescent="0.3">
      <c r="J886" s="2" t="str">
        <f t="shared" si="13"/>
        <v>NO</v>
      </c>
      <c r="K886" s="2" t="e">
        <f>VLOOKUP(F886,Munka1!A:A,1,0)</f>
        <v>#N/A</v>
      </c>
    </row>
    <row r="887" spans="10:11" hidden="1" x14ac:dyDescent="0.3">
      <c r="J887" s="2" t="str">
        <f t="shared" si="13"/>
        <v>NO</v>
      </c>
      <c r="K887" s="2" t="e">
        <f>VLOOKUP(F887,Munka1!A:A,1,0)</f>
        <v>#N/A</v>
      </c>
    </row>
    <row r="888" spans="10:11" hidden="1" x14ac:dyDescent="0.3">
      <c r="J888" s="2" t="str">
        <f t="shared" si="13"/>
        <v>NO</v>
      </c>
      <c r="K888" s="2" t="e">
        <f>VLOOKUP(F888,Munka1!A:A,1,0)</f>
        <v>#N/A</v>
      </c>
    </row>
    <row r="889" spans="10:11" hidden="1" x14ac:dyDescent="0.3">
      <c r="J889" s="2" t="str">
        <f t="shared" si="13"/>
        <v>NO</v>
      </c>
      <c r="K889" s="2" t="e">
        <f>VLOOKUP(F889,Munka1!A:A,1,0)</f>
        <v>#N/A</v>
      </c>
    </row>
    <row r="890" spans="10:11" hidden="1" x14ac:dyDescent="0.3">
      <c r="J890" s="2" t="str">
        <f t="shared" si="13"/>
        <v>NO</v>
      </c>
      <c r="K890" s="2" t="e">
        <f>VLOOKUP(F890,Munka1!A:A,1,0)</f>
        <v>#N/A</v>
      </c>
    </row>
    <row r="891" spans="10:11" hidden="1" x14ac:dyDescent="0.3">
      <c r="J891" s="2" t="str">
        <f t="shared" si="13"/>
        <v>NO</v>
      </c>
      <c r="K891" s="2" t="e">
        <f>VLOOKUP(F891,Munka1!A:A,1,0)</f>
        <v>#N/A</v>
      </c>
    </row>
    <row r="892" spans="10:11" hidden="1" x14ac:dyDescent="0.3">
      <c r="J892" s="2" t="str">
        <f t="shared" si="13"/>
        <v>NO</v>
      </c>
      <c r="K892" s="2" t="e">
        <f>VLOOKUP(F892,Munka1!A:A,1,0)</f>
        <v>#N/A</v>
      </c>
    </row>
    <row r="893" spans="10:11" hidden="1" x14ac:dyDescent="0.3">
      <c r="J893" s="2" t="str">
        <f t="shared" si="13"/>
        <v>NO</v>
      </c>
      <c r="K893" s="2" t="e">
        <f>VLOOKUP(F893,Munka1!A:A,1,0)</f>
        <v>#N/A</v>
      </c>
    </row>
    <row r="894" spans="10:11" hidden="1" x14ac:dyDescent="0.3">
      <c r="J894" s="2" t="str">
        <f t="shared" si="13"/>
        <v>NO</v>
      </c>
      <c r="K894" s="2" t="e">
        <f>VLOOKUP(F894,Munka1!A:A,1,0)</f>
        <v>#N/A</v>
      </c>
    </row>
    <row r="895" spans="10:11" hidden="1" x14ac:dyDescent="0.3">
      <c r="J895" s="2" t="str">
        <f t="shared" si="13"/>
        <v>NO</v>
      </c>
      <c r="K895" s="2" t="e">
        <f>VLOOKUP(F895,Munka1!A:A,1,0)</f>
        <v>#N/A</v>
      </c>
    </row>
    <row r="896" spans="10:11" hidden="1" x14ac:dyDescent="0.3">
      <c r="J896" s="2" t="str">
        <f t="shared" si="13"/>
        <v>NO</v>
      </c>
      <c r="K896" s="2" t="e">
        <f>VLOOKUP(F896,Munka1!A:A,1,0)</f>
        <v>#N/A</v>
      </c>
    </row>
    <row r="897" spans="10:11" hidden="1" x14ac:dyDescent="0.3">
      <c r="J897" s="2" t="str">
        <f t="shared" si="13"/>
        <v>NO</v>
      </c>
      <c r="K897" s="2" t="e">
        <f>VLOOKUP(F897,Munka1!A:A,1,0)</f>
        <v>#N/A</v>
      </c>
    </row>
    <row r="898" spans="10:11" hidden="1" x14ac:dyDescent="0.3">
      <c r="J898" s="2" t="str">
        <f t="shared" si="13"/>
        <v>NO</v>
      </c>
      <c r="K898" s="2" t="e">
        <f>VLOOKUP(F898,Munka1!A:A,1,0)</f>
        <v>#N/A</v>
      </c>
    </row>
    <row r="899" spans="10:11" hidden="1" x14ac:dyDescent="0.3">
      <c r="J899" s="2" t="str">
        <f t="shared" ref="J899:J962" si="14">IF(OR(F899="",F899="_",LEFT(F899,5)="SPARE",F899="N/A"),"NO","YES")</f>
        <v>NO</v>
      </c>
      <c r="K899" s="2" t="e">
        <f>VLOOKUP(F899,Munka1!A:A,1,0)</f>
        <v>#N/A</v>
      </c>
    </row>
    <row r="900" spans="10:11" hidden="1" x14ac:dyDescent="0.3">
      <c r="J900" s="2" t="str">
        <f t="shared" si="14"/>
        <v>NO</v>
      </c>
      <c r="K900" s="2" t="e">
        <f>VLOOKUP(F900,Munka1!A:A,1,0)</f>
        <v>#N/A</v>
      </c>
    </row>
    <row r="901" spans="10:11" hidden="1" x14ac:dyDescent="0.3">
      <c r="J901" s="2" t="str">
        <f t="shared" si="14"/>
        <v>NO</v>
      </c>
      <c r="K901" s="2" t="e">
        <f>VLOOKUP(F901,Munka1!A:A,1,0)</f>
        <v>#N/A</v>
      </c>
    </row>
    <row r="902" spans="10:11" hidden="1" x14ac:dyDescent="0.3">
      <c r="J902" s="2" t="str">
        <f t="shared" si="14"/>
        <v>NO</v>
      </c>
      <c r="K902" s="2" t="e">
        <f>VLOOKUP(F902,Munka1!A:A,1,0)</f>
        <v>#N/A</v>
      </c>
    </row>
    <row r="903" spans="10:11" hidden="1" x14ac:dyDescent="0.3">
      <c r="J903" s="2" t="str">
        <f t="shared" si="14"/>
        <v>NO</v>
      </c>
      <c r="K903" s="2" t="e">
        <f>VLOOKUP(F903,Munka1!A:A,1,0)</f>
        <v>#N/A</v>
      </c>
    </row>
    <row r="904" spans="10:11" hidden="1" x14ac:dyDescent="0.3">
      <c r="J904" s="2" t="str">
        <f t="shared" si="14"/>
        <v>NO</v>
      </c>
      <c r="K904" s="2" t="e">
        <f>VLOOKUP(F904,Munka1!A:A,1,0)</f>
        <v>#N/A</v>
      </c>
    </row>
    <row r="905" spans="10:11" hidden="1" x14ac:dyDescent="0.3">
      <c r="J905" s="2" t="str">
        <f t="shared" si="14"/>
        <v>NO</v>
      </c>
      <c r="K905" s="2" t="e">
        <f>VLOOKUP(F905,Munka1!A:A,1,0)</f>
        <v>#N/A</v>
      </c>
    </row>
    <row r="906" spans="10:11" hidden="1" x14ac:dyDescent="0.3">
      <c r="J906" s="2" t="str">
        <f t="shared" si="14"/>
        <v>NO</v>
      </c>
      <c r="K906" s="2" t="e">
        <f>VLOOKUP(F906,Munka1!A:A,1,0)</f>
        <v>#N/A</v>
      </c>
    </row>
    <row r="907" spans="10:11" hidden="1" x14ac:dyDescent="0.3">
      <c r="J907" s="2" t="str">
        <f t="shared" si="14"/>
        <v>NO</v>
      </c>
      <c r="K907" s="2" t="e">
        <f>VLOOKUP(F907,Munka1!A:A,1,0)</f>
        <v>#N/A</v>
      </c>
    </row>
    <row r="908" spans="10:11" hidden="1" x14ac:dyDescent="0.3">
      <c r="J908" s="2" t="str">
        <f t="shared" si="14"/>
        <v>NO</v>
      </c>
      <c r="K908" s="2" t="e">
        <f>VLOOKUP(F908,Munka1!A:A,1,0)</f>
        <v>#N/A</v>
      </c>
    </row>
    <row r="909" spans="10:11" hidden="1" x14ac:dyDescent="0.3">
      <c r="J909" s="2" t="str">
        <f t="shared" si="14"/>
        <v>NO</v>
      </c>
      <c r="K909" s="2" t="e">
        <f>VLOOKUP(F909,Munka1!A:A,1,0)</f>
        <v>#N/A</v>
      </c>
    </row>
    <row r="910" spans="10:11" hidden="1" x14ac:dyDescent="0.3">
      <c r="J910" s="2" t="str">
        <f t="shared" si="14"/>
        <v>NO</v>
      </c>
      <c r="K910" s="2" t="e">
        <f>VLOOKUP(F910,Munka1!A:A,1,0)</f>
        <v>#N/A</v>
      </c>
    </row>
    <row r="911" spans="10:11" hidden="1" x14ac:dyDescent="0.3">
      <c r="J911" s="2" t="str">
        <f t="shared" si="14"/>
        <v>NO</v>
      </c>
      <c r="K911" s="2" t="e">
        <f>VLOOKUP(F911,Munka1!A:A,1,0)</f>
        <v>#N/A</v>
      </c>
    </row>
    <row r="912" spans="10:11" hidden="1" x14ac:dyDescent="0.3">
      <c r="J912" s="2" t="str">
        <f t="shared" si="14"/>
        <v>NO</v>
      </c>
      <c r="K912" s="2" t="e">
        <f>VLOOKUP(F912,Munka1!A:A,1,0)</f>
        <v>#N/A</v>
      </c>
    </row>
    <row r="913" spans="10:11" hidden="1" x14ac:dyDescent="0.3">
      <c r="J913" s="2" t="str">
        <f t="shared" si="14"/>
        <v>NO</v>
      </c>
      <c r="K913" s="2" t="e">
        <f>VLOOKUP(F913,Munka1!A:A,1,0)</f>
        <v>#N/A</v>
      </c>
    </row>
    <row r="914" spans="10:11" hidden="1" x14ac:dyDescent="0.3">
      <c r="J914" s="2" t="str">
        <f t="shared" si="14"/>
        <v>NO</v>
      </c>
      <c r="K914" s="2" t="e">
        <f>VLOOKUP(F914,Munka1!A:A,1,0)</f>
        <v>#N/A</v>
      </c>
    </row>
    <row r="915" spans="10:11" hidden="1" x14ac:dyDescent="0.3">
      <c r="J915" s="2" t="str">
        <f t="shared" si="14"/>
        <v>NO</v>
      </c>
      <c r="K915" s="2" t="e">
        <f>VLOOKUP(F915,Munka1!A:A,1,0)</f>
        <v>#N/A</v>
      </c>
    </row>
    <row r="916" spans="10:11" hidden="1" x14ac:dyDescent="0.3">
      <c r="J916" s="2" t="str">
        <f t="shared" si="14"/>
        <v>NO</v>
      </c>
      <c r="K916" s="2" t="e">
        <f>VLOOKUP(F916,Munka1!A:A,1,0)</f>
        <v>#N/A</v>
      </c>
    </row>
    <row r="917" spans="10:11" hidden="1" x14ac:dyDescent="0.3">
      <c r="J917" s="2" t="str">
        <f t="shared" si="14"/>
        <v>NO</v>
      </c>
      <c r="K917" s="2" t="e">
        <f>VLOOKUP(F917,Munka1!A:A,1,0)</f>
        <v>#N/A</v>
      </c>
    </row>
    <row r="918" spans="10:11" hidden="1" x14ac:dyDescent="0.3">
      <c r="J918" s="2" t="str">
        <f t="shared" si="14"/>
        <v>NO</v>
      </c>
      <c r="K918" s="2" t="e">
        <f>VLOOKUP(F918,Munka1!A:A,1,0)</f>
        <v>#N/A</v>
      </c>
    </row>
    <row r="919" spans="10:11" hidden="1" x14ac:dyDescent="0.3">
      <c r="J919" s="2" t="str">
        <f t="shared" si="14"/>
        <v>NO</v>
      </c>
      <c r="K919" s="2" t="e">
        <f>VLOOKUP(F919,Munka1!A:A,1,0)</f>
        <v>#N/A</v>
      </c>
    </row>
    <row r="920" spans="10:11" hidden="1" x14ac:dyDescent="0.3">
      <c r="J920" s="2" t="str">
        <f t="shared" si="14"/>
        <v>NO</v>
      </c>
      <c r="K920" s="2" t="e">
        <f>VLOOKUP(F920,Munka1!A:A,1,0)</f>
        <v>#N/A</v>
      </c>
    </row>
    <row r="921" spans="10:11" hidden="1" x14ac:dyDescent="0.3">
      <c r="J921" s="2" t="str">
        <f t="shared" si="14"/>
        <v>NO</v>
      </c>
      <c r="K921" s="2" t="e">
        <f>VLOOKUP(F921,Munka1!A:A,1,0)</f>
        <v>#N/A</v>
      </c>
    </row>
    <row r="922" spans="10:11" hidden="1" x14ac:dyDescent="0.3">
      <c r="J922" s="2" t="str">
        <f t="shared" si="14"/>
        <v>NO</v>
      </c>
      <c r="K922" s="2" t="e">
        <f>VLOOKUP(F922,Munka1!A:A,1,0)</f>
        <v>#N/A</v>
      </c>
    </row>
    <row r="923" spans="10:11" hidden="1" x14ac:dyDescent="0.3">
      <c r="J923" s="2" t="str">
        <f t="shared" si="14"/>
        <v>NO</v>
      </c>
      <c r="K923" s="2" t="e">
        <f>VLOOKUP(F923,Munka1!A:A,1,0)</f>
        <v>#N/A</v>
      </c>
    </row>
    <row r="924" spans="10:11" hidden="1" x14ac:dyDescent="0.3">
      <c r="J924" s="2" t="str">
        <f t="shared" si="14"/>
        <v>NO</v>
      </c>
      <c r="K924" s="2" t="e">
        <f>VLOOKUP(F924,Munka1!A:A,1,0)</f>
        <v>#N/A</v>
      </c>
    </row>
    <row r="925" spans="10:11" hidden="1" x14ac:dyDescent="0.3">
      <c r="J925" s="2" t="str">
        <f t="shared" si="14"/>
        <v>NO</v>
      </c>
      <c r="K925" s="2" t="e">
        <f>VLOOKUP(F925,Munka1!A:A,1,0)</f>
        <v>#N/A</v>
      </c>
    </row>
    <row r="926" spans="10:11" hidden="1" x14ac:dyDescent="0.3">
      <c r="J926" s="2" t="str">
        <f t="shared" si="14"/>
        <v>NO</v>
      </c>
      <c r="K926" s="2" t="e">
        <f>VLOOKUP(F926,Munka1!A:A,1,0)</f>
        <v>#N/A</v>
      </c>
    </row>
    <row r="927" spans="10:11" hidden="1" x14ac:dyDescent="0.3">
      <c r="J927" s="2" t="str">
        <f t="shared" si="14"/>
        <v>NO</v>
      </c>
      <c r="K927" s="2" t="e">
        <f>VLOOKUP(F927,Munka1!A:A,1,0)</f>
        <v>#N/A</v>
      </c>
    </row>
    <row r="928" spans="10:11" hidden="1" x14ac:dyDescent="0.3">
      <c r="J928" s="2" t="str">
        <f t="shared" si="14"/>
        <v>NO</v>
      </c>
      <c r="K928" s="2" t="e">
        <f>VLOOKUP(F928,Munka1!A:A,1,0)</f>
        <v>#N/A</v>
      </c>
    </row>
    <row r="929" spans="6:11" hidden="1" x14ac:dyDescent="0.3">
      <c r="J929" s="2" t="str">
        <f t="shared" si="14"/>
        <v>NO</v>
      </c>
      <c r="K929" s="2" t="e">
        <f>VLOOKUP(F929,Munka1!A:A,1,0)</f>
        <v>#N/A</v>
      </c>
    </row>
    <row r="930" spans="6:11" hidden="1" x14ac:dyDescent="0.3">
      <c r="J930" s="2" t="str">
        <f t="shared" si="14"/>
        <v>NO</v>
      </c>
      <c r="K930" s="2" t="e">
        <f>VLOOKUP(F930,Munka1!A:A,1,0)</f>
        <v>#N/A</v>
      </c>
    </row>
    <row r="931" spans="6:11" hidden="1" x14ac:dyDescent="0.3">
      <c r="J931" s="2" t="str">
        <f t="shared" si="14"/>
        <v>NO</v>
      </c>
      <c r="K931" s="2" t="e">
        <f>VLOOKUP(F931,Munka1!A:A,1,0)</f>
        <v>#N/A</v>
      </c>
    </row>
    <row r="932" spans="6:11" hidden="1" x14ac:dyDescent="0.3">
      <c r="J932" s="2" t="str">
        <f t="shared" si="14"/>
        <v>NO</v>
      </c>
      <c r="K932" s="2" t="e">
        <f>VLOOKUP(F932,Munka1!A:A,1,0)</f>
        <v>#N/A</v>
      </c>
    </row>
    <row r="933" spans="6:11" hidden="1" x14ac:dyDescent="0.3">
      <c r="J933" s="2" t="str">
        <f t="shared" si="14"/>
        <v>NO</v>
      </c>
      <c r="K933" s="2" t="e">
        <f>VLOOKUP(F933,Munka1!A:A,1,0)</f>
        <v>#N/A</v>
      </c>
    </row>
    <row r="934" spans="6:11" hidden="1" x14ac:dyDescent="0.3">
      <c r="J934" s="2" t="str">
        <f t="shared" si="14"/>
        <v>NO</v>
      </c>
      <c r="K934" s="2" t="e">
        <f>VLOOKUP(F934,Munka1!A:A,1,0)</f>
        <v>#N/A</v>
      </c>
    </row>
    <row r="935" spans="6:11" hidden="1" x14ac:dyDescent="0.3">
      <c r="J935" s="2" t="str">
        <f t="shared" si="14"/>
        <v>NO</v>
      </c>
      <c r="K935" s="2" t="e">
        <f>VLOOKUP(F935,Munka1!A:A,1,0)</f>
        <v>#N/A</v>
      </c>
    </row>
    <row r="936" spans="6:11" hidden="1" x14ac:dyDescent="0.3">
      <c r="J936" s="2" t="str">
        <f t="shared" si="14"/>
        <v>NO</v>
      </c>
      <c r="K936" s="2" t="e">
        <f>VLOOKUP(F936,Munka1!A:A,1,0)</f>
        <v>#N/A</v>
      </c>
    </row>
    <row r="937" spans="6:11" hidden="1" x14ac:dyDescent="0.3">
      <c r="J937" s="2" t="str">
        <f t="shared" si="14"/>
        <v>NO</v>
      </c>
      <c r="K937" s="2" t="e">
        <f>VLOOKUP(F937,Munka1!A:A,1,0)</f>
        <v>#N/A</v>
      </c>
    </row>
    <row r="938" spans="6:11" hidden="1" x14ac:dyDescent="0.3">
      <c r="J938" s="2" t="str">
        <f t="shared" si="14"/>
        <v>NO</v>
      </c>
      <c r="K938" s="2" t="e">
        <f>VLOOKUP(F938,Munka1!A:A,1,0)</f>
        <v>#N/A</v>
      </c>
    </row>
    <row r="939" spans="6:11" hidden="1" x14ac:dyDescent="0.3">
      <c r="J939" s="2" t="str">
        <f t="shared" si="14"/>
        <v>NO</v>
      </c>
      <c r="K939" s="2" t="e">
        <f>VLOOKUP(F939,Munka1!A:A,1,0)</f>
        <v>#N/A</v>
      </c>
    </row>
    <row r="940" spans="6:11" hidden="1" x14ac:dyDescent="0.3">
      <c r="J940" s="2" t="str">
        <f t="shared" si="14"/>
        <v>NO</v>
      </c>
      <c r="K940" s="2" t="e">
        <f>VLOOKUP(F940,Munka1!A:A,1,0)</f>
        <v>#N/A</v>
      </c>
    </row>
    <row r="941" spans="6:11" hidden="1" x14ac:dyDescent="0.3">
      <c r="F941" s="3"/>
      <c r="J941" s="2" t="str">
        <f t="shared" si="14"/>
        <v>NO</v>
      </c>
      <c r="K941" s="2" t="e">
        <f>VLOOKUP(F941,Munka1!A:A,1,0)</f>
        <v>#N/A</v>
      </c>
    </row>
    <row r="942" spans="6:11" hidden="1" x14ac:dyDescent="0.3">
      <c r="J942" s="2" t="str">
        <f t="shared" si="14"/>
        <v>NO</v>
      </c>
      <c r="K942" s="2" t="e">
        <f>VLOOKUP(F942,Munka1!A:A,1,0)</f>
        <v>#N/A</v>
      </c>
    </row>
    <row r="943" spans="6:11" hidden="1" x14ac:dyDescent="0.3">
      <c r="J943" s="2" t="str">
        <f t="shared" si="14"/>
        <v>NO</v>
      </c>
      <c r="K943" s="2" t="e">
        <f>VLOOKUP(F943,Munka1!A:A,1,0)</f>
        <v>#N/A</v>
      </c>
    </row>
    <row r="944" spans="6:11" hidden="1" x14ac:dyDescent="0.3">
      <c r="J944" s="2" t="str">
        <f t="shared" si="14"/>
        <v>NO</v>
      </c>
      <c r="K944" s="2" t="e">
        <f>VLOOKUP(F944,Munka1!A:A,1,0)</f>
        <v>#N/A</v>
      </c>
    </row>
    <row r="945" spans="10:11" hidden="1" x14ac:dyDescent="0.3">
      <c r="J945" s="2" t="str">
        <f t="shared" si="14"/>
        <v>NO</v>
      </c>
      <c r="K945" s="2" t="e">
        <f>VLOOKUP(F945,Munka1!A:A,1,0)</f>
        <v>#N/A</v>
      </c>
    </row>
    <row r="946" spans="10:11" hidden="1" x14ac:dyDescent="0.3">
      <c r="J946" s="2" t="str">
        <f t="shared" si="14"/>
        <v>NO</v>
      </c>
      <c r="K946" s="2" t="e">
        <f>VLOOKUP(F946,Munka1!A:A,1,0)</f>
        <v>#N/A</v>
      </c>
    </row>
    <row r="947" spans="10:11" hidden="1" x14ac:dyDescent="0.3">
      <c r="J947" s="2" t="str">
        <f t="shared" si="14"/>
        <v>NO</v>
      </c>
      <c r="K947" s="2" t="e">
        <f>VLOOKUP(F947,Munka1!A:A,1,0)</f>
        <v>#N/A</v>
      </c>
    </row>
    <row r="948" spans="10:11" hidden="1" x14ac:dyDescent="0.3">
      <c r="J948" s="2" t="str">
        <f t="shared" si="14"/>
        <v>NO</v>
      </c>
      <c r="K948" s="2" t="e">
        <f>VLOOKUP(F948,Munka1!A:A,1,0)</f>
        <v>#N/A</v>
      </c>
    </row>
    <row r="949" spans="10:11" hidden="1" x14ac:dyDescent="0.3">
      <c r="J949" s="2" t="str">
        <f t="shared" si="14"/>
        <v>NO</v>
      </c>
      <c r="K949" s="2" t="e">
        <f>VLOOKUP(F949,Munka1!A:A,1,0)</f>
        <v>#N/A</v>
      </c>
    </row>
    <row r="950" spans="10:11" hidden="1" x14ac:dyDescent="0.3">
      <c r="J950" s="2" t="str">
        <f t="shared" si="14"/>
        <v>NO</v>
      </c>
      <c r="K950" s="2" t="e">
        <f>VLOOKUP(F950,Munka1!A:A,1,0)</f>
        <v>#N/A</v>
      </c>
    </row>
    <row r="951" spans="10:11" hidden="1" x14ac:dyDescent="0.3">
      <c r="J951" s="2" t="str">
        <f t="shared" si="14"/>
        <v>NO</v>
      </c>
      <c r="K951" s="2" t="e">
        <f>VLOOKUP(F951,Munka1!A:A,1,0)</f>
        <v>#N/A</v>
      </c>
    </row>
    <row r="952" spans="10:11" hidden="1" x14ac:dyDescent="0.3">
      <c r="J952" s="2" t="str">
        <f t="shared" si="14"/>
        <v>NO</v>
      </c>
      <c r="K952" s="2" t="e">
        <f>VLOOKUP(F952,Munka1!A:A,1,0)</f>
        <v>#N/A</v>
      </c>
    </row>
    <row r="953" spans="10:11" hidden="1" x14ac:dyDescent="0.3">
      <c r="J953" s="2" t="str">
        <f t="shared" si="14"/>
        <v>NO</v>
      </c>
      <c r="K953" s="2" t="e">
        <f>VLOOKUP(F953,Munka1!A:A,1,0)</f>
        <v>#N/A</v>
      </c>
    </row>
    <row r="954" spans="10:11" hidden="1" x14ac:dyDescent="0.3">
      <c r="J954" s="2" t="str">
        <f t="shared" si="14"/>
        <v>NO</v>
      </c>
      <c r="K954" s="2" t="e">
        <f>VLOOKUP(F954,Munka1!A:A,1,0)</f>
        <v>#N/A</v>
      </c>
    </row>
    <row r="955" spans="10:11" hidden="1" x14ac:dyDescent="0.3">
      <c r="J955" s="2" t="str">
        <f t="shared" si="14"/>
        <v>NO</v>
      </c>
      <c r="K955" s="2" t="e">
        <f>VLOOKUP(F955,Munka1!A:A,1,0)</f>
        <v>#N/A</v>
      </c>
    </row>
    <row r="956" spans="10:11" hidden="1" x14ac:dyDescent="0.3">
      <c r="J956" s="2" t="str">
        <f t="shared" si="14"/>
        <v>NO</v>
      </c>
      <c r="K956" s="2" t="e">
        <f>VLOOKUP(F956,Munka1!A:A,1,0)</f>
        <v>#N/A</v>
      </c>
    </row>
    <row r="957" spans="10:11" hidden="1" x14ac:dyDescent="0.3">
      <c r="J957" s="2" t="str">
        <f t="shared" si="14"/>
        <v>NO</v>
      </c>
      <c r="K957" s="2" t="e">
        <f>VLOOKUP(F957,Munka1!A:A,1,0)</f>
        <v>#N/A</v>
      </c>
    </row>
    <row r="958" spans="10:11" hidden="1" x14ac:dyDescent="0.3">
      <c r="J958" s="2" t="str">
        <f t="shared" si="14"/>
        <v>NO</v>
      </c>
      <c r="K958" s="2" t="e">
        <f>VLOOKUP(F958,Munka1!A:A,1,0)</f>
        <v>#N/A</v>
      </c>
    </row>
    <row r="959" spans="10:11" hidden="1" x14ac:dyDescent="0.3">
      <c r="J959" s="2" t="str">
        <f t="shared" si="14"/>
        <v>NO</v>
      </c>
      <c r="K959" s="2" t="e">
        <f>VLOOKUP(F959,Munka1!A:A,1,0)</f>
        <v>#N/A</v>
      </c>
    </row>
    <row r="960" spans="10:11" hidden="1" x14ac:dyDescent="0.3">
      <c r="J960" s="2" t="str">
        <f t="shared" si="14"/>
        <v>NO</v>
      </c>
      <c r="K960" s="2" t="e">
        <f>VLOOKUP(F960,Munka1!A:A,1,0)</f>
        <v>#N/A</v>
      </c>
    </row>
    <row r="961" spans="10:11" hidden="1" x14ac:dyDescent="0.3">
      <c r="J961" s="2" t="str">
        <f t="shared" si="14"/>
        <v>NO</v>
      </c>
      <c r="K961" s="2" t="e">
        <f>VLOOKUP(F961,Munka1!A:A,1,0)</f>
        <v>#N/A</v>
      </c>
    </row>
    <row r="962" spans="10:11" hidden="1" x14ac:dyDescent="0.3">
      <c r="J962" s="2" t="str">
        <f t="shared" si="14"/>
        <v>NO</v>
      </c>
      <c r="K962" s="2" t="e">
        <f>VLOOKUP(F962,Munka1!A:A,1,0)</f>
        <v>#N/A</v>
      </c>
    </row>
    <row r="963" spans="10:11" hidden="1" x14ac:dyDescent="0.3">
      <c r="J963" s="2" t="str">
        <f t="shared" ref="J963:J1026" si="15">IF(OR(F963="",F963="_",LEFT(F963,5)="SPARE",F963="N/A"),"NO","YES")</f>
        <v>NO</v>
      </c>
      <c r="K963" s="2" t="e">
        <f>VLOOKUP(F963,Munka1!A:A,1,0)</f>
        <v>#N/A</v>
      </c>
    </row>
    <row r="964" spans="10:11" hidden="1" x14ac:dyDescent="0.3">
      <c r="J964" s="2" t="str">
        <f t="shared" si="15"/>
        <v>NO</v>
      </c>
      <c r="K964" s="2" t="e">
        <f>VLOOKUP(F964,Munka1!A:A,1,0)</f>
        <v>#N/A</v>
      </c>
    </row>
    <row r="965" spans="10:11" hidden="1" x14ac:dyDescent="0.3">
      <c r="J965" s="2" t="str">
        <f t="shared" si="15"/>
        <v>NO</v>
      </c>
      <c r="K965" s="2" t="e">
        <f>VLOOKUP(F965,Munka1!A:A,1,0)</f>
        <v>#N/A</v>
      </c>
    </row>
    <row r="966" spans="10:11" hidden="1" x14ac:dyDescent="0.3">
      <c r="J966" s="2" t="str">
        <f t="shared" si="15"/>
        <v>NO</v>
      </c>
      <c r="K966" s="2" t="e">
        <f>VLOOKUP(F966,Munka1!A:A,1,0)</f>
        <v>#N/A</v>
      </c>
    </row>
    <row r="967" spans="10:11" hidden="1" x14ac:dyDescent="0.3">
      <c r="J967" s="2" t="str">
        <f t="shared" si="15"/>
        <v>NO</v>
      </c>
      <c r="K967" s="2" t="e">
        <f>VLOOKUP(F967,Munka1!A:A,1,0)</f>
        <v>#N/A</v>
      </c>
    </row>
    <row r="968" spans="10:11" hidden="1" x14ac:dyDescent="0.3">
      <c r="J968" s="2" t="str">
        <f t="shared" si="15"/>
        <v>NO</v>
      </c>
      <c r="K968" s="2" t="e">
        <f>VLOOKUP(F968,Munka1!A:A,1,0)</f>
        <v>#N/A</v>
      </c>
    </row>
    <row r="969" spans="10:11" hidden="1" x14ac:dyDescent="0.3">
      <c r="J969" s="2" t="str">
        <f t="shared" si="15"/>
        <v>NO</v>
      </c>
      <c r="K969" s="2" t="e">
        <f>VLOOKUP(F969,Munka1!A:A,1,0)</f>
        <v>#N/A</v>
      </c>
    </row>
    <row r="970" spans="10:11" hidden="1" x14ac:dyDescent="0.3">
      <c r="J970" s="2" t="str">
        <f t="shared" si="15"/>
        <v>NO</v>
      </c>
      <c r="K970" s="2" t="e">
        <f>VLOOKUP(F970,Munka1!A:A,1,0)</f>
        <v>#N/A</v>
      </c>
    </row>
    <row r="971" spans="10:11" hidden="1" x14ac:dyDescent="0.3">
      <c r="J971" s="2" t="str">
        <f t="shared" si="15"/>
        <v>NO</v>
      </c>
      <c r="K971" s="2" t="e">
        <f>VLOOKUP(F971,Munka1!A:A,1,0)</f>
        <v>#N/A</v>
      </c>
    </row>
    <row r="972" spans="10:11" hidden="1" x14ac:dyDescent="0.3">
      <c r="J972" s="2" t="str">
        <f t="shared" si="15"/>
        <v>NO</v>
      </c>
      <c r="K972" s="2" t="e">
        <f>VLOOKUP(F972,Munka1!A:A,1,0)</f>
        <v>#N/A</v>
      </c>
    </row>
    <row r="973" spans="10:11" hidden="1" x14ac:dyDescent="0.3">
      <c r="J973" s="2" t="str">
        <f t="shared" si="15"/>
        <v>NO</v>
      </c>
      <c r="K973" s="2" t="e">
        <f>VLOOKUP(F973,Munka1!A:A,1,0)</f>
        <v>#N/A</v>
      </c>
    </row>
    <row r="974" spans="10:11" hidden="1" x14ac:dyDescent="0.3">
      <c r="J974" s="2" t="str">
        <f t="shared" si="15"/>
        <v>NO</v>
      </c>
      <c r="K974" s="2" t="e">
        <f>VLOOKUP(F974,Munka1!A:A,1,0)</f>
        <v>#N/A</v>
      </c>
    </row>
    <row r="975" spans="10:11" hidden="1" x14ac:dyDescent="0.3">
      <c r="J975" s="2" t="str">
        <f t="shared" si="15"/>
        <v>NO</v>
      </c>
      <c r="K975" s="2" t="e">
        <f>VLOOKUP(F975,Munka1!A:A,1,0)</f>
        <v>#N/A</v>
      </c>
    </row>
    <row r="976" spans="10:11" hidden="1" x14ac:dyDescent="0.3">
      <c r="J976" s="2" t="str">
        <f t="shared" si="15"/>
        <v>NO</v>
      </c>
      <c r="K976" s="2" t="e">
        <f>VLOOKUP(F976,Munka1!A:A,1,0)</f>
        <v>#N/A</v>
      </c>
    </row>
    <row r="977" spans="10:11" hidden="1" x14ac:dyDescent="0.3">
      <c r="J977" s="2" t="str">
        <f t="shared" si="15"/>
        <v>NO</v>
      </c>
      <c r="K977" s="2" t="e">
        <f>VLOOKUP(F977,Munka1!A:A,1,0)</f>
        <v>#N/A</v>
      </c>
    </row>
    <row r="978" spans="10:11" hidden="1" x14ac:dyDescent="0.3">
      <c r="J978" s="2" t="str">
        <f t="shared" si="15"/>
        <v>NO</v>
      </c>
      <c r="K978" s="2" t="e">
        <f>VLOOKUP(F978,Munka1!A:A,1,0)</f>
        <v>#N/A</v>
      </c>
    </row>
    <row r="979" spans="10:11" hidden="1" x14ac:dyDescent="0.3">
      <c r="J979" s="2" t="str">
        <f t="shared" si="15"/>
        <v>NO</v>
      </c>
      <c r="K979" s="2" t="e">
        <f>VLOOKUP(F979,Munka1!A:A,1,0)</f>
        <v>#N/A</v>
      </c>
    </row>
    <row r="980" spans="10:11" hidden="1" x14ac:dyDescent="0.3">
      <c r="J980" s="2" t="str">
        <f t="shared" si="15"/>
        <v>NO</v>
      </c>
      <c r="K980" s="2" t="e">
        <f>VLOOKUP(F980,Munka1!A:A,1,0)</f>
        <v>#N/A</v>
      </c>
    </row>
    <row r="981" spans="10:11" hidden="1" x14ac:dyDescent="0.3">
      <c r="J981" s="2" t="str">
        <f t="shared" si="15"/>
        <v>NO</v>
      </c>
      <c r="K981" s="2" t="e">
        <f>VLOOKUP(F981,Munka1!A:A,1,0)</f>
        <v>#N/A</v>
      </c>
    </row>
    <row r="982" spans="10:11" hidden="1" x14ac:dyDescent="0.3">
      <c r="J982" s="2" t="str">
        <f t="shared" si="15"/>
        <v>NO</v>
      </c>
      <c r="K982" s="2" t="e">
        <f>VLOOKUP(F982,Munka1!A:A,1,0)</f>
        <v>#N/A</v>
      </c>
    </row>
    <row r="983" spans="10:11" hidden="1" x14ac:dyDescent="0.3">
      <c r="J983" s="2" t="str">
        <f t="shared" si="15"/>
        <v>NO</v>
      </c>
      <c r="K983" s="2" t="e">
        <f>VLOOKUP(F983,Munka1!A:A,1,0)</f>
        <v>#N/A</v>
      </c>
    </row>
    <row r="984" spans="10:11" hidden="1" x14ac:dyDescent="0.3">
      <c r="J984" s="2" t="str">
        <f t="shared" si="15"/>
        <v>NO</v>
      </c>
      <c r="K984" s="2" t="e">
        <f>VLOOKUP(F984,Munka1!A:A,1,0)</f>
        <v>#N/A</v>
      </c>
    </row>
    <row r="985" spans="10:11" hidden="1" x14ac:dyDescent="0.3">
      <c r="J985" s="2" t="str">
        <f t="shared" si="15"/>
        <v>NO</v>
      </c>
      <c r="K985" s="2" t="e">
        <f>VLOOKUP(F985,Munka1!A:A,1,0)</f>
        <v>#N/A</v>
      </c>
    </row>
    <row r="986" spans="10:11" hidden="1" x14ac:dyDescent="0.3">
      <c r="J986" s="2" t="str">
        <f t="shared" si="15"/>
        <v>NO</v>
      </c>
      <c r="K986" s="2" t="e">
        <f>VLOOKUP(F986,Munka1!A:A,1,0)</f>
        <v>#N/A</v>
      </c>
    </row>
    <row r="987" spans="10:11" hidden="1" x14ac:dyDescent="0.3">
      <c r="J987" s="2" t="str">
        <f t="shared" si="15"/>
        <v>NO</v>
      </c>
      <c r="K987" s="2" t="e">
        <f>VLOOKUP(F987,Munka1!A:A,1,0)</f>
        <v>#N/A</v>
      </c>
    </row>
    <row r="988" spans="10:11" hidden="1" x14ac:dyDescent="0.3">
      <c r="J988" s="2" t="str">
        <f t="shared" si="15"/>
        <v>NO</v>
      </c>
      <c r="K988" s="2" t="e">
        <f>VLOOKUP(F988,Munka1!A:A,1,0)</f>
        <v>#N/A</v>
      </c>
    </row>
    <row r="989" spans="10:11" hidden="1" x14ac:dyDescent="0.3">
      <c r="J989" s="2" t="str">
        <f t="shared" si="15"/>
        <v>NO</v>
      </c>
      <c r="K989" s="2" t="e">
        <f>VLOOKUP(F989,Munka1!A:A,1,0)</f>
        <v>#N/A</v>
      </c>
    </row>
    <row r="990" spans="10:11" hidden="1" x14ac:dyDescent="0.3">
      <c r="J990" s="2" t="str">
        <f t="shared" si="15"/>
        <v>NO</v>
      </c>
      <c r="K990" s="2" t="e">
        <f>VLOOKUP(F990,Munka1!A:A,1,0)</f>
        <v>#N/A</v>
      </c>
    </row>
    <row r="991" spans="10:11" hidden="1" x14ac:dyDescent="0.3">
      <c r="J991" s="2" t="str">
        <f t="shared" si="15"/>
        <v>NO</v>
      </c>
      <c r="K991" s="2" t="e">
        <f>VLOOKUP(F991,Munka1!A:A,1,0)</f>
        <v>#N/A</v>
      </c>
    </row>
    <row r="992" spans="10:11" hidden="1" x14ac:dyDescent="0.3">
      <c r="J992" s="2" t="str">
        <f t="shared" si="15"/>
        <v>NO</v>
      </c>
      <c r="K992" s="2" t="e">
        <f>VLOOKUP(F992,Munka1!A:A,1,0)</f>
        <v>#N/A</v>
      </c>
    </row>
    <row r="993" spans="10:11" hidden="1" x14ac:dyDescent="0.3">
      <c r="J993" s="2" t="str">
        <f t="shared" si="15"/>
        <v>NO</v>
      </c>
      <c r="K993" s="2" t="e">
        <f>VLOOKUP(F993,Munka1!A:A,1,0)</f>
        <v>#N/A</v>
      </c>
    </row>
    <row r="994" spans="10:11" hidden="1" x14ac:dyDescent="0.3">
      <c r="J994" s="2" t="str">
        <f t="shared" si="15"/>
        <v>NO</v>
      </c>
      <c r="K994" s="2" t="e">
        <f>VLOOKUP(F994,Munka1!A:A,1,0)</f>
        <v>#N/A</v>
      </c>
    </row>
    <row r="995" spans="10:11" hidden="1" x14ac:dyDescent="0.3">
      <c r="J995" s="2" t="str">
        <f t="shared" si="15"/>
        <v>NO</v>
      </c>
      <c r="K995" s="2" t="e">
        <f>VLOOKUP(F995,Munka1!A:A,1,0)</f>
        <v>#N/A</v>
      </c>
    </row>
    <row r="996" spans="10:11" hidden="1" x14ac:dyDescent="0.3">
      <c r="J996" s="2" t="str">
        <f t="shared" si="15"/>
        <v>NO</v>
      </c>
      <c r="K996" s="2" t="e">
        <f>VLOOKUP(F996,Munka1!A:A,1,0)</f>
        <v>#N/A</v>
      </c>
    </row>
    <row r="997" spans="10:11" hidden="1" x14ac:dyDescent="0.3">
      <c r="J997" s="2" t="str">
        <f t="shared" si="15"/>
        <v>NO</v>
      </c>
      <c r="K997" s="2" t="e">
        <f>VLOOKUP(F997,Munka1!A:A,1,0)</f>
        <v>#N/A</v>
      </c>
    </row>
    <row r="998" spans="10:11" hidden="1" x14ac:dyDescent="0.3">
      <c r="J998" s="2" t="str">
        <f t="shared" si="15"/>
        <v>NO</v>
      </c>
      <c r="K998" s="2" t="e">
        <f>VLOOKUP(F998,Munka1!A:A,1,0)</f>
        <v>#N/A</v>
      </c>
    </row>
    <row r="999" spans="10:11" hidden="1" x14ac:dyDescent="0.3">
      <c r="J999" s="2" t="str">
        <f t="shared" si="15"/>
        <v>NO</v>
      </c>
      <c r="K999" s="2" t="e">
        <f>VLOOKUP(F999,Munka1!A:A,1,0)</f>
        <v>#N/A</v>
      </c>
    </row>
    <row r="1000" spans="10:11" hidden="1" x14ac:dyDescent="0.3">
      <c r="J1000" s="2" t="str">
        <f t="shared" si="15"/>
        <v>NO</v>
      </c>
      <c r="K1000" s="2" t="e">
        <f>VLOOKUP(F1000,Munka1!A:A,1,0)</f>
        <v>#N/A</v>
      </c>
    </row>
    <row r="1001" spans="10:11" hidden="1" x14ac:dyDescent="0.3">
      <c r="J1001" s="2" t="str">
        <f t="shared" si="15"/>
        <v>NO</v>
      </c>
      <c r="K1001" s="2" t="e">
        <f>VLOOKUP(F1001,Munka1!A:A,1,0)</f>
        <v>#N/A</v>
      </c>
    </row>
    <row r="1002" spans="10:11" hidden="1" x14ac:dyDescent="0.3">
      <c r="J1002" s="2" t="str">
        <f t="shared" si="15"/>
        <v>NO</v>
      </c>
      <c r="K1002" s="2" t="e">
        <f>VLOOKUP(F1002,Munka1!A:A,1,0)</f>
        <v>#N/A</v>
      </c>
    </row>
    <row r="1003" spans="10:11" hidden="1" x14ac:dyDescent="0.3">
      <c r="J1003" s="2" t="str">
        <f t="shared" si="15"/>
        <v>NO</v>
      </c>
      <c r="K1003" s="2" t="e">
        <f>VLOOKUP(F1003,Munka1!A:A,1,0)</f>
        <v>#N/A</v>
      </c>
    </row>
    <row r="1004" spans="10:11" hidden="1" x14ac:dyDescent="0.3">
      <c r="J1004" s="2" t="str">
        <f t="shared" si="15"/>
        <v>NO</v>
      </c>
      <c r="K1004" s="2" t="e">
        <f>VLOOKUP(F1004,Munka1!A:A,1,0)</f>
        <v>#N/A</v>
      </c>
    </row>
    <row r="1005" spans="10:11" hidden="1" x14ac:dyDescent="0.3">
      <c r="J1005" s="2" t="str">
        <f t="shared" si="15"/>
        <v>NO</v>
      </c>
      <c r="K1005" s="2" t="e">
        <f>VLOOKUP(F1005,Munka1!A:A,1,0)</f>
        <v>#N/A</v>
      </c>
    </row>
    <row r="1006" spans="10:11" hidden="1" x14ac:dyDescent="0.3">
      <c r="J1006" s="2" t="str">
        <f t="shared" si="15"/>
        <v>NO</v>
      </c>
      <c r="K1006" s="2" t="e">
        <f>VLOOKUP(F1006,Munka1!A:A,1,0)</f>
        <v>#N/A</v>
      </c>
    </row>
    <row r="1007" spans="10:11" hidden="1" x14ac:dyDescent="0.3">
      <c r="J1007" s="2" t="str">
        <f t="shared" si="15"/>
        <v>NO</v>
      </c>
      <c r="K1007" s="2" t="e">
        <f>VLOOKUP(F1007,Munka1!A:A,1,0)</f>
        <v>#N/A</v>
      </c>
    </row>
    <row r="1008" spans="10:11" hidden="1" x14ac:dyDescent="0.3">
      <c r="J1008" s="2" t="str">
        <f t="shared" si="15"/>
        <v>NO</v>
      </c>
      <c r="K1008" s="2" t="e">
        <f>VLOOKUP(F1008,Munka1!A:A,1,0)</f>
        <v>#N/A</v>
      </c>
    </row>
    <row r="1009" spans="10:11" hidden="1" x14ac:dyDescent="0.3">
      <c r="J1009" s="2" t="str">
        <f t="shared" si="15"/>
        <v>NO</v>
      </c>
      <c r="K1009" s="2" t="e">
        <f>VLOOKUP(F1009,Munka1!A:A,1,0)</f>
        <v>#N/A</v>
      </c>
    </row>
    <row r="1010" spans="10:11" hidden="1" x14ac:dyDescent="0.3">
      <c r="J1010" s="2" t="str">
        <f t="shared" si="15"/>
        <v>NO</v>
      </c>
      <c r="K1010" s="2" t="e">
        <f>VLOOKUP(F1010,Munka1!A:A,1,0)</f>
        <v>#N/A</v>
      </c>
    </row>
    <row r="1011" spans="10:11" hidden="1" x14ac:dyDescent="0.3">
      <c r="J1011" s="2" t="str">
        <f t="shared" si="15"/>
        <v>NO</v>
      </c>
      <c r="K1011" s="2" t="e">
        <f>VLOOKUP(F1011,Munka1!A:A,1,0)</f>
        <v>#N/A</v>
      </c>
    </row>
    <row r="1012" spans="10:11" hidden="1" x14ac:dyDescent="0.3">
      <c r="J1012" s="2" t="str">
        <f t="shared" si="15"/>
        <v>NO</v>
      </c>
      <c r="K1012" s="2" t="e">
        <f>VLOOKUP(F1012,Munka1!A:A,1,0)</f>
        <v>#N/A</v>
      </c>
    </row>
    <row r="1013" spans="10:11" hidden="1" x14ac:dyDescent="0.3">
      <c r="J1013" s="2" t="str">
        <f t="shared" si="15"/>
        <v>NO</v>
      </c>
      <c r="K1013" s="2" t="e">
        <f>VLOOKUP(F1013,Munka1!A:A,1,0)</f>
        <v>#N/A</v>
      </c>
    </row>
    <row r="1014" spans="10:11" hidden="1" x14ac:dyDescent="0.3">
      <c r="J1014" s="2" t="str">
        <f t="shared" si="15"/>
        <v>NO</v>
      </c>
      <c r="K1014" s="2" t="e">
        <f>VLOOKUP(F1014,Munka1!A:A,1,0)</f>
        <v>#N/A</v>
      </c>
    </row>
    <row r="1015" spans="10:11" hidden="1" x14ac:dyDescent="0.3">
      <c r="J1015" s="2" t="str">
        <f t="shared" si="15"/>
        <v>NO</v>
      </c>
      <c r="K1015" s="2" t="e">
        <f>VLOOKUP(F1015,Munka1!A:A,1,0)</f>
        <v>#N/A</v>
      </c>
    </row>
    <row r="1016" spans="10:11" hidden="1" x14ac:dyDescent="0.3">
      <c r="J1016" s="2" t="str">
        <f t="shared" si="15"/>
        <v>NO</v>
      </c>
      <c r="K1016" s="2" t="e">
        <f>VLOOKUP(F1016,Munka1!A:A,1,0)</f>
        <v>#N/A</v>
      </c>
    </row>
    <row r="1017" spans="10:11" hidden="1" x14ac:dyDescent="0.3">
      <c r="J1017" s="2" t="str">
        <f t="shared" si="15"/>
        <v>NO</v>
      </c>
      <c r="K1017" s="2" t="e">
        <f>VLOOKUP(F1017,Munka1!A:A,1,0)</f>
        <v>#N/A</v>
      </c>
    </row>
    <row r="1018" spans="10:11" hidden="1" x14ac:dyDescent="0.3">
      <c r="J1018" s="2" t="str">
        <f t="shared" si="15"/>
        <v>NO</v>
      </c>
      <c r="K1018" s="2" t="e">
        <f>VLOOKUP(F1018,Munka1!A:A,1,0)</f>
        <v>#N/A</v>
      </c>
    </row>
    <row r="1019" spans="10:11" hidden="1" x14ac:dyDescent="0.3">
      <c r="J1019" s="2" t="str">
        <f t="shared" si="15"/>
        <v>NO</v>
      </c>
      <c r="K1019" s="2" t="e">
        <f>VLOOKUP(F1019,Munka1!A:A,1,0)</f>
        <v>#N/A</v>
      </c>
    </row>
    <row r="1020" spans="10:11" hidden="1" x14ac:dyDescent="0.3">
      <c r="J1020" s="2" t="str">
        <f t="shared" si="15"/>
        <v>NO</v>
      </c>
      <c r="K1020" s="2" t="e">
        <f>VLOOKUP(F1020,Munka1!A:A,1,0)</f>
        <v>#N/A</v>
      </c>
    </row>
    <row r="1021" spans="10:11" hidden="1" x14ac:dyDescent="0.3">
      <c r="J1021" s="2" t="str">
        <f t="shared" si="15"/>
        <v>NO</v>
      </c>
      <c r="K1021" s="2" t="e">
        <f>VLOOKUP(F1021,Munka1!A:A,1,0)</f>
        <v>#N/A</v>
      </c>
    </row>
    <row r="1022" spans="10:11" hidden="1" x14ac:dyDescent="0.3">
      <c r="J1022" s="2" t="str">
        <f t="shared" si="15"/>
        <v>NO</v>
      </c>
      <c r="K1022" s="2" t="e">
        <f>VLOOKUP(F1022,Munka1!A:A,1,0)</f>
        <v>#N/A</v>
      </c>
    </row>
    <row r="1023" spans="10:11" hidden="1" x14ac:dyDescent="0.3">
      <c r="J1023" s="2" t="str">
        <f t="shared" si="15"/>
        <v>NO</v>
      </c>
      <c r="K1023" s="2" t="e">
        <f>VLOOKUP(F1023,Munka1!A:A,1,0)</f>
        <v>#N/A</v>
      </c>
    </row>
    <row r="1024" spans="10:11" hidden="1" x14ac:dyDescent="0.3">
      <c r="J1024" s="2" t="str">
        <f t="shared" si="15"/>
        <v>NO</v>
      </c>
      <c r="K1024" s="2" t="e">
        <f>VLOOKUP(F1024,Munka1!A:A,1,0)</f>
        <v>#N/A</v>
      </c>
    </row>
    <row r="1025" spans="10:11" hidden="1" x14ac:dyDescent="0.3">
      <c r="J1025" s="2" t="str">
        <f t="shared" si="15"/>
        <v>NO</v>
      </c>
      <c r="K1025" s="2" t="e">
        <f>VLOOKUP(F1025,Munka1!A:A,1,0)</f>
        <v>#N/A</v>
      </c>
    </row>
    <row r="1026" spans="10:11" hidden="1" x14ac:dyDescent="0.3">
      <c r="J1026" s="2" t="str">
        <f t="shared" si="15"/>
        <v>NO</v>
      </c>
      <c r="K1026" s="2" t="e">
        <f>VLOOKUP(F1026,Munka1!A:A,1,0)</f>
        <v>#N/A</v>
      </c>
    </row>
    <row r="1027" spans="10:11" hidden="1" x14ac:dyDescent="0.3">
      <c r="J1027" s="2" t="str">
        <f t="shared" ref="J1027:J1090" si="16">IF(OR(F1027="",F1027="_",LEFT(F1027,5)="SPARE",F1027="N/A"),"NO","YES")</f>
        <v>NO</v>
      </c>
      <c r="K1027" s="2" t="e">
        <f>VLOOKUP(F1027,Munka1!A:A,1,0)</f>
        <v>#N/A</v>
      </c>
    </row>
    <row r="1028" spans="10:11" hidden="1" x14ac:dyDescent="0.3">
      <c r="J1028" s="2" t="str">
        <f t="shared" si="16"/>
        <v>NO</v>
      </c>
      <c r="K1028" s="2" t="e">
        <f>VLOOKUP(F1028,Munka1!A:A,1,0)</f>
        <v>#N/A</v>
      </c>
    </row>
    <row r="1029" spans="10:11" hidden="1" x14ac:dyDescent="0.3">
      <c r="J1029" s="2" t="str">
        <f t="shared" si="16"/>
        <v>NO</v>
      </c>
      <c r="K1029" s="2" t="e">
        <f>VLOOKUP(F1029,Munka1!A:A,1,0)</f>
        <v>#N/A</v>
      </c>
    </row>
    <row r="1030" spans="10:11" hidden="1" x14ac:dyDescent="0.3">
      <c r="J1030" s="2" t="str">
        <f t="shared" si="16"/>
        <v>NO</v>
      </c>
      <c r="K1030" s="2" t="e">
        <f>VLOOKUP(F1030,Munka1!A:A,1,0)</f>
        <v>#N/A</v>
      </c>
    </row>
    <row r="1031" spans="10:11" hidden="1" x14ac:dyDescent="0.3">
      <c r="J1031" s="2" t="str">
        <f t="shared" si="16"/>
        <v>NO</v>
      </c>
      <c r="K1031" s="2" t="e">
        <f>VLOOKUP(F1031,Munka1!A:A,1,0)</f>
        <v>#N/A</v>
      </c>
    </row>
    <row r="1032" spans="10:11" hidden="1" x14ac:dyDescent="0.3">
      <c r="J1032" s="2" t="str">
        <f t="shared" si="16"/>
        <v>NO</v>
      </c>
      <c r="K1032" s="2" t="e">
        <f>VLOOKUP(F1032,Munka1!A:A,1,0)</f>
        <v>#N/A</v>
      </c>
    </row>
    <row r="1033" spans="10:11" hidden="1" x14ac:dyDescent="0.3">
      <c r="J1033" s="2" t="str">
        <f t="shared" si="16"/>
        <v>NO</v>
      </c>
      <c r="K1033" s="2" t="e">
        <f>VLOOKUP(F1033,Munka1!A:A,1,0)</f>
        <v>#N/A</v>
      </c>
    </row>
    <row r="1034" spans="10:11" hidden="1" x14ac:dyDescent="0.3">
      <c r="J1034" s="2" t="str">
        <f t="shared" si="16"/>
        <v>NO</v>
      </c>
      <c r="K1034" s="2" t="e">
        <f>VLOOKUP(F1034,Munka1!A:A,1,0)</f>
        <v>#N/A</v>
      </c>
    </row>
    <row r="1035" spans="10:11" hidden="1" x14ac:dyDescent="0.3">
      <c r="J1035" s="2" t="str">
        <f t="shared" si="16"/>
        <v>NO</v>
      </c>
      <c r="K1035" s="2" t="e">
        <f>VLOOKUP(F1035,Munka1!A:A,1,0)</f>
        <v>#N/A</v>
      </c>
    </row>
    <row r="1036" spans="10:11" hidden="1" x14ac:dyDescent="0.3">
      <c r="J1036" s="2" t="str">
        <f t="shared" si="16"/>
        <v>NO</v>
      </c>
      <c r="K1036" s="2" t="e">
        <f>VLOOKUP(F1036,Munka1!A:A,1,0)</f>
        <v>#N/A</v>
      </c>
    </row>
    <row r="1037" spans="10:11" hidden="1" x14ac:dyDescent="0.3">
      <c r="J1037" s="2" t="str">
        <f t="shared" si="16"/>
        <v>NO</v>
      </c>
      <c r="K1037" s="2" t="e">
        <f>VLOOKUP(F1037,Munka1!A:A,1,0)</f>
        <v>#N/A</v>
      </c>
    </row>
    <row r="1038" spans="10:11" hidden="1" x14ac:dyDescent="0.3">
      <c r="J1038" s="2" t="str">
        <f t="shared" si="16"/>
        <v>NO</v>
      </c>
      <c r="K1038" s="2" t="e">
        <f>VLOOKUP(F1038,Munka1!A:A,1,0)</f>
        <v>#N/A</v>
      </c>
    </row>
    <row r="1039" spans="10:11" hidden="1" x14ac:dyDescent="0.3">
      <c r="J1039" s="2" t="str">
        <f t="shared" si="16"/>
        <v>NO</v>
      </c>
      <c r="K1039" s="2" t="e">
        <f>VLOOKUP(F1039,Munka1!A:A,1,0)</f>
        <v>#N/A</v>
      </c>
    </row>
    <row r="1040" spans="10:11" hidden="1" x14ac:dyDescent="0.3">
      <c r="J1040" s="2" t="str">
        <f t="shared" si="16"/>
        <v>NO</v>
      </c>
      <c r="K1040" s="2" t="e">
        <f>VLOOKUP(F1040,Munka1!A:A,1,0)</f>
        <v>#N/A</v>
      </c>
    </row>
    <row r="1041" spans="10:11" hidden="1" x14ac:dyDescent="0.3">
      <c r="J1041" s="2" t="str">
        <f t="shared" si="16"/>
        <v>NO</v>
      </c>
      <c r="K1041" s="2" t="e">
        <f>VLOOKUP(F1041,Munka1!A:A,1,0)</f>
        <v>#N/A</v>
      </c>
    </row>
    <row r="1042" spans="10:11" hidden="1" x14ac:dyDescent="0.3">
      <c r="J1042" s="2" t="str">
        <f t="shared" si="16"/>
        <v>NO</v>
      </c>
      <c r="K1042" s="2" t="e">
        <f>VLOOKUP(F1042,Munka1!A:A,1,0)</f>
        <v>#N/A</v>
      </c>
    </row>
    <row r="1043" spans="10:11" hidden="1" x14ac:dyDescent="0.3">
      <c r="J1043" s="2" t="str">
        <f t="shared" si="16"/>
        <v>NO</v>
      </c>
      <c r="K1043" s="2" t="e">
        <f>VLOOKUP(F1043,Munka1!A:A,1,0)</f>
        <v>#N/A</v>
      </c>
    </row>
    <row r="1044" spans="10:11" hidden="1" x14ac:dyDescent="0.3">
      <c r="J1044" s="2" t="str">
        <f t="shared" si="16"/>
        <v>NO</v>
      </c>
      <c r="K1044" s="2" t="e">
        <f>VLOOKUP(F1044,Munka1!A:A,1,0)</f>
        <v>#N/A</v>
      </c>
    </row>
    <row r="1045" spans="10:11" hidden="1" x14ac:dyDescent="0.3">
      <c r="J1045" s="2" t="str">
        <f t="shared" si="16"/>
        <v>NO</v>
      </c>
      <c r="K1045" s="2" t="e">
        <f>VLOOKUP(F1045,Munka1!A:A,1,0)</f>
        <v>#N/A</v>
      </c>
    </row>
    <row r="1046" spans="10:11" hidden="1" x14ac:dyDescent="0.3">
      <c r="J1046" s="2" t="str">
        <f t="shared" si="16"/>
        <v>NO</v>
      </c>
      <c r="K1046" s="2" t="e">
        <f>VLOOKUP(F1046,Munka1!A:A,1,0)</f>
        <v>#N/A</v>
      </c>
    </row>
    <row r="1047" spans="10:11" hidden="1" x14ac:dyDescent="0.3">
      <c r="J1047" s="2" t="str">
        <f t="shared" si="16"/>
        <v>NO</v>
      </c>
      <c r="K1047" s="2" t="e">
        <f>VLOOKUP(F1047,Munka1!A:A,1,0)</f>
        <v>#N/A</v>
      </c>
    </row>
    <row r="1048" spans="10:11" hidden="1" x14ac:dyDescent="0.3">
      <c r="J1048" s="2" t="str">
        <f t="shared" si="16"/>
        <v>NO</v>
      </c>
      <c r="K1048" s="2" t="e">
        <f>VLOOKUP(F1048,Munka1!A:A,1,0)</f>
        <v>#N/A</v>
      </c>
    </row>
    <row r="1049" spans="10:11" hidden="1" x14ac:dyDescent="0.3">
      <c r="J1049" s="2" t="str">
        <f t="shared" si="16"/>
        <v>NO</v>
      </c>
      <c r="K1049" s="2" t="e">
        <f>VLOOKUP(F1049,Munka1!A:A,1,0)</f>
        <v>#N/A</v>
      </c>
    </row>
    <row r="1050" spans="10:11" hidden="1" x14ac:dyDescent="0.3">
      <c r="J1050" s="2" t="str">
        <f t="shared" si="16"/>
        <v>NO</v>
      </c>
      <c r="K1050" s="2" t="e">
        <f>VLOOKUP(F1050,Munka1!A:A,1,0)</f>
        <v>#N/A</v>
      </c>
    </row>
    <row r="1051" spans="10:11" hidden="1" x14ac:dyDescent="0.3">
      <c r="J1051" s="2" t="str">
        <f t="shared" si="16"/>
        <v>NO</v>
      </c>
      <c r="K1051" s="2" t="e">
        <f>VLOOKUP(F1051,Munka1!A:A,1,0)</f>
        <v>#N/A</v>
      </c>
    </row>
    <row r="1052" spans="10:11" hidden="1" x14ac:dyDescent="0.3">
      <c r="J1052" s="2" t="str">
        <f t="shared" si="16"/>
        <v>NO</v>
      </c>
      <c r="K1052" s="2" t="e">
        <f>VLOOKUP(F1052,Munka1!A:A,1,0)</f>
        <v>#N/A</v>
      </c>
    </row>
    <row r="1053" spans="10:11" hidden="1" x14ac:dyDescent="0.3">
      <c r="J1053" s="2" t="str">
        <f t="shared" si="16"/>
        <v>NO</v>
      </c>
      <c r="K1053" s="2" t="e">
        <f>VLOOKUP(F1053,Munka1!A:A,1,0)</f>
        <v>#N/A</v>
      </c>
    </row>
    <row r="1054" spans="10:11" hidden="1" x14ac:dyDescent="0.3">
      <c r="J1054" s="2" t="str">
        <f t="shared" si="16"/>
        <v>NO</v>
      </c>
      <c r="K1054" s="2" t="e">
        <f>VLOOKUP(F1054,Munka1!A:A,1,0)</f>
        <v>#N/A</v>
      </c>
    </row>
    <row r="1055" spans="10:11" hidden="1" x14ac:dyDescent="0.3">
      <c r="J1055" s="2" t="str">
        <f t="shared" si="16"/>
        <v>NO</v>
      </c>
      <c r="K1055" s="2" t="e">
        <f>VLOOKUP(F1055,Munka1!A:A,1,0)</f>
        <v>#N/A</v>
      </c>
    </row>
    <row r="1056" spans="10:11" hidden="1" x14ac:dyDescent="0.3">
      <c r="J1056" s="2" t="str">
        <f t="shared" si="16"/>
        <v>NO</v>
      </c>
      <c r="K1056" s="2" t="e">
        <f>VLOOKUP(F1056,Munka1!A:A,1,0)</f>
        <v>#N/A</v>
      </c>
    </row>
    <row r="1057" spans="10:11" hidden="1" x14ac:dyDescent="0.3">
      <c r="J1057" s="2" t="str">
        <f t="shared" si="16"/>
        <v>NO</v>
      </c>
      <c r="K1057" s="2" t="e">
        <f>VLOOKUP(F1057,Munka1!A:A,1,0)</f>
        <v>#N/A</v>
      </c>
    </row>
    <row r="1058" spans="10:11" hidden="1" x14ac:dyDescent="0.3">
      <c r="J1058" s="2" t="str">
        <f t="shared" si="16"/>
        <v>NO</v>
      </c>
      <c r="K1058" s="2" t="e">
        <f>VLOOKUP(F1058,Munka1!A:A,1,0)</f>
        <v>#N/A</v>
      </c>
    </row>
    <row r="1059" spans="10:11" hidden="1" x14ac:dyDescent="0.3">
      <c r="J1059" s="2" t="str">
        <f t="shared" si="16"/>
        <v>NO</v>
      </c>
      <c r="K1059" s="2" t="e">
        <f>VLOOKUP(F1059,Munka1!A:A,1,0)</f>
        <v>#N/A</v>
      </c>
    </row>
    <row r="1060" spans="10:11" hidden="1" x14ac:dyDescent="0.3">
      <c r="J1060" s="2" t="str">
        <f t="shared" si="16"/>
        <v>NO</v>
      </c>
      <c r="K1060" s="2" t="e">
        <f>VLOOKUP(F1060,Munka1!A:A,1,0)</f>
        <v>#N/A</v>
      </c>
    </row>
    <row r="1061" spans="10:11" hidden="1" x14ac:dyDescent="0.3">
      <c r="J1061" s="2" t="str">
        <f t="shared" si="16"/>
        <v>NO</v>
      </c>
      <c r="K1061" s="2" t="e">
        <f>VLOOKUP(F1061,Munka1!A:A,1,0)</f>
        <v>#N/A</v>
      </c>
    </row>
    <row r="1062" spans="10:11" hidden="1" x14ac:dyDescent="0.3">
      <c r="J1062" s="2" t="str">
        <f t="shared" si="16"/>
        <v>NO</v>
      </c>
      <c r="K1062" s="2" t="e">
        <f>VLOOKUP(F1062,Munka1!A:A,1,0)</f>
        <v>#N/A</v>
      </c>
    </row>
    <row r="1063" spans="10:11" hidden="1" x14ac:dyDescent="0.3">
      <c r="J1063" s="2" t="str">
        <f t="shared" si="16"/>
        <v>NO</v>
      </c>
      <c r="K1063" s="2" t="e">
        <f>VLOOKUP(F1063,Munka1!A:A,1,0)</f>
        <v>#N/A</v>
      </c>
    </row>
    <row r="1064" spans="10:11" hidden="1" x14ac:dyDescent="0.3">
      <c r="J1064" s="2" t="str">
        <f t="shared" si="16"/>
        <v>NO</v>
      </c>
      <c r="K1064" s="2" t="e">
        <f>VLOOKUP(F1064,Munka1!A:A,1,0)</f>
        <v>#N/A</v>
      </c>
    </row>
    <row r="1065" spans="10:11" hidden="1" x14ac:dyDescent="0.3">
      <c r="J1065" s="2" t="str">
        <f t="shared" si="16"/>
        <v>NO</v>
      </c>
      <c r="K1065" s="2" t="e">
        <f>VLOOKUP(F1065,Munka1!A:A,1,0)</f>
        <v>#N/A</v>
      </c>
    </row>
    <row r="1066" spans="10:11" hidden="1" x14ac:dyDescent="0.3">
      <c r="J1066" s="2" t="str">
        <f t="shared" si="16"/>
        <v>NO</v>
      </c>
      <c r="K1066" s="2" t="e">
        <f>VLOOKUP(F1066,Munka1!A:A,1,0)</f>
        <v>#N/A</v>
      </c>
    </row>
    <row r="1067" spans="10:11" hidden="1" x14ac:dyDescent="0.3">
      <c r="J1067" s="2" t="str">
        <f t="shared" si="16"/>
        <v>NO</v>
      </c>
      <c r="K1067" s="2" t="e">
        <f>VLOOKUP(F1067,Munka1!A:A,1,0)</f>
        <v>#N/A</v>
      </c>
    </row>
    <row r="1068" spans="10:11" hidden="1" x14ac:dyDescent="0.3">
      <c r="J1068" s="2" t="str">
        <f t="shared" si="16"/>
        <v>NO</v>
      </c>
      <c r="K1068" s="2" t="e">
        <f>VLOOKUP(F1068,Munka1!A:A,1,0)</f>
        <v>#N/A</v>
      </c>
    </row>
    <row r="1069" spans="10:11" hidden="1" x14ac:dyDescent="0.3">
      <c r="J1069" s="2" t="str">
        <f t="shared" si="16"/>
        <v>NO</v>
      </c>
      <c r="K1069" s="2" t="e">
        <f>VLOOKUP(F1069,Munka1!A:A,1,0)</f>
        <v>#N/A</v>
      </c>
    </row>
    <row r="1070" spans="10:11" hidden="1" x14ac:dyDescent="0.3">
      <c r="J1070" s="2" t="str">
        <f t="shared" si="16"/>
        <v>NO</v>
      </c>
      <c r="K1070" s="2" t="e">
        <f>VLOOKUP(F1070,Munka1!A:A,1,0)</f>
        <v>#N/A</v>
      </c>
    </row>
    <row r="1071" spans="10:11" hidden="1" x14ac:dyDescent="0.3">
      <c r="J1071" s="2" t="str">
        <f t="shared" si="16"/>
        <v>NO</v>
      </c>
      <c r="K1071" s="2" t="e">
        <f>VLOOKUP(F1071,Munka1!A:A,1,0)</f>
        <v>#N/A</v>
      </c>
    </row>
    <row r="1072" spans="10:11" hidden="1" x14ac:dyDescent="0.3">
      <c r="J1072" s="2" t="str">
        <f t="shared" si="16"/>
        <v>NO</v>
      </c>
      <c r="K1072" s="2" t="e">
        <f>VLOOKUP(F1072,Munka1!A:A,1,0)</f>
        <v>#N/A</v>
      </c>
    </row>
    <row r="1073" spans="10:11" hidden="1" x14ac:dyDescent="0.3">
      <c r="J1073" s="2" t="str">
        <f t="shared" si="16"/>
        <v>NO</v>
      </c>
      <c r="K1073" s="2" t="e">
        <f>VLOOKUP(F1073,Munka1!A:A,1,0)</f>
        <v>#N/A</v>
      </c>
    </row>
    <row r="1074" spans="10:11" hidden="1" x14ac:dyDescent="0.3">
      <c r="J1074" s="2" t="str">
        <f t="shared" si="16"/>
        <v>NO</v>
      </c>
      <c r="K1074" s="2" t="e">
        <f>VLOOKUP(F1074,Munka1!A:A,1,0)</f>
        <v>#N/A</v>
      </c>
    </row>
    <row r="1075" spans="10:11" hidden="1" x14ac:dyDescent="0.3">
      <c r="J1075" s="2" t="str">
        <f t="shared" si="16"/>
        <v>NO</v>
      </c>
      <c r="K1075" s="2" t="e">
        <f>VLOOKUP(F1075,Munka1!A:A,1,0)</f>
        <v>#N/A</v>
      </c>
    </row>
    <row r="1076" spans="10:11" hidden="1" x14ac:dyDescent="0.3">
      <c r="J1076" s="2" t="str">
        <f t="shared" si="16"/>
        <v>NO</v>
      </c>
      <c r="K1076" s="2" t="e">
        <f>VLOOKUP(F1076,Munka1!A:A,1,0)</f>
        <v>#N/A</v>
      </c>
    </row>
    <row r="1077" spans="10:11" hidden="1" x14ac:dyDescent="0.3">
      <c r="J1077" s="2" t="str">
        <f t="shared" si="16"/>
        <v>NO</v>
      </c>
      <c r="K1077" s="2" t="e">
        <f>VLOOKUP(F1077,Munka1!A:A,1,0)</f>
        <v>#N/A</v>
      </c>
    </row>
    <row r="1078" spans="10:11" hidden="1" x14ac:dyDescent="0.3">
      <c r="J1078" s="2" t="str">
        <f t="shared" si="16"/>
        <v>NO</v>
      </c>
      <c r="K1078" s="2" t="e">
        <f>VLOOKUP(F1078,Munka1!A:A,1,0)</f>
        <v>#N/A</v>
      </c>
    </row>
    <row r="1079" spans="10:11" hidden="1" x14ac:dyDescent="0.3">
      <c r="J1079" s="2" t="str">
        <f t="shared" si="16"/>
        <v>NO</v>
      </c>
      <c r="K1079" s="2" t="e">
        <f>VLOOKUP(F1079,Munka1!A:A,1,0)</f>
        <v>#N/A</v>
      </c>
    </row>
    <row r="1080" spans="10:11" hidden="1" x14ac:dyDescent="0.3">
      <c r="J1080" s="2" t="str">
        <f t="shared" si="16"/>
        <v>NO</v>
      </c>
      <c r="K1080" s="2" t="e">
        <f>VLOOKUP(F1080,Munka1!A:A,1,0)</f>
        <v>#N/A</v>
      </c>
    </row>
    <row r="1081" spans="10:11" hidden="1" x14ac:dyDescent="0.3">
      <c r="J1081" s="2" t="str">
        <f t="shared" si="16"/>
        <v>NO</v>
      </c>
      <c r="K1081" s="2" t="e">
        <f>VLOOKUP(F1081,Munka1!A:A,1,0)</f>
        <v>#N/A</v>
      </c>
    </row>
    <row r="1082" spans="10:11" hidden="1" x14ac:dyDescent="0.3">
      <c r="J1082" s="2" t="str">
        <f t="shared" si="16"/>
        <v>NO</v>
      </c>
      <c r="K1082" s="2" t="e">
        <f>VLOOKUP(F1082,Munka1!A:A,1,0)</f>
        <v>#N/A</v>
      </c>
    </row>
    <row r="1083" spans="10:11" hidden="1" x14ac:dyDescent="0.3">
      <c r="J1083" s="2" t="str">
        <f t="shared" si="16"/>
        <v>NO</v>
      </c>
      <c r="K1083" s="2" t="e">
        <f>VLOOKUP(F1083,Munka1!A:A,1,0)</f>
        <v>#N/A</v>
      </c>
    </row>
    <row r="1084" spans="10:11" hidden="1" x14ac:dyDescent="0.3">
      <c r="J1084" s="2" t="str">
        <f t="shared" si="16"/>
        <v>NO</v>
      </c>
      <c r="K1084" s="2" t="e">
        <f>VLOOKUP(F1084,Munka1!A:A,1,0)</f>
        <v>#N/A</v>
      </c>
    </row>
    <row r="1085" spans="10:11" hidden="1" x14ac:dyDescent="0.3">
      <c r="J1085" s="2" t="str">
        <f t="shared" si="16"/>
        <v>NO</v>
      </c>
      <c r="K1085" s="2" t="e">
        <f>VLOOKUP(F1085,Munka1!A:A,1,0)</f>
        <v>#N/A</v>
      </c>
    </row>
    <row r="1086" spans="10:11" hidden="1" x14ac:dyDescent="0.3">
      <c r="J1086" s="2" t="str">
        <f t="shared" si="16"/>
        <v>NO</v>
      </c>
      <c r="K1086" s="2" t="e">
        <f>VLOOKUP(F1086,Munka1!A:A,1,0)</f>
        <v>#N/A</v>
      </c>
    </row>
    <row r="1087" spans="10:11" hidden="1" x14ac:dyDescent="0.3">
      <c r="J1087" s="2" t="str">
        <f t="shared" si="16"/>
        <v>NO</v>
      </c>
      <c r="K1087" s="2" t="e">
        <f>VLOOKUP(F1087,Munka1!A:A,1,0)</f>
        <v>#N/A</v>
      </c>
    </row>
    <row r="1088" spans="10:11" hidden="1" x14ac:dyDescent="0.3">
      <c r="J1088" s="2" t="str">
        <f t="shared" si="16"/>
        <v>NO</v>
      </c>
      <c r="K1088" s="2" t="e">
        <f>VLOOKUP(F1088,Munka1!A:A,1,0)</f>
        <v>#N/A</v>
      </c>
    </row>
    <row r="1089" spans="10:11" hidden="1" x14ac:dyDescent="0.3">
      <c r="J1089" s="2" t="str">
        <f t="shared" si="16"/>
        <v>NO</v>
      </c>
      <c r="K1089" s="2" t="e">
        <f>VLOOKUP(F1089,Munka1!A:A,1,0)</f>
        <v>#N/A</v>
      </c>
    </row>
    <row r="1090" spans="10:11" hidden="1" x14ac:dyDescent="0.3">
      <c r="J1090" s="2" t="str">
        <f t="shared" si="16"/>
        <v>NO</v>
      </c>
      <c r="K1090" s="2" t="e">
        <f>VLOOKUP(F1090,Munka1!A:A,1,0)</f>
        <v>#N/A</v>
      </c>
    </row>
    <row r="1091" spans="10:11" hidden="1" x14ac:dyDescent="0.3">
      <c r="J1091" s="2" t="str">
        <f t="shared" ref="J1091:J1154" si="17">IF(OR(F1091="",F1091="_",LEFT(F1091,5)="SPARE",F1091="N/A"),"NO","YES")</f>
        <v>NO</v>
      </c>
      <c r="K1091" s="2" t="e">
        <f>VLOOKUP(F1091,Munka1!A:A,1,0)</f>
        <v>#N/A</v>
      </c>
    </row>
    <row r="1092" spans="10:11" hidden="1" x14ac:dyDescent="0.3">
      <c r="J1092" s="2" t="str">
        <f t="shared" si="17"/>
        <v>NO</v>
      </c>
      <c r="K1092" s="2" t="e">
        <f>VLOOKUP(F1092,Munka1!A:A,1,0)</f>
        <v>#N/A</v>
      </c>
    </row>
    <row r="1093" spans="10:11" hidden="1" x14ac:dyDescent="0.3">
      <c r="J1093" s="2" t="str">
        <f t="shared" si="17"/>
        <v>NO</v>
      </c>
      <c r="K1093" s="2" t="e">
        <f>VLOOKUP(F1093,Munka1!A:A,1,0)</f>
        <v>#N/A</v>
      </c>
    </row>
    <row r="1094" spans="10:11" hidden="1" x14ac:dyDescent="0.3">
      <c r="J1094" s="2" t="str">
        <f t="shared" si="17"/>
        <v>NO</v>
      </c>
      <c r="K1094" s="2" t="e">
        <f>VLOOKUP(F1094,Munka1!A:A,1,0)</f>
        <v>#N/A</v>
      </c>
    </row>
    <row r="1095" spans="10:11" hidden="1" x14ac:dyDescent="0.3">
      <c r="J1095" s="2" t="str">
        <f t="shared" si="17"/>
        <v>NO</v>
      </c>
      <c r="K1095" s="2" t="e">
        <f>VLOOKUP(F1095,Munka1!A:A,1,0)</f>
        <v>#N/A</v>
      </c>
    </row>
    <row r="1096" spans="10:11" hidden="1" x14ac:dyDescent="0.3">
      <c r="J1096" s="2" t="str">
        <f t="shared" si="17"/>
        <v>NO</v>
      </c>
      <c r="K1096" s="2" t="e">
        <f>VLOOKUP(F1096,Munka1!A:A,1,0)</f>
        <v>#N/A</v>
      </c>
    </row>
    <row r="1097" spans="10:11" hidden="1" x14ac:dyDescent="0.3">
      <c r="J1097" s="2" t="str">
        <f t="shared" si="17"/>
        <v>NO</v>
      </c>
      <c r="K1097" s="2" t="e">
        <f>VLOOKUP(F1097,Munka1!A:A,1,0)</f>
        <v>#N/A</v>
      </c>
    </row>
    <row r="1098" spans="10:11" hidden="1" x14ac:dyDescent="0.3">
      <c r="J1098" s="2" t="str">
        <f t="shared" si="17"/>
        <v>NO</v>
      </c>
      <c r="K1098" s="2" t="e">
        <f>VLOOKUP(F1098,Munka1!A:A,1,0)</f>
        <v>#N/A</v>
      </c>
    </row>
    <row r="1099" spans="10:11" hidden="1" x14ac:dyDescent="0.3">
      <c r="J1099" s="2" t="str">
        <f t="shared" si="17"/>
        <v>NO</v>
      </c>
      <c r="K1099" s="2" t="e">
        <f>VLOOKUP(F1099,Munka1!A:A,1,0)</f>
        <v>#N/A</v>
      </c>
    </row>
    <row r="1100" spans="10:11" hidden="1" x14ac:dyDescent="0.3">
      <c r="J1100" s="2" t="str">
        <f t="shared" si="17"/>
        <v>NO</v>
      </c>
      <c r="K1100" s="2" t="e">
        <f>VLOOKUP(F1100,Munka1!A:A,1,0)</f>
        <v>#N/A</v>
      </c>
    </row>
    <row r="1101" spans="10:11" hidden="1" x14ac:dyDescent="0.3">
      <c r="J1101" s="2" t="str">
        <f t="shared" si="17"/>
        <v>NO</v>
      </c>
      <c r="K1101" s="2" t="e">
        <f>VLOOKUP(F1101,Munka1!A:A,1,0)</f>
        <v>#N/A</v>
      </c>
    </row>
    <row r="1102" spans="10:11" hidden="1" x14ac:dyDescent="0.3">
      <c r="J1102" s="2" t="str">
        <f t="shared" si="17"/>
        <v>NO</v>
      </c>
      <c r="K1102" s="2" t="e">
        <f>VLOOKUP(F1102,Munka1!A:A,1,0)</f>
        <v>#N/A</v>
      </c>
    </row>
    <row r="1103" spans="10:11" hidden="1" x14ac:dyDescent="0.3">
      <c r="J1103" s="2" t="str">
        <f t="shared" si="17"/>
        <v>NO</v>
      </c>
      <c r="K1103" s="2" t="e">
        <f>VLOOKUP(F1103,Munka1!A:A,1,0)</f>
        <v>#N/A</v>
      </c>
    </row>
    <row r="1104" spans="10:11" hidden="1" x14ac:dyDescent="0.3">
      <c r="J1104" s="2" t="str">
        <f t="shared" si="17"/>
        <v>NO</v>
      </c>
      <c r="K1104" s="2" t="e">
        <f>VLOOKUP(F1104,Munka1!A:A,1,0)</f>
        <v>#N/A</v>
      </c>
    </row>
    <row r="1105" spans="10:11" hidden="1" x14ac:dyDescent="0.3">
      <c r="J1105" s="2" t="str">
        <f t="shared" si="17"/>
        <v>NO</v>
      </c>
      <c r="K1105" s="2" t="e">
        <f>VLOOKUP(F1105,Munka1!A:A,1,0)</f>
        <v>#N/A</v>
      </c>
    </row>
    <row r="1106" spans="10:11" hidden="1" x14ac:dyDescent="0.3">
      <c r="J1106" s="2" t="str">
        <f t="shared" si="17"/>
        <v>NO</v>
      </c>
      <c r="K1106" s="2" t="e">
        <f>VLOOKUP(F1106,Munka1!A:A,1,0)</f>
        <v>#N/A</v>
      </c>
    </row>
    <row r="1107" spans="10:11" hidden="1" x14ac:dyDescent="0.3">
      <c r="J1107" s="2" t="str">
        <f t="shared" si="17"/>
        <v>NO</v>
      </c>
      <c r="K1107" s="2" t="e">
        <f>VLOOKUP(F1107,Munka1!A:A,1,0)</f>
        <v>#N/A</v>
      </c>
    </row>
    <row r="1108" spans="10:11" hidden="1" x14ac:dyDescent="0.3">
      <c r="J1108" s="2" t="str">
        <f t="shared" si="17"/>
        <v>NO</v>
      </c>
      <c r="K1108" s="2" t="e">
        <f>VLOOKUP(F1108,Munka1!A:A,1,0)</f>
        <v>#N/A</v>
      </c>
    </row>
    <row r="1109" spans="10:11" hidden="1" x14ac:dyDescent="0.3">
      <c r="J1109" s="2" t="str">
        <f t="shared" si="17"/>
        <v>NO</v>
      </c>
      <c r="K1109" s="2" t="e">
        <f>VLOOKUP(F1109,Munka1!A:A,1,0)</f>
        <v>#N/A</v>
      </c>
    </row>
    <row r="1110" spans="10:11" hidden="1" x14ac:dyDescent="0.3">
      <c r="J1110" s="2" t="str">
        <f t="shared" si="17"/>
        <v>NO</v>
      </c>
      <c r="K1110" s="2" t="e">
        <f>VLOOKUP(F1110,Munka1!A:A,1,0)</f>
        <v>#N/A</v>
      </c>
    </row>
    <row r="1111" spans="10:11" hidden="1" x14ac:dyDescent="0.3">
      <c r="J1111" s="2" t="str">
        <f t="shared" si="17"/>
        <v>NO</v>
      </c>
      <c r="K1111" s="2" t="e">
        <f>VLOOKUP(F1111,Munka1!A:A,1,0)</f>
        <v>#N/A</v>
      </c>
    </row>
    <row r="1112" spans="10:11" hidden="1" x14ac:dyDescent="0.3">
      <c r="J1112" s="2" t="str">
        <f t="shared" si="17"/>
        <v>NO</v>
      </c>
      <c r="K1112" s="2" t="e">
        <f>VLOOKUP(F1112,Munka1!A:A,1,0)</f>
        <v>#N/A</v>
      </c>
    </row>
    <row r="1113" spans="10:11" hidden="1" x14ac:dyDescent="0.3">
      <c r="J1113" s="2" t="str">
        <f t="shared" si="17"/>
        <v>NO</v>
      </c>
      <c r="K1113" s="2" t="e">
        <f>VLOOKUP(F1113,Munka1!A:A,1,0)</f>
        <v>#N/A</v>
      </c>
    </row>
    <row r="1114" spans="10:11" hidden="1" x14ac:dyDescent="0.3">
      <c r="J1114" s="2" t="str">
        <f t="shared" si="17"/>
        <v>NO</v>
      </c>
      <c r="K1114" s="2" t="e">
        <f>VLOOKUP(F1114,Munka1!A:A,1,0)</f>
        <v>#N/A</v>
      </c>
    </row>
    <row r="1115" spans="10:11" hidden="1" x14ac:dyDescent="0.3">
      <c r="J1115" s="2" t="str">
        <f t="shared" si="17"/>
        <v>NO</v>
      </c>
      <c r="K1115" s="2" t="e">
        <f>VLOOKUP(F1115,Munka1!A:A,1,0)</f>
        <v>#N/A</v>
      </c>
    </row>
    <row r="1116" spans="10:11" hidden="1" x14ac:dyDescent="0.3">
      <c r="J1116" s="2" t="str">
        <f t="shared" si="17"/>
        <v>NO</v>
      </c>
      <c r="K1116" s="2" t="e">
        <f>VLOOKUP(F1116,Munka1!A:A,1,0)</f>
        <v>#N/A</v>
      </c>
    </row>
    <row r="1117" spans="10:11" hidden="1" x14ac:dyDescent="0.3">
      <c r="J1117" s="2" t="str">
        <f t="shared" si="17"/>
        <v>NO</v>
      </c>
      <c r="K1117" s="2" t="e">
        <f>VLOOKUP(F1117,Munka1!A:A,1,0)</f>
        <v>#N/A</v>
      </c>
    </row>
    <row r="1118" spans="10:11" hidden="1" x14ac:dyDescent="0.3">
      <c r="J1118" s="2" t="str">
        <f t="shared" si="17"/>
        <v>NO</v>
      </c>
      <c r="K1118" s="2" t="e">
        <f>VLOOKUP(F1118,Munka1!A:A,1,0)</f>
        <v>#N/A</v>
      </c>
    </row>
    <row r="1119" spans="10:11" hidden="1" x14ac:dyDescent="0.3">
      <c r="J1119" s="2" t="str">
        <f t="shared" si="17"/>
        <v>NO</v>
      </c>
      <c r="K1119" s="2" t="e">
        <f>VLOOKUP(F1119,Munka1!A:A,1,0)</f>
        <v>#N/A</v>
      </c>
    </row>
    <row r="1120" spans="10:11" hidden="1" x14ac:dyDescent="0.3">
      <c r="J1120" s="2" t="str">
        <f t="shared" si="17"/>
        <v>NO</v>
      </c>
      <c r="K1120" s="2" t="e">
        <f>VLOOKUP(F1120,Munka1!A:A,1,0)</f>
        <v>#N/A</v>
      </c>
    </row>
    <row r="1121" spans="10:11" hidden="1" x14ac:dyDescent="0.3">
      <c r="J1121" s="2" t="str">
        <f t="shared" si="17"/>
        <v>NO</v>
      </c>
      <c r="K1121" s="2" t="e">
        <f>VLOOKUP(F1121,Munka1!A:A,1,0)</f>
        <v>#N/A</v>
      </c>
    </row>
    <row r="1122" spans="10:11" hidden="1" x14ac:dyDescent="0.3">
      <c r="J1122" s="2" t="str">
        <f t="shared" si="17"/>
        <v>NO</v>
      </c>
      <c r="K1122" s="2" t="e">
        <f>VLOOKUP(F1122,Munka1!A:A,1,0)</f>
        <v>#N/A</v>
      </c>
    </row>
    <row r="1123" spans="10:11" hidden="1" x14ac:dyDescent="0.3">
      <c r="J1123" s="2" t="str">
        <f t="shared" si="17"/>
        <v>NO</v>
      </c>
      <c r="K1123" s="2" t="e">
        <f>VLOOKUP(F1123,Munka1!A:A,1,0)</f>
        <v>#N/A</v>
      </c>
    </row>
    <row r="1124" spans="10:11" hidden="1" x14ac:dyDescent="0.3">
      <c r="J1124" s="2" t="str">
        <f t="shared" si="17"/>
        <v>NO</v>
      </c>
      <c r="K1124" s="2" t="e">
        <f>VLOOKUP(F1124,Munka1!A:A,1,0)</f>
        <v>#N/A</v>
      </c>
    </row>
    <row r="1125" spans="10:11" hidden="1" x14ac:dyDescent="0.3">
      <c r="J1125" s="2" t="str">
        <f t="shared" si="17"/>
        <v>NO</v>
      </c>
      <c r="K1125" s="2" t="e">
        <f>VLOOKUP(F1125,Munka1!A:A,1,0)</f>
        <v>#N/A</v>
      </c>
    </row>
    <row r="1126" spans="10:11" hidden="1" x14ac:dyDescent="0.3">
      <c r="J1126" s="2" t="str">
        <f t="shared" si="17"/>
        <v>NO</v>
      </c>
      <c r="K1126" s="2" t="e">
        <f>VLOOKUP(F1126,Munka1!A:A,1,0)</f>
        <v>#N/A</v>
      </c>
    </row>
    <row r="1127" spans="10:11" hidden="1" x14ac:dyDescent="0.3">
      <c r="J1127" s="2" t="str">
        <f t="shared" si="17"/>
        <v>NO</v>
      </c>
      <c r="K1127" s="2" t="e">
        <f>VLOOKUP(F1127,Munka1!A:A,1,0)</f>
        <v>#N/A</v>
      </c>
    </row>
    <row r="1128" spans="10:11" hidden="1" x14ac:dyDescent="0.3">
      <c r="J1128" s="2" t="str">
        <f t="shared" si="17"/>
        <v>NO</v>
      </c>
      <c r="K1128" s="2" t="e">
        <f>VLOOKUP(F1128,Munka1!A:A,1,0)</f>
        <v>#N/A</v>
      </c>
    </row>
    <row r="1129" spans="10:11" hidden="1" x14ac:dyDescent="0.3">
      <c r="J1129" s="2" t="str">
        <f t="shared" si="17"/>
        <v>NO</v>
      </c>
      <c r="K1129" s="2" t="e">
        <f>VLOOKUP(F1129,Munka1!A:A,1,0)</f>
        <v>#N/A</v>
      </c>
    </row>
    <row r="1130" spans="10:11" hidden="1" x14ac:dyDescent="0.3">
      <c r="J1130" s="2" t="str">
        <f t="shared" si="17"/>
        <v>NO</v>
      </c>
      <c r="K1130" s="2" t="e">
        <f>VLOOKUP(F1130,Munka1!A:A,1,0)</f>
        <v>#N/A</v>
      </c>
    </row>
    <row r="1131" spans="10:11" hidden="1" x14ac:dyDescent="0.3">
      <c r="J1131" s="2" t="str">
        <f t="shared" si="17"/>
        <v>NO</v>
      </c>
      <c r="K1131" s="2" t="e">
        <f>VLOOKUP(F1131,Munka1!A:A,1,0)</f>
        <v>#N/A</v>
      </c>
    </row>
    <row r="1132" spans="10:11" hidden="1" x14ac:dyDescent="0.3">
      <c r="J1132" s="2" t="str">
        <f t="shared" si="17"/>
        <v>NO</v>
      </c>
      <c r="K1132" s="2" t="e">
        <f>VLOOKUP(F1132,Munka1!A:A,1,0)</f>
        <v>#N/A</v>
      </c>
    </row>
    <row r="1133" spans="10:11" hidden="1" x14ac:dyDescent="0.3">
      <c r="J1133" s="2" t="str">
        <f t="shared" si="17"/>
        <v>NO</v>
      </c>
      <c r="K1133" s="2" t="e">
        <f>VLOOKUP(F1133,Munka1!A:A,1,0)</f>
        <v>#N/A</v>
      </c>
    </row>
    <row r="1134" spans="10:11" hidden="1" x14ac:dyDescent="0.3">
      <c r="J1134" s="2" t="str">
        <f t="shared" si="17"/>
        <v>NO</v>
      </c>
      <c r="K1134" s="2" t="e">
        <f>VLOOKUP(F1134,Munka1!A:A,1,0)</f>
        <v>#N/A</v>
      </c>
    </row>
    <row r="1135" spans="10:11" hidden="1" x14ac:dyDescent="0.3">
      <c r="J1135" s="2" t="str">
        <f t="shared" si="17"/>
        <v>NO</v>
      </c>
      <c r="K1135" s="2" t="e">
        <f>VLOOKUP(F1135,Munka1!A:A,1,0)</f>
        <v>#N/A</v>
      </c>
    </row>
    <row r="1136" spans="10:11" hidden="1" x14ac:dyDescent="0.3">
      <c r="J1136" s="2" t="str">
        <f t="shared" si="17"/>
        <v>NO</v>
      </c>
      <c r="K1136" s="2" t="e">
        <f>VLOOKUP(F1136,Munka1!A:A,1,0)</f>
        <v>#N/A</v>
      </c>
    </row>
    <row r="1137" spans="10:11" hidden="1" x14ac:dyDescent="0.3">
      <c r="J1137" s="2" t="str">
        <f t="shared" si="17"/>
        <v>NO</v>
      </c>
      <c r="K1137" s="2" t="e">
        <f>VLOOKUP(F1137,Munka1!A:A,1,0)</f>
        <v>#N/A</v>
      </c>
    </row>
    <row r="1138" spans="10:11" hidden="1" x14ac:dyDescent="0.3">
      <c r="J1138" s="2" t="str">
        <f t="shared" si="17"/>
        <v>NO</v>
      </c>
      <c r="K1138" s="2" t="e">
        <f>VLOOKUP(F1138,Munka1!A:A,1,0)</f>
        <v>#N/A</v>
      </c>
    </row>
    <row r="1139" spans="10:11" hidden="1" x14ac:dyDescent="0.3">
      <c r="J1139" s="2" t="str">
        <f t="shared" si="17"/>
        <v>NO</v>
      </c>
      <c r="K1139" s="2" t="e">
        <f>VLOOKUP(F1139,Munka1!A:A,1,0)</f>
        <v>#N/A</v>
      </c>
    </row>
    <row r="1140" spans="10:11" hidden="1" x14ac:dyDescent="0.3">
      <c r="J1140" s="2" t="str">
        <f t="shared" si="17"/>
        <v>NO</v>
      </c>
      <c r="K1140" s="2" t="e">
        <f>VLOOKUP(F1140,Munka1!A:A,1,0)</f>
        <v>#N/A</v>
      </c>
    </row>
    <row r="1141" spans="10:11" hidden="1" x14ac:dyDescent="0.3">
      <c r="J1141" s="2" t="str">
        <f t="shared" si="17"/>
        <v>NO</v>
      </c>
      <c r="K1141" s="2" t="e">
        <f>VLOOKUP(F1141,Munka1!A:A,1,0)</f>
        <v>#N/A</v>
      </c>
    </row>
    <row r="1142" spans="10:11" hidden="1" x14ac:dyDescent="0.3">
      <c r="J1142" s="2" t="str">
        <f t="shared" si="17"/>
        <v>NO</v>
      </c>
      <c r="K1142" s="2" t="e">
        <f>VLOOKUP(F1142,Munka1!A:A,1,0)</f>
        <v>#N/A</v>
      </c>
    </row>
    <row r="1143" spans="10:11" hidden="1" x14ac:dyDescent="0.3">
      <c r="J1143" s="2" t="str">
        <f t="shared" si="17"/>
        <v>NO</v>
      </c>
      <c r="K1143" s="2" t="e">
        <f>VLOOKUP(F1143,Munka1!A:A,1,0)</f>
        <v>#N/A</v>
      </c>
    </row>
    <row r="1144" spans="10:11" hidden="1" x14ac:dyDescent="0.3">
      <c r="J1144" s="2" t="str">
        <f t="shared" si="17"/>
        <v>NO</v>
      </c>
      <c r="K1144" s="2" t="e">
        <f>VLOOKUP(F1144,Munka1!A:A,1,0)</f>
        <v>#N/A</v>
      </c>
    </row>
    <row r="1145" spans="10:11" hidden="1" x14ac:dyDescent="0.3">
      <c r="J1145" s="2" t="str">
        <f t="shared" si="17"/>
        <v>NO</v>
      </c>
      <c r="K1145" s="2" t="e">
        <f>VLOOKUP(F1145,Munka1!A:A,1,0)</f>
        <v>#N/A</v>
      </c>
    </row>
    <row r="1146" spans="10:11" hidden="1" x14ac:dyDescent="0.3">
      <c r="J1146" s="2" t="str">
        <f t="shared" si="17"/>
        <v>NO</v>
      </c>
      <c r="K1146" s="2" t="e">
        <f>VLOOKUP(F1146,Munka1!A:A,1,0)</f>
        <v>#N/A</v>
      </c>
    </row>
    <row r="1147" spans="10:11" hidden="1" x14ac:dyDescent="0.3">
      <c r="J1147" s="2" t="str">
        <f t="shared" si="17"/>
        <v>NO</v>
      </c>
      <c r="K1147" s="2" t="e">
        <f>VLOOKUP(F1147,Munka1!A:A,1,0)</f>
        <v>#N/A</v>
      </c>
    </row>
    <row r="1148" spans="10:11" hidden="1" x14ac:dyDescent="0.3">
      <c r="J1148" s="2" t="str">
        <f t="shared" si="17"/>
        <v>NO</v>
      </c>
      <c r="K1148" s="2" t="e">
        <f>VLOOKUP(F1148,Munka1!A:A,1,0)</f>
        <v>#N/A</v>
      </c>
    </row>
    <row r="1149" spans="10:11" hidden="1" x14ac:dyDescent="0.3">
      <c r="J1149" s="2" t="str">
        <f t="shared" si="17"/>
        <v>NO</v>
      </c>
      <c r="K1149" s="2" t="e">
        <f>VLOOKUP(F1149,Munka1!A:A,1,0)</f>
        <v>#N/A</v>
      </c>
    </row>
    <row r="1150" spans="10:11" hidden="1" x14ac:dyDescent="0.3">
      <c r="J1150" s="2" t="str">
        <f t="shared" si="17"/>
        <v>NO</v>
      </c>
      <c r="K1150" s="2" t="e">
        <f>VLOOKUP(F1150,Munka1!A:A,1,0)</f>
        <v>#N/A</v>
      </c>
    </row>
    <row r="1151" spans="10:11" hidden="1" x14ac:dyDescent="0.3">
      <c r="J1151" s="2" t="str">
        <f t="shared" si="17"/>
        <v>NO</v>
      </c>
      <c r="K1151" s="2" t="e">
        <f>VLOOKUP(F1151,Munka1!A:A,1,0)</f>
        <v>#N/A</v>
      </c>
    </row>
    <row r="1152" spans="10:11" hidden="1" x14ac:dyDescent="0.3">
      <c r="J1152" s="2" t="str">
        <f t="shared" si="17"/>
        <v>NO</v>
      </c>
      <c r="K1152" s="2" t="e">
        <f>VLOOKUP(F1152,Munka1!A:A,1,0)</f>
        <v>#N/A</v>
      </c>
    </row>
    <row r="1153" spans="10:11" hidden="1" x14ac:dyDescent="0.3">
      <c r="J1153" s="2" t="str">
        <f t="shared" si="17"/>
        <v>NO</v>
      </c>
      <c r="K1153" s="2" t="e">
        <f>VLOOKUP(F1153,Munka1!A:A,1,0)</f>
        <v>#N/A</v>
      </c>
    </row>
    <row r="1154" spans="10:11" hidden="1" x14ac:dyDescent="0.3">
      <c r="J1154" s="2" t="str">
        <f t="shared" si="17"/>
        <v>NO</v>
      </c>
      <c r="K1154" s="2" t="e">
        <f>VLOOKUP(F1154,Munka1!A:A,1,0)</f>
        <v>#N/A</v>
      </c>
    </row>
    <row r="1155" spans="10:11" hidden="1" x14ac:dyDescent="0.3">
      <c r="J1155" s="2" t="str">
        <f t="shared" ref="J1155:J1218" si="18">IF(OR(F1155="",F1155="_",LEFT(F1155,5)="SPARE",F1155="N/A"),"NO","YES")</f>
        <v>NO</v>
      </c>
      <c r="K1155" s="2" t="e">
        <f>VLOOKUP(F1155,Munka1!A:A,1,0)</f>
        <v>#N/A</v>
      </c>
    </row>
    <row r="1156" spans="10:11" hidden="1" x14ac:dyDescent="0.3">
      <c r="J1156" s="2" t="str">
        <f t="shared" si="18"/>
        <v>NO</v>
      </c>
      <c r="K1156" s="2" t="e">
        <f>VLOOKUP(F1156,Munka1!A:A,1,0)</f>
        <v>#N/A</v>
      </c>
    </row>
    <row r="1157" spans="10:11" hidden="1" x14ac:dyDescent="0.3">
      <c r="J1157" s="2" t="str">
        <f t="shared" si="18"/>
        <v>NO</v>
      </c>
      <c r="K1157" s="2" t="e">
        <f>VLOOKUP(F1157,Munka1!A:A,1,0)</f>
        <v>#N/A</v>
      </c>
    </row>
    <row r="1158" spans="10:11" hidden="1" x14ac:dyDescent="0.3">
      <c r="J1158" s="2" t="str">
        <f t="shared" si="18"/>
        <v>NO</v>
      </c>
      <c r="K1158" s="2" t="e">
        <f>VLOOKUP(F1158,Munka1!A:A,1,0)</f>
        <v>#N/A</v>
      </c>
    </row>
    <row r="1159" spans="10:11" hidden="1" x14ac:dyDescent="0.3">
      <c r="J1159" s="2" t="str">
        <f t="shared" si="18"/>
        <v>NO</v>
      </c>
      <c r="K1159" s="2" t="e">
        <f>VLOOKUP(F1159,Munka1!A:A,1,0)</f>
        <v>#N/A</v>
      </c>
    </row>
    <row r="1160" spans="10:11" hidden="1" x14ac:dyDescent="0.3">
      <c r="J1160" s="2" t="str">
        <f t="shared" si="18"/>
        <v>NO</v>
      </c>
      <c r="K1160" s="2" t="e">
        <f>VLOOKUP(F1160,Munka1!A:A,1,0)</f>
        <v>#N/A</v>
      </c>
    </row>
    <row r="1161" spans="10:11" hidden="1" x14ac:dyDescent="0.3">
      <c r="J1161" s="2" t="str">
        <f t="shared" si="18"/>
        <v>NO</v>
      </c>
      <c r="K1161" s="2" t="e">
        <f>VLOOKUP(F1161,Munka1!A:A,1,0)</f>
        <v>#N/A</v>
      </c>
    </row>
    <row r="1162" spans="10:11" hidden="1" x14ac:dyDescent="0.3">
      <c r="J1162" s="2" t="str">
        <f t="shared" si="18"/>
        <v>NO</v>
      </c>
      <c r="K1162" s="2" t="e">
        <f>VLOOKUP(F1162,Munka1!A:A,1,0)</f>
        <v>#N/A</v>
      </c>
    </row>
    <row r="1163" spans="10:11" hidden="1" x14ac:dyDescent="0.3">
      <c r="J1163" s="2" t="str">
        <f t="shared" si="18"/>
        <v>NO</v>
      </c>
      <c r="K1163" s="2" t="e">
        <f>VLOOKUP(F1163,Munka1!A:A,1,0)</f>
        <v>#N/A</v>
      </c>
    </row>
    <row r="1164" spans="10:11" hidden="1" x14ac:dyDescent="0.3">
      <c r="J1164" s="2" t="str">
        <f t="shared" si="18"/>
        <v>NO</v>
      </c>
      <c r="K1164" s="2" t="e">
        <f>VLOOKUP(F1164,Munka1!A:A,1,0)</f>
        <v>#N/A</v>
      </c>
    </row>
    <row r="1165" spans="10:11" hidden="1" x14ac:dyDescent="0.3">
      <c r="J1165" s="2" t="str">
        <f t="shared" si="18"/>
        <v>NO</v>
      </c>
      <c r="K1165" s="2" t="e">
        <f>VLOOKUP(F1165,Munka1!A:A,1,0)</f>
        <v>#N/A</v>
      </c>
    </row>
    <row r="1166" spans="10:11" hidden="1" x14ac:dyDescent="0.3">
      <c r="J1166" s="2" t="str">
        <f t="shared" si="18"/>
        <v>NO</v>
      </c>
      <c r="K1166" s="2" t="e">
        <f>VLOOKUP(F1166,Munka1!A:A,1,0)</f>
        <v>#N/A</v>
      </c>
    </row>
    <row r="1167" spans="10:11" hidden="1" x14ac:dyDescent="0.3">
      <c r="J1167" s="2" t="str">
        <f t="shared" si="18"/>
        <v>NO</v>
      </c>
      <c r="K1167" s="2" t="e">
        <f>VLOOKUP(F1167,Munka1!A:A,1,0)</f>
        <v>#N/A</v>
      </c>
    </row>
    <row r="1168" spans="10:11" hidden="1" x14ac:dyDescent="0.3">
      <c r="J1168" s="2" t="str">
        <f t="shared" si="18"/>
        <v>NO</v>
      </c>
      <c r="K1168" s="2" t="e">
        <f>VLOOKUP(F1168,Munka1!A:A,1,0)</f>
        <v>#N/A</v>
      </c>
    </row>
    <row r="1169" spans="10:11" hidden="1" x14ac:dyDescent="0.3">
      <c r="J1169" s="2" t="str">
        <f t="shared" si="18"/>
        <v>NO</v>
      </c>
      <c r="K1169" s="2" t="e">
        <f>VLOOKUP(F1169,Munka1!A:A,1,0)</f>
        <v>#N/A</v>
      </c>
    </row>
    <row r="1170" spans="10:11" hidden="1" x14ac:dyDescent="0.3">
      <c r="J1170" s="2" t="str">
        <f t="shared" si="18"/>
        <v>NO</v>
      </c>
      <c r="K1170" s="2" t="e">
        <f>VLOOKUP(F1170,Munka1!A:A,1,0)</f>
        <v>#N/A</v>
      </c>
    </row>
    <row r="1171" spans="10:11" hidden="1" x14ac:dyDescent="0.3">
      <c r="J1171" s="2" t="str">
        <f t="shared" si="18"/>
        <v>NO</v>
      </c>
      <c r="K1171" s="2" t="e">
        <f>VLOOKUP(F1171,Munka1!A:A,1,0)</f>
        <v>#N/A</v>
      </c>
    </row>
    <row r="1172" spans="10:11" hidden="1" x14ac:dyDescent="0.3">
      <c r="J1172" s="2" t="str">
        <f t="shared" si="18"/>
        <v>NO</v>
      </c>
      <c r="K1172" s="2" t="e">
        <f>VLOOKUP(F1172,Munka1!A:A,1,0)</f>
        <v>#N/A</v>
      </c>
    </row>
    <row r="1173" spans="10:11" hidden="1" x14ac:dyDescent="0.3">
      <c r="J1173" s="2" t="str">
        <f t="shared" si="18"/>
        <v>NO</v>
      </c>
      <c r="K1173" s="2" t="e">
        <f>VLOOKUP(F1173,Munka1!A:A,1,0)</f>
        <v>#N/A</v>
      </c>
    </row>
    <row r="1174" spans="10:11" hidden="1" x14ac:dyDescent="0.3">
      <c r="J1174" s="2" t="str">
        <f t="shared" si="18"/>
        <v>NO</v>
      </c>
      <c r="K1174" s="2" t="e">
        <f>VLOOKUP(F1174,Munka1!A:A,1,0)</f>
        <v>#N/A</v>
      </c>
    </row>
    <row r="1175" spans="10:11" hidden="1" x14ac:dyDescent="0.3">
      <c r="J1175" s="2" t="str">
        <f t="shared" si="18"/>
        <v>NO</v>
      </c>
      <c r="K1175" s="2" t="e">
        <f>VLOOKUP(F1175,Munka1!A:A,1,0)</f>
        <v>#N/A</v>
      </c>
    </row>
    <row r="1176" spans="10:11" hidden="1" x14ac:dyDescent="0.3">
      <c r="J1176" s="2" t="str">
        <f t="shared" si="18"/>
        <v>NO</v>
      </c>
      <c r="K1176" s="2" t="e">
        <f>VLOOKUP(F1176,Munka1!A:A,1,0)</f>
        <v>#N/A</v>
      </c>
    </row>
    <row r="1177" spans="10:11" hidden="1" x14ac:dyDescent="0.3">
      <c r="J1177" s="2" t="str">
        <f t="shared" si="18"/>
        <v>NO</v>
      </c>
      <c r="K1177" s="2" t="e">
        <f>VLOOKUP(F1177,Munka1!A:A,1,0)</f>
        <v>#N/A</v>
      </c>
    </row>
    <row r="1178" spans="10:11" hidden="1" x14ac:dyDescent="0.3">
      <c r="J1178" s="2" t="str">
        <f t="shared" si="18"/>
        <v>NO</v>
      </c>
      <c r="K1178" s="2" t="e">
        <f>VLOOKUP(F1178,Munka1!A:A,1,0)</f>
        <v>#N/A</v>
      </c>
    </row>
    <row r="1179" spans="10:11" hidden="1" x14ac:dyDescent="0.3">
      <c r="J1179" s="2" t="str">
        <f t="shared" si="18"/>
        <v>NO</v>
      </c>
      <c r="K1179" s="2" t="e">
        <f>VLOOKUP(F1179,Munka1!A:A,1,0)</f>
        <v>#N/A</v>
      </c>
    </row>
    <row r="1180" spans="10:11" hidden="1" x14ac:dyDescent="0.3">
      <c r="J1180" s="2" t="str">
        <f t="shared" si="18"/>
        <v>NO</v>
      </c>
      <c r="K1180" s="2" t="e">
        <f>VLOOKUP(F1180,Munka1!A:A,1,0)</f>
        <v>#N/A</v>
      </c>
    </row>
    <row r="1181" spans="10:11" hidden="1" x14ac:dyDescent="0.3">
      <c r="J1181" s="2" t="str">
        <f t="shared" si="18"/>
        <v>NO</v>
      </c>
      <c r="K1181" s="2" t="e">
        <f>VLOOKUP(F1181,Munka1!A:A,1,0)</f>
        <v>#N/A</v>
      </c>
    </row>
    <row r="1182" spans="10:11" hidden="1" x14ac:dyDescent="0.3">
      <c r="J1182" s="2" t="str">
        <f t="shared" si="18"/>
        <v>NO</v>
      </c>
      <c r="K1182" s="2" t="e">
        <f>VLOOKUP(F1182,Munka1!A:A,1,0)</f>
        <v>#N/A</v>
      </c>
    </row>
    <row r="1183" spans="10:11" hidden="1" x14ac:dyDescent="0.3">
      <c r="J1183" s="2" t="str">
        <f t="shared" si="18"/>
        <v>NO</v>
      </c>
      <c r="K1183" s="2" t="e">
        <f>VLOOKUP(F1183,Munka1!A:A,1,0)</f>
        <v>#N/A</v>
      </c>
    </row>
    <row r="1184" spans="10:11" hidden="1" x14ac:dyDescent="0.3">
      <c r="J1184" s="2" t="str">
        <f t="shared" si="18"/>
        <v>NO</v>
      </c>
      <c r="K1184" s="2" t="e">
        <f>VLOOKUP(F1184,Munka1!A:A,1,0)</f>
        <v>#N/A</v>
      </c>
    </row>
    <row r="1185" spans="10:11" hidden="1" x14ac:dyDescent="0.3">
      <c r="J1185" s="2" t="str">
        <f t="shared" si="18"/>
        <v>NO</v>
      </c>
      <c r="K1185" s="2" t="e">
        <f>VLOOKUP(F1185,Munka1!A:A,1,0)</f>
        <v>#N/A</v>
      </c>
    </row>
    <row r="1186" spans="10:11" hidden="1" x14ac:dyDescent="0.3">
      <c r="J1186" s="2" t="str">
        <f t="shared" si="18"/>
        <v>NO</v>
      </c>
      <c r="K1186" s="2" t="e">
        <f>VLOOKUP(F1186,Munka1!A:A,1,0)</f>
        <v>#N/A</v>
      </c>
    </row>
    <row r="1187" spans="10:11" hidden="1" x14ac:dyDescent="0.3">
      <c r="J1187" s="2" t="str">
        <f t="shared" si="18"/>
        <v>NO</v>
      </c>
      <c r="K1187" s="2" t="e">
        <f>VLOOKUP(F1187,Munka1!A:A,1,0)</f>
        <v>#N/A</v>
      </c>
    </row>
    <row r="1188" spans="10:11" hidden="1" x14ac:dyDescent="0.3">
      <c r="J1188" s="2" t="str">
        <f t="shared" si="18"/>
        <v>NO</v>
      </c>
      <c r="K1188" s="2" t="e">
        <f>VLOOKUP(F1188,Munka1!A:A,1,0)</f>
        <v>#N/A</v>
      </c>
    </row>
    <row r="1189" spans="10:11" hidden="1" x14ac:dyDescent="0.3">
      <c r="J1189" s="2" t="str">
        <f t="shared" si="18"/>
        <v>NO</v>
      </c>
      <c r="K1189" s="2" t="e">
        <f>VLOOKUP(F1189,Munka1!A:A,1,0)</f>
        <v>#N/A</v>
      </c>
    </row>
    <row r="1190" spans="10:11" hidden="1" x14ac:dyDescent="0.3">
      <c r="J1190" s="2" t="str">
        <f t="shared" si="18"/>
        <v>NO</v>
      </c>
      <c r="K1190" s="2" t="e">
        <f>VLOOKUP(F1190,Munka1!A:A,1,0)</f>
        <v>#N/A</v>
      </c>
    </row>
    <row r="1191" spans="10:11" hidden="1" x14ac:dyDescent="0.3">
      <c r="J1191" s="2" t="str">
        <f t="shared" si="18"/>
        <v>NO</v>
      </c>
      <c r="K1191" s="2" t="e">
        <f>VLOOKUP(F1191,Munka1!A:A,1,0)</f>
        <v>#N/A</v>
      </c>
    </row>
    <row r="1192" spans="10:11" hidden="1" x14ac:dyDescent="0.3">
      <c r="J1192" s="2" t="str">
        <f t="shared" si="18"/>
        <v>NO</v>
      </c>
      <c r="K1192" s="2" t="e">
        <f>VLOOKUP(F1192,Munka1!A:A,1,0)</f>
        <v>#N/A</v>
      </c>
    </row>
    <row r="1193" spans="10:11" hidden="1" x14ac:dyDescent="0.3">
      <c r="J1193" s="2" t="str">
        <f t="shared" si="18"/>
        <v>NO</v>
      </c>
      <c r="K1193" s="2" t="e">
        <f>VLOOKUP(F1193,Munka1!A:A,1,0)</f>
        <v>#N/A</v>
      </c>
    </row>
    <row r="1194" spans="10:11" hidden="1" x14ac:dyDescent="0.3">
      <c r="J1194" s="2" t="str">
        <f t="shared" si="18"/>
        <v>NO</v>
      </c>
      <c r="K1194" s="2" t="e">
        <f>VLOOKUP(F1194,Munka1!A:A,1,0)</f>
        <v>#N/A</v>
      </c>
    </row>
    <row r="1195" spans="10:11" hidden="1" x14ac:dyDescent="0.3">
      <c r="J1195" s="2" t="str">
        <f t="shared" si="18"/>
        <v>NO</v>
      </c>
      <c r="K1195" s="2" t="e">
        <f>VLOOKUP(F1195,Munka1!A:A,1,0)</f>
        <v>#N/A</v>
      </c>
    </row>
    <row r="1196" spans="10:11" hidden="1" x14ac:dyDescent="0.3">
      <c r="J1196" s="2" t="str">
        <f t="shared" si="18"/>
        <v>NO</v>
      </c>
      <c r="K1196" s="2" t="e">
        <f>VLOOKUP(F1196,Munka1!A:A,1,0)</f>
        <v>#N/A</v>
      </c>
    </row>
    <row r="1197" spans="10:11" hidden="1" x14ac:dyDescent="0.3">
      <c r="J1197" s="2" t="str">
        <f t="shared" si="18"/>
        <v>NO</v>
      </c>
      <c r="K1197" s="2" t="e">
        <f>VLOOKUP(F1197,Munka1!A:A,1,0)</f>
        <v>#N/A</v>
      </c>
    </row>
    <row r="1198" spans="10:11" hidden="1" x14ac:dyDescent="0.3">
      <c r="J1198" s="2" t="str">
        <f t="shared" si="18"/>
        <v>NO</v>
      </c>
      <c r="K1198" s="2" t="e">
        <f>VLOOKUP(F1198,Munka1!A:A,1,0)</f>
        <v>#N/A</v>
      </c>
    </row>
    <row r="1199" spans="10:11" hidden="1" x14ac:dyDescent="0.3">
      <c r="J1199" s="2" t="str">
        <f t="shared" si="18"/>
        <v>NO</v>
      </c>
      <c r="K1199" s="2" t="e">
        <f>VLOOKUP(F1199,Munka1!A:A,1,0)</f>
        <v>#N/A</v>
      </c>
    </row>
    <row r="1200" spans="10:11" hidden="1" x14ac:dyDescent="0.3">
      <c r="J1200" s="2" t="str">
        <f t="shared" si="18"/>
        <v>NO</v>
      </c>
      <c r="K1200" s="2" t="e">
        <f>VLOOKUP(F1200,Munka1!A:A,1,0)</f>
        <v>#N/A</v>
      </c>
    </row>
    <row r="1201" spans="10:11" hidden="1" x14ac:dyDescent="0.3">
      <c r="J1201" s="2" t="str">
        <f t="shared" si="18"/>
        <v>NO</v>
      </c>
      <c r="K1201" s="2" t="e">
        <f>VLOOKUP(F1201,Munka1!A:A,1,0)</f>
        <v>#N/A</v>
      </c>
    </row>
    <row r="1202" spans="10:11" hidden="1" x14ac:dyDescent="0.3">
      <c r="J1202" s="2" t="str">
        <f t="shared" si="18"/>
        <v>NO</v>
      </c>
      <c r="K1202" s="2" t="e">
        <f>VLOOKUP(F1202,Munka1!A:A,1,0)</f>
        <v>#N/A</v>
      </c>
    </row>
    <row r="1203" spans="10:11" hidden="1" x14ac:dyDescent="0.3">
      <c r="J1203" s="2" t="str">
        <f t="shared" si="18"/>
        <v>NO</v>
      </c>
      <c r="K1203" s="2" t="e">
        <f>VLOOKUP(F1203,Munka1!A:A,1,0)</f>
        <v>#N/A</v>
      </c>
    </row>
    <row r="1204" spans="10:11" hidden="1" x14ac:dyDescent="0.3">
      <c r="J1204" s="2" t="str">
        <f t="shared" si="18"/>
        <v>NO</v>
      </c>
      <c r="K1204" s="2" t="e">
        <f>VLOOKUP(F1204,Munka1!A:A,1,0)</f>
        <v>#N/A</v>
      </c>
    </row>
    <row r="1205" spans="10:11" hidden="1" x14ac:dyDescent="0.3">
      <c r="J1205" s="2" t="str">
        <f t="shared" si="18"/>
        <v>NO</v>
      </c>
      <c r="K1205" s="2" t="e">
        <f>VLOOKUP(F1205,Munka1!A:A,1,0)</f>
        <v>#N/A</v>
      </c>
    </row>
    <row r="1206" spans="10:11" hidden="1" x14ac:dyDescent="0.3">
      <c r="J1206" s="2" t="str">
        <f t="shared" si="18"/>
        <v>NO</v>
      </c>
      <c r="K1206" s="2" t="e">
        <f>VLOOKUP(F1206,Munka1!A:A,1,0)</f>
        <v>#N/A</v>
      </c>
    </row>
    <row r="1207" spans="10:11" hidden="1" x14ac:dyDescent="0.3">
      <c r="J1207" s="2" t="str">
        <f t="shared" si="18"/>
        <v>NO</v>
      </c>
      <c r="K1207" s="2" t="e">
        <f>VLOOKUP(F1207,Munka1!A:A,1,0)</f>
        <v>#N/A</v>
      </c>
    </row>
    <row r="1208" spans="10:11" hidden="1" x14ac:dyDescent="0.3">
      <c r="J1208" s="2" t="str">
        <f t="shared" si="18"/>
        <v>NO</v>
      </c>
      <c r="K1208" s="2" t="e">
        <f>VLOOKUP(F1208,Munka1!A:A,1,0)</f>
        <v>#N/A</v>
      </c>
    </row>
    <row r="1209" spans="10:11" hidden="1" x14ac:dyDescent="0.3">
      <c r="J1209" s="2" t="str">
        <f t="shared" si="18"/>
        <v>NO</v>
      </c>
      <c r="K1209" s="2" t="e">
        <f>VLOOKUP(F1209,Munka1!A:A,1,0)</f>
        <v>#N/A</v>
      </c>
    </row>
    <row r="1210" spans="10:11" hidden="1" x14ac:dyDescent="0.3">
      <c r="J1210" s="2" t="str">
        <f t="shared" si="18"/>
        <v>NO</v>
      </c>
      <c r="K1210" s="2" t="e">
        <f>VLOOKUP(F1210,Munka1!A:A,1,0)</f>
        <v>#N/A</v>
      </c>
    </row>
    <row r="1211" spans="10:11" hidden="1" x14ac:dyDescent="0.3">
      <c r="J1211" s="2" t="str">
        <f t="shared" si="18"/>
        <v>NO</v>
      </c>
      <c r="K1211" s="2" t="e">
        <f>VLOOKUP(F1211,Munka1!A:A,1,0)</f>
        <v>#N/A</v>
      </c>
    </row>
    <row r="1212" spans="10:11" hidden="1" x14ac:dyDescent="0.3">
      <c r="J1212" s="2" t="str">
        <f t="shared" si="18"/>
        <v>NO</v>
      </c>
      <c r="K1212" s="2" t="e">
        <f>VLOOKUP(F1212,Munka1!A:A,1,0)</f>
        <v>#N/A</v>
      </c>
    </row>
    <row r="1213" spans="10:11" hidden="1" x14ac:dyDescent="0.3">
      <c r="J1213" s="2" t="str">
        <f t="shared" si="18"/>
        <v>NO</v>
      </c>
      <c r="K1213" s="2" t="e">
        <f>VLOOKUP(F1213,Munka1!A:A,1,0)</f>
        <v>#N/A</v>
      </c>
    </row>
    <row r="1214" spans="10:11" hidden="1" x14ac:dyDescent="0.3">
      <c r="J1214" s="2" t="str">
        <f t="shared" si="18"/>
        <v>NO</v>
      </c>
      <c r="K1214" s="2" t="e">
        <f>VLOOKUP(F1214,Munka1!A:A,1,0)</f>
        <v>#N/A</v>
      </c>
    </row>
    <row r="1215" spans="10:11" hidden="1" x14ac:dyDescent="0.3">
      <c r="J1215" s="2" t="str">
        <f t="shared" si="18"/>
        <v>NO</v>
      </c>
      <c r="K1215" s="2" t="e">
        <f>VLOOKUP(F1215,Munka1!A:A,1,0)</f>
        <v>#N/A</v>
      </c>
    </row>
    <row r="1216" spans="10:11" hidden="1" x14ac:dyDescent="0.3">
      <c r="J1216" s="2" t="str">
        <f t="shared" si="18"/>
        <v>NO</v>
      </c>
      <c r="K1216" s="2" t="e">
        <f>VLOOKUP(F1216,Munka1!A:A,1,0)</f>
        <v>#N/A</v>
      </c>
    </row>
    <row r="1217" spans="10:11" hidden="1" x14ac:dyDescent="0.3">
      <c r="J1217" s="2" t="str">
        <f t="shared" si="18"/>
        <v>NO</v>
      </c>
      <c r="K1217" s="2" t="e">
        <f>VLOOKUP(F1217,Munka1!A:A,1,0)</f>
        <v>#N/A</v>
      </c>
    </row>
    <row r="1218" spans="10:11" hidden="1" x14ac:dyDescent="0.3">
      <c r="J1218" s="2" t="str">
        <f t="shared" si="18"/>
        <v>NO</v>
      </c>
      <c r="K1218" s="2" t="e">
        <f>VLOOKUP(F1218,Munka1!A:A,1,0)</f>
        <v>#N/A</v>
      </c>
    </row>
    <row r="1219" spans="10:11" hidden="1" x14ac:dyDescent="0.3">
      <c r="J1219" s="2" t="str">
        <f t="shared" ref="J1219:J1282" si="19">IF(OR(F1219="",F1219="_",LEFT(F1219,5)="SPARE",F1219="N/A"),"NO","YES")</f>
        <v>NO</v>
      </c>
      <c r="K1219" s="2" t="e">
        <f>VLOOKUP(F1219,Munka1!A:A,1,0)</f>
        <v>#N/A</v>
      </c>
    </row>
    <row r="1220" spans="10:11" hidden="1" x14ac:dyDescent="0.3">
      <c r="J1220" s="2" t="str">
        <f t="shared" si="19"/>
        <v>NO</v>
      </c>
      <c r="K1220" s="2" t="e">
        <f>VLOOKUP(F1220,Munka1!A:A,1,0)</f>
        <v>#N/A</v>
      </c>
    </row>
    <row r="1221" spans="10:11" hidden="1" x14ac:dyDescent="0.3">
      <c r="J1221" s="2" t="str">
        <f t="shared" si="19"/>
        <v>NO</v>
      </c>
      <c r="K1221" s="2" t="e">
        <f>VLOOKUP(F1221,Munka1!A:A,1,0)</f>
        <v>#N/A</v>
      </c>
    </row>
    <row r="1222" spans="10:11" hidden="1" x14ac:dyDescent="0.3">
      <c r="J1222" s="2" t="str">
        <f t="shared" si="19"/>
        <v>NO</v>
      </c>
      <c r="K1222" s="2" t="e">
        <f>VLOOKUP(F1222,Munka1!A:A,1,0)</f>
        <v>#N/A</v>
      </c>
    </row>
    <row r="1223" spans="10:11" hidden="1" x14ac:dyDescent="0.3">
      <c r="J1223" s="2" t="str">
        <f t="shared" si="19"/>
        <v>NO</v>
      </c>
      <c r="K1223" s="2" t="e">
        <f>VLOOKUP(F1223,Munka1!A:A,1,0)</f>
        <v>#N/A</v>
      </c>
    </row>
    <row r="1224" spans="10:11" hidden="1" x14ac:dyDescent="0.3">
      <c r="J1224" s="2" t="str">
        <f t="shared" si="19"/>
        <v>NO</v>
      </c>
      <c r="K1224" s="2" t="e">
        <f>VLOOKUP(F1224,Munka1!A:A,1,0)</f>
        <v>#N/A</v>
      </c>
    </row>
    <row r="1225" spans="10:11" hidden="1" x14ac:dyDescent="0.3">
      <c r="J1225" s="2" t="str">
        <f t="shared" si="19"/>
        <v>NO</v>
      </c>
      <c r="K1225" s="2" t="e">
        <f>VLOOKUP(F1225,Munka1!A:A,1,0)</f>
        <v>#N/A</v>
      </c>
    </row>
    <row r="1226" spans="10:11" hidden="1" x14ac:dyDescent="0.3">
      <c r="J1226" s="2" t="str">
        <f t="shared" si="19"/>
        <v>NO</v>
      </c>
      <c r="K1226" s="2" t="e">
        <f>VLOOKUP(F1226,Munka1!A:A,1,0)</f>
        <v>#N/A</v>
      </c>
    </row>
    <row r="1227" spans="10:11" hidden="1" x14ac:dyDescent="0.3">
      <c r="J1227" s="2" t="str">
        <f t="shared" si="19"/>
        <v>NO</v>
      </c>
      <c r="K1227" s="2" t="e">
        <f>VLOOKUP(F1227,Munka1!A:A,1,0)</f>
        <v>#N/A</v>
      </c>
    </row>
    <row r="1228" spans="10:11" hidden="1" x14ac:dyDescent="0.3">
      <c r="J1228" s="2" t="str">
        <f t="shared" si="19"/>
        <v>NO</v>
      </c>
      <c r="K1228" s="2" t="e">
        <f>VLOOKUP(F1228,Munka1!A:A,1,0)</f>
        <v>#N/A</v>
      </c>
    </row>
    <row r="1229" spans="10:11" hidden="1" x14ac:dyDescent="0.3">
      <c r="J1229" s="2" t="str">
        <f t="shared" si="19"/>
        <v>NO</v>
      </c>
      <c r="K1229" s="2" t="e">
        <f>VLOOKUP(F1229,Munka1!A:A,1,0)</f>
        <v>#N/A</v>
      </c>
    </row>
    <row r="1230" spans="10:11" hidden="1" x14ac:dyDescent="0.3">
      <c r="J1230" s="2" t="str">
        <f t="shared" si="19"/>
        <v>NO</v>
      </c>
      <c r="K1230" s="2" t="e">
        <f>VLOOKUP(F1230,Munka1!A:A,1,0)</f>
        <v>#N/A</v>
      </c>
    </row>
    <row r="1231" spans="10:11" hidden="1" x14ac:dyDescent="0.3">
      <c r="J1231" s="2" t="str">
        <f t="shared" si="19"/>
        <v>NO</v>
      </c>
      <c r="K1231" s="2" t="e">
        <f>VLOOKUP(F1231,Munka1!A:A,1,0)</f>
        <v>#N/A</v>
      </c>
    </row>
    <row r="1232" spans="10:11" hidden="1" x14ac:dyDescent="0.3">
      <c r="J1232" s="2" t="str">
        <f t="shared" si="19"/>
        <v>NO</v>
      </c>
      <c r="K1232" s="2" t="e">
        <f>VLOOKUP(F1232,Munka1!A:A,1,0)</f>
        <v>#N/A</v>
      </c>
    </row>
    <row r="1233" spans="10:11" hidden="1" x14ac:dyDescent="0.3">
      <c r="J1233" s="2" t="str">
        <f t="shared" si="19"/>
        <v>NO</v>
      </c>
      <c r="K1233" s="2" t="e">
        <f>VLOOKUP(F1233,Munka1!A:A,1,0)</f>
        <v>#N/A</v>
      </c>
    </row>
    <row r="1234" spans="10:11" hidden="1" x14ac:dyDescent="0.3">
      <c r="J1234" s="2" t="str">
        <f t="shared" si="19"/>
        <v>NO</v>
      </c>
      <c r="K1234" s="2" t="e">
        <f>VLOOKUP(F1234,Munka1!A:A,1,0)</f>
        <v>#N/A</v>
      </c>
    </row>
    <row r="1235" spans="10:11" hidden="1" x14ac:dyDescent="0.3">
      <c r="J1235" s="2" t="str">
        <f t="shared" si="19"/>
        <v>NO</v>
      </c>
      <c r="K1235" s="2" t="e">
        <f>VLOOKUP(F1235,Munka1!A:A,1,0)</f>
        <v>#N/A</v>
      </c>
    </row>
    <row r="1236" spans="10:11" hidden="1" x14ac:dyDescent="0.3">
      <c r="J1236" s="2" t="str">
        <f t="shared" si="19"/>
        <v>NO</v>
      </c>
      <c r="K1236" s="2" t="e">
        <f>VLOOKUP(F1236,Munka1!A:A,1,0)</f>
        <v>#N/A</v>
      </c>
    </row>
    <row r="1237" spans="10:11" hidden="1" x14ac:dyDescent="0.3">
      <c r="J1237" s="2" t="str">
        <f t="shared" si="19"/>
        <v>NO</v>
      </c>
      <c r="K1237" s="2" t="e">
        <f>VLOOKUP(F1237,Munka1!A:A,1,0)</f>
        <v>#N/A</v>
      </c>
    </row>
    <row r="1238" spans="10:11" hidden="1" x14ac:dyDescent="0.3">
      <c r="J1238" s="2" t="str">
        <f t="shared" si="19"/>
        <v>NO</v>
      </c>
      <c r="K1238" s="2" t="e">
        <f>VLOOKUP(F1238,Munka1!A:A,1,0)</f>
        <v>#N/A</v>
      </c>
    </row>
    <row r="1239" spans="10:11" hidden="1" x14ac:dyDescent="0.3">
      <c r="J1239" s="2" t="str">
        <f t="shared" si="19"/>
        <v>NO</v>
      </c>
      <c r="K1239" s="2" t="e">
        <f>VLOOKUP(F1239,Munka1!A:A,1,0)</f>
        <v>#N/A</v>
      </c>
    </row>
    <row r="1240" spans="10:11" hidden="1" x14ac:dyDescent="0.3">
      <c r="J1240" s="2" t="str">
        <f t="shared" si="19"/>
        <v>NO</v>
      </c>
      <c r="K1240" s="2" t="e">
        <f>VLOOKUP(F1240,Munka1!A:A,1,0)</f>
        <v>#N/A</v>
      </c>
    </row>
    <row r="1241" spans="10:11" hidden="1" x14ac:dyDescent="0.3">
      <c r="J1241" s="2" t="str">
        <f t="shared" si="19"/>
        <v>NO</v>
      </c>
      <c r="K1241" s="2" t="e">
        <f>VLOOKUP(F1241,Munka1!A:A,1,0)</f>
        <v>#N/A</v>
      </c>
    </row>
    <row r="1242" spans="10:11" hidden="1" x14ac:dyDescent="0.3">
      <c r="J1242" s="2" t="str">
        <f t="shared" si="19"/>
        <v>NO</v>
      </c>
      <c r="K1242" s="2" t="e">
        <f>VLOOKUP(F1242,Munka1!A:A,1,0)</f>
        <v>#N/A</v>
      </c>
    </row>
    <row r="1243" spans="10:11" hidden="1" x14ac:dyDescent="0.3">
      <c r="J1243" s="2" t="str">
        <f t="shared" si="19"/>
        <v>NO</v>
      </c>
      <c r="K1243" s="2" t="e">
        <f>VLOOKUP(F1243,Munka1!A:A,1,0)</f>
        <v>#N/A</v>
      </c>
    </row>
    <row r="1244" spans="10:11" hidden="1" x14ac:dyDescent="0.3">
      <c r="J1244" s="2" t="str">
        <f t="shared" si="19"/>
        <v>NO</v>
      </c>
      <c r="K1244" s="2" t="e">
        <f>VLOOKUP(F1244,Munka1!A:A,1,0)</f>
        <v>#N/A</v>
      </c>
    </row>
    <row r="1245" spans="10:11" hidden="1" x14ac:dyDescent="0.3">
      <c r="J1245" s="2" t="str">
        <f t="shared" si="19"/>
        <v>NO</v>
      </c>
      <c r="K1245" s="2" t="e">
        <f>VLOOKUP(F1245,Munka1!A:A,1,0)</f>
        <v>#N/A</v>
      </c>
    </row>
    <row r="1246" spans="10:11" hidden="1" x14ac:dyDescent="0.3">
      <c r="J1246" s="2" t="str">
        <f t="shared" si="19"/>
        <v>NO</v>
      </c>
      <c r="K1246" s="2" t="e">
        <f>VLOOKUP(F1246,Munka1!A:A,1,0)</f>
        <v>#N/A</v>
      </c>
    </row>
    <row r="1247" spans="10:11" hidden="1" x14ac:dyDescent="0.3">
      <c r="J1247" s="2" t="str">
        <f t="shared" si="19"/>
        <v>NO</v>
      </c>
      <c r="K1247" s="2" t="e">
        <f>VLOOKUP(F1247,Munka1!A:A,1,0)</f>
        <v>#N/A</v>
      </c>
    </row>
    <row r="1248" spans="10:11" hidden="1" x14ac:dyDescent="0.3">
      <c r="J1248" s="2" t="str">
        <f t="shared" si="19"/>
        <v>NO</v>
      </c>
      <c r="K1248" s="2" t="e">
        <f>VLOOKUP(F1248,Munka1!A:A,1,0)</f>
        <v>#N/A</v>
      </c>
    </row>
    <row r="1249" spans="10:11" hidden="1" x14ac:dyDescent="0.3">
      <c r="J1249" s="2" t="str">
        <f t="shared" si="19"/>
        <v>NO</v>
      </c>
      <c r="K1249" s="2" t="e">
        <f>VLOOKUP(F1249,Munka1!A:A,1,0)</f>
        <v>#N/A</v>
      </c>
    </row>
    <row r="1250" spans="10:11" hidden="1" x14ac:dyDescent="0.3">
      <c r="J1250" s="2" t="str">
        <f t="shared" si="19"/>
        <v>NO</v>
      </c>
      <c r="K1250" s="2" t="e">
        <f>VLOOKUP(F1250,Munka1!A:A,1,0)</f>
        <v>#N/A</v>
      </c>
    </row>
    <row r="1251" spans="10:11" hidden="1" x14ac:dyDescent="0.3">
      <c r="J1251" s="2" t="str">
        <f t="shared" si="19"/>
        <v>NO</v>
      </c>
      <c r="K1251" s="2" t="e">
        <f>VLOOKUP(F1251,Munka1!A:A,1,0)</f>
        <v>#N/A</v>
      </c>
    </row>
    <row r="1252" spans="10:11" hidden="1" x14ac:dyDescent="0.3">
      <c r="J1252" s="2" t="str">
        <f t="shared" si="19"/>
        <v>NO</v>
      </c>
      <c r="K1252" s="2" t="e">
        <f>VLOOKUP(F1252,Munka1!A:A,1,0)</f>
        <v>#N/A</v>
      </c>
    </row>
    <row r="1253" spans="10:11" hidden="1" x14ac:dyDescent="0.3">
      <c r="J1253" s="2" t="str">
        <f t="shared" si="19"/>
        <v>NO</v>
      </c>
      <c r="K1253" s="2" t="e">
        <f>VLOOKUP(F1253,Munka1!A:A,1,0)</f>
        <v>#N/A</v>
      </c>
    </row>
    <row r="1254" spans="10:11" hidden="1" x14ac:dyDescent="0.3">
      <c r="J1254" s="2" t="str">
        <f t="shared" si="19"/>
        <v>NO</v>
      </c>
      <c r="K1254" s="2" t="e">
        <f>VLOOKUP(F1254,Munka1!A:A,1,0)</f>
        <v>#N/A</v>
      </c>
    </row>
    <row r="1255" spans="10:11" hidden="1" x14ac:dyDescent="0.3">
      <c r="J1255" s="2" t="str">
        <f t="shared" si="19"/>
        <v>NO</v>
      </c>
      <c r="K1255" s="2" t="e">
        <f>VLOOKUP(F1255,Munka1!A:A,1,0)</f>
        <v>#N/A</v>
      </c>
    </row>
    <row r="1256" spans="10:11" hidden="1" x14ac:dyDescent="0.3">
      <c r="J1256" s="2" t="str">
        <f t="shared" si="19"/>
        <v>NO</v>
      </c>
      <c r="K1256" s="2" t="e">
        <f>VLOOKUP(F1256,Munka1!A:A,1,0)</f>
        <v>#N/A</v>
      </c>
    </row>
    <row r="1257" spans="10:11" hidden="1" x14ac:dyDescent="0.3">
      <c r="J1257" s="2" t="str">
        <f t="shared" si="19"/>
        <v>NO</v>
      </c>
      <c r="K1257" s="2" t="e">
        <f>VLOOKUP(F1257,Munka1!A:A,1,0)</f>
        <v>#N/A</v>
      </c>
    </row>
    <row r="1258" spans="10:11" hidden="1" x14ac:dyDescent="0.3">
      <c r="J1258" s="2" t="str">
        <f t="shared" si="19"/>
        <v>NO</v>
      </c>
      <c r="K1258" s="2" t="e">
        <f>VLOOKUP(F1258,Munka1!A:A,1,0)</f>
        <v>#N/A</v>
      </c>
    </row>
    <row r="1259" spans="10:11" hidden="1" x14ac:dyDescent="0.3">
      <c r="J1259" s="2" t="str">
        <f t="shared" si="19"/>
        <v>NO</v>
      </c>
      <c r="K1259" s="2" t="e">
        <f>VLOOKUP(F1259,Munka1!A:A,1,0)</f>
        <v>#N/A</v>
      </c>
    </row>
    <row r="1260" spans="10:11" hidden="1" x14ac:dyDescent="0.3">
      <c r="J1260" s="2" t="str">
        <f t="shared" si="19"/>
        <v>NO</v>
      </c>
      <c r="K1260" s="2" t="e">
        <f>VLOOKUP(F1260,Munka1!A:A,1,0)</f>
        <v>#N/A</v>
      </c>
    </row>
    <row r="1261" spans="10:11" hidden="1" x14ac:dyDescent="0.3">
      <c r="J1261" s="2" t="str">
        <f t="shared" si="19"/>
        <v>NO</v>
      </c>
      <c r="K1261" s="2" t="e">
        <f>VLOOKUP(F1261,Munka1!A:A,1,0)</f>
        <v>#N/A</v>
      </c>
    </row>
    <row r="1262" spans="10:11" hidden="1" x14ac:dyDescent="0.3">
      <c r="J1262" s="2" t="str">
        <f t="shared" si="19"/>
        <v>NO</v>
      </c>
      <c r="K1262" s="2" t="e">
        <f>VLOOKUP(F1262,Munka1!A:A,1,0)</f>
        <v>#N/A</v>
      </c>
    </row>
    <row r="1263" spans="10:11" hidden="1" x14ac:dyDescent="0.3">
      <c r="J1263" s="2" t="str">
        <f t="shared" si="19"/>
        <v>NO</v>
      </c>
      <c r="K1263" s="2" t="e">
        <f>VLOOKUP(F1263,Munka1!A:A,1,0)</f>
        <v>#N/A</v>
      </c>
    </row>
    <row r="1264" spans="10:11" hidden="1" x14ac:dyDescent="0.3">
      <c r="J1264" s="2" t="str">
        <f t="shared" si="19"/>
        <v>NO</v>
      </c>
      <c r="K1264" s="2" t="e">
        <f>VLOOKUP(F1264,Munka1!A:A,1,0)</f>
        <v>#N/A</v>
      </c>
    </row>
    <row r="1265" spans="10:11" hidden="1" x14ac:dyDescent="0.3">
      <c r="J1265" s="2" t="str">
        <f t="shared" si="19"/>
        <v>NO</v>
      </c>
      <c r="K1265" s="2" t="e">
        <f>VLOOKUP(F1265,Munka1!A:A,1,0)</f>
        <v>#N/A</v>
      </c>
    </row>
    <row r="1266" spans="10:11" hidden="1" x14ac:dyDescent="0.3">
      <c r="J1266" s="2" t="str">
        <f t="shared" si="19"/>
        <v>NO</v>
      </c>
      <c r="K1266" s="2" t="e">
        <f>VLOOKUP(F1266,Munka1!A:A,1,0)</f>
        <v>#N/A</v>
      </c>
    </row>
    <row r="1267" spans="10:11" hidden="1" x14ac:dyDescent="0.3">
      <c r="J1267" s="2" t="str">
        <f t="shared" si="19"/>
        <v>NO</v>
      </c>
      <c r="K1267" s="2" t="e">
        <f>VLOOKUP(F1267,Munka1!A:A,1,0)</f>
        <v>#N/A</v>
      </c>
    </row>
    <row r="1268" spans="10:11" hidden="1" x14ac:dyDescent="0.3">
      <c r="J1268" s="2" t="str">
        <f t="shared" si="19"/>
        <v>NO</v>
      </c>
      <c r="K1268" s="2" t="e">
        <f>VLOOKUP(F1268,Munka1!A:A,1,0)</f>
        <v>#N/A</v>
      </c>
    </row>
    <row r="1269" spans="10:11" hidden="1" x14ac:dyDescent="0.3">
      <c r="J1269" s="2" t="str">
        <f t="shared" si="19"/>
        <v>NO</v>
      </c>
      <c r="K1269" s="2" t="e">
        <f>VLOOKUP(F1269,Munka1!A:A,1,0)</f>
        <v>#N/A</v>
      </c>
    </row>
    <row r="1270" spans="10:11" hidden="1" x14ac:dyDescent="0.3">
      <c r="J1270" s="2" t="str">
        <f t="shared" si="19"/>
        <v>NO</v>
      </c>
      <c r="K1270" s="2" t="e">
        <f>VLOOKUP(F1270,Munka1!A:A,1,0)</f>
        <v>#N/A</v>
      </c>
    </row>
    <row r="1271" spans="10:11" hidden="1" x14ac:dyDescent="0.3">
      <c r="J1271" s="2" t="str">
        <f t="shared" si="19"/>
        <v>NO</v>
      </c>
      <c r="K1271" s="2" t="e">
        <f>VLOOKUP(F1271,Munka1!A:A,1,0)</f>
        <v>#N/A</v>
      </c>
    </row>
    <row r="1272" spans="10:11" hidden="1" x14ac:dyDescent="0.3">
      <c r="J1272" s="2" t="str">
        <f t="shared" si="19"/>
        <v>NO</v>
      </c>
      <c r="K1272" s="2" t="e">
        <f>VLOOKUP(F1272,Munka1!A:A,1,0)</f>
        <v>#N/A</v>
      </c>
    </row>
    <row r="1273" spans="10:11" hidden="1" x14ac:dyDescent="0.3">
      <c r="J1273" s="2" t="str">
        <f t="shared" si="19"/>
        <v>NO</v>
      </c>
      <c r="K1273" s="2" t="e">
        <f>VLOOKUP(F1273,Munka1!A:A,1,0)</f>
        <v>#N/A</v>
      </c>
    </row>
    <row r="1274" spans="10:11" hidden="1" x14ac:dyDescent="0.3">
      <c r="J1274" s="2" t="str">
        <f t="shared" si="19"/>
        <v>NO</v>
      </c>
      <c r="K1274" s="2" t="e">
        <f>VLOOKUP(F1274,Munka1!A:A,1,0)</f>
        <v>#N/A</v>
      </c>
    </row>
    <row r="1275" spans="10:11" hidden="1" x14ac:dyDescent="0.3">
      <c r="J1275" s="2" t="str">
        <f t="shared" si="19"/>
        <v>NO</v>
      </c>
      <c r="K1275" s="2" t="e">
        <f>VLOOKUP(F1275,Munka1!A:A,1,0)</f>
        <v>#N/A</v>
      </c>
    </row>
    <row r="1276" spans="10:11" hidden="1" x14ac:dyDescent="0.3">
      <c r="J1276" s="2" t="str">
        <f t="shared" si="19"/>
        <v>NO</v>
      </c>
      <c r="K1276" s="2" t="e">
        <f>VLOOKUP(F1276,Munka1!A:A,1,0)</f>
        <v>#N/A</v>
      </c>
    </row>
    <row r="1277" spans="10:11" hidden="1" x14ac:dyDescent="0.3">
      <c r="J1277" s="2" t="str">
        <f t="shared" si="19"/>
        <v>NO</v>
      </c>
      <c r="K1277" s="2" t="e">
        <f>VLOOKUP(F1277,Munka1!A:A,1,0)</f>
        <v>#N/A</v>
      </c>
    </row>
    <row r="1278" spans="10:11" hidden="1" x14ac:dyDescent="0.3">
      <c r="J1278" s="2" t="str">
        <f t="shared" si="19"/>
        <v>NO</v>
      </c>
      <c r="K1278" s="2" t="e">
        <f>VLOOKUP(F1278,Munka1!A:A,1,0)</f>
        <v>#N/A</v>
      </c>
    </row>
    <row r="1279" spans="10:11" hidden="1" x14ac:dyDescent="0.3">
      <c r="J1279" s="2" t="str">
        <f t="shared" si="19"/>
        <v>NO</v>
      </c>
      <c r="K1279" s="2" t="e">
        <f>VLOOKUP(F1279,Munka1!A:A,1,0)</f>
        <v>#N/A</v>
      </c>
    </row>
    <row r="1280" spans="10:11" hidden="1" x14ac:dyDescent="0.3">
      <c r="J1280" s="2" t="str">
        <f t="shared" si="19"/>
        <v>NO</v>
      </c>
      <c r="K1280" s="2" t="e">
        <f>VLOOKUP(F1280,Munka1!A:A,1,0)</f>
        <v>#N/A</v>
      </c>
    </row>
    <row r="1281" spans="10:11" hidden="1" x14ac:dyDescent="0.3">
      <c r="J1281" s="2" t="str">
        <f t="shared" si="19"/>
        <v>NO</v>
      </c>
      <c r="K1281" s="2" t="e">
        <f>VLOOKUP(F1281,Munka1!A:A,1,0)</f>
        <v>#N/A</v>
      </c>
    </row>
    <row r="1282" spans="10:11" hidden="1" x14ac:dyDescent="0.3">
      <c r="J1282" s="2" t="str">
        <f t="shared" si="19"/>
        <v>NO</v>
      </c>
      <c r="K1282" s="2" t="e">
        <f>VLOOKUP(F1282,Munka1!A:A,1,0)</f>
        <v>#N/A</v>
      </c>
    </row>
    <row r="1283" spans="10:11" hidden="1" x14ac:dyDescent="0.3">
      <c r="J1283" s="2" t="str">
        <f t="shared" ref="J1283:J1346" si="20">IF(OR(F1283="",F1283="_",LEFT(F1283,5)="SPARE",F1283="N/A"),"NO","YES")</f>
        <v>NO</v>
      </c>
      <c r="K1283" s="2" t="e">
        <f>VLOOKUP(F1283,Munka1!A:A,1,0)</f>
        <v>#N/A</v>
      </c>
    </row>
    <row r="1284" spans="10:11" hidden="1" x14ac:dyDescent="0.3">
      <c r="J1284" s="2" t="str">
        <f t="shared" si="20"/>
        <v>NO</v>
      </c>
      <c r="K1284" s="2" t="e">
        <f>VLOOKUP(F1284,Munka1!A:A,1,0)</f>
        <v>#N/A</v>
      </c>
    </row>
    <row r="1285" spans="10:11" hidden="1" x14ac:dyDescent="0.3">
      <c r="J1285" s="2" t="str">
        <f t="shared" si="20"/>
        <v>NO</v>
      </c>
      <c r="K1285" s="2" t="e">
        <f>VLOOKUP(F1285,Munka1!A:A,1,0)</f>
        <v>#N/A</v>
      </c>
    </row>
    <row r="1286" spans="10:11" hidden="1" x14ac:dyDescent="0.3">
      <c r="J1286" s="2" t="str">
        <f t="shared" si="20"/>
        <v>NO</v>
      </c>
      <c r="K1286" s="2" t="e">
        <f>VLOOKUP(F1286,Munka1!A:A,1,0)</f>
        <v>#N/A</v>
      </c>
    </row>
    <row r="1287" spans="10:11" hidden="1" x14ac:dyDescent="0.3">
      <c r="J1287" s="2" t="str">
        <f t="shared" si="20"/>
        <v>NO</v>
      </c>
      <c r="K1287" s="2" t="e">
        <f>VLOOKUP(F1287,Munka1!A:A,1,0)</f>
        <v>#N/A</v>
      </c>
    </row>
    <row r="1288" spans="10:11" hidden="1" x14ac:dyDescent="0.3">
      <c r="J1288" s="2" t="str">
        <f t="shared" si="20"/>
        <v>NO</v>
      </c>
      <c r="K1288" s="2" t="e">
        <f>VLOOKUP(F1288,Munka1!A:A,1,0)</f>
        <v>#N/A</v>
      </c>
    </row>
    <row r="1289" spans="10:11" hidden="1" x14ac:dyDescent="0.3">
      <c r="J1289" s="2" t="str">
        <f t="shared" si="20"/>
        <v>NO</v>
      </c>
      <c r="K1289" s="2" t="e">
        <f>VLOOKUP(F1289,Munka1!A:A,1,0)</f>
        <v>#N/A</v>
      </c>
    </row>
    <row r="1290" spans="10:11" hidden="1" x14ac:dyDescent="0.3">
      <c r="J1290" s="2" t="str">
        <f t="shared" si="20"/>
        <v>NO</v>
      </c>
      <c r="K1290" s="2" t="e">
        <f>VLOOKUP(F1290,Munka1!A:A,1,0)</f>
        <v>#N/A</v>
      </c>
    </row>
    <row r="1291" spans="10:11" hidden="1" x14ac:dyDescent="0.3">
      <c r="J1291" s="2" t="str">
        <f t="shared" si="20"/>
        <v>NO</v>
      </c>
      <c r="K1291" s="2" t="e">
        <f>VLOOKUP(F1291,Munka1!A:A,1,0)</f>
        <v>#N/A</v>
      </c>
    </row>
    <row r="1292" spans="10:11" hidden="1" x14ac:dyDescent="0.3">
      <c r="J1292" s="2" t="str">
        <f t="shared" si="20"/>
        <v>NO</v>
      </c>
      <c r="K1292" s="2" t="e">
        <f>VLOOKUP(F1292,Munka1!A:A,1,0)</f>
        <v>#N/A</v>
      </c>
    </row>
    <row r="1293" spans="10:11" hidden="1" x14ac:dyDescent="0.3">
      <c r="J1293" s="2" t="str">
        <f t="shared" si="20"/>
        <v>NO</v>
      </c>
      <c r="K1293" s="2" t="e">
        <f>VLOOKUP(F1293,Munka1!A:A,1,0)</f>
        <v>#N/A</v>
      </c>
    </row>
    <row r="1294" spans="10:11" hidden="1" x14ac:dyDescent="0.3">
      <c r="J1294" s="2" t="str">
        <f t="shared" si="20"/>
        <v>NO</v>
      </c>
      <c r="K1294" s="2" t="e">
        <f>VLOOKUP(F1294,Munka1!A:A,1,0)</f>
        <v>#N/A</v>
      </c>
    </row>
    <row r="1295" spans="10:11" hidden="1" x14ac:dyDescent="0.3">
      <c r="J1295" s="2" t="str">
        <f t="shared" si="20"/>
        <v>NO</v>
      </c>
      <c r="K1295" s="2" t="e">
        <f>VLOOKUP(F1295,Munka1!A:A,1,0)</f>
        <v>#N/A</v>
      </c>
    </row>
    <row r="1296" spans="10:11" hidden="1" x14ac:dyDescent="0.3">
      <c r="J1296" s="2" t="str">
        <f t="shared" si="20"/>
        <v>NO</v>
      </c>
      <c r="K1296" s="2" t="e">
        <f>VLOOKUP(F1296,Munka1!A:A,1,0)</f>
        <v>#N/A</v>
      </c>
    </row>
    <row r="1297" spans="10:11" hidden="1" x14ac:dyDescent="0.3">
      <c r="J1297" s="2" t="str">
        <f t="shared" si="20"/>
        <v>NO</v>
      </c>
      <c r="K1297" s="2" t="e">
        <f>VLOOKUP(F1297,Munka1!A:A,1,0)</f>
        <v>#N/A</v>
      </c>
    </row>
    <row r="1298" spans="10:11" hidden="1" x14ac:dyDescent="0.3">
      <c r="J1298" s="2" t="str">
        <f t="shared" si="20"/>
        <v>NO</v>
      </c>
      <c r="K1298" s="2" t="e">
        <f>VLOOKUP(F1298,Munka1!A:A,1,0)</f>
        <v>#N/A</v>
      </c>
    </row>
    <row r="1299" spans="10:11" hidden="1" x14ac:dyDescent="0.3">
      <c r="J1299" s="2" t="str">
        <f t="shared" si="20"/>
        <v>NO</v>
      </c>
      <c r="K1299" s="2" t="e">
        <f>VLOOKUP(F1299,Munka1!A:A,1,0)</f>
        <v>#N/A</v>
      </c>
    </row>
    <row r="1300" spans="10:11" hidden="1" x14ac:dyDescent="0.3">
      <c r="J1300" s="2" t="str">
        <f t="shared" si="20"/>
        <v>NO</v>
      </c>
      <c r="K1300" s="2" t="e">
        <f>VLOOKUP(F1300,Munka1!A:A,1,0)</f>
        <v>#N/A</v>
      </c>
    </row>
    <row r="1301" spans="10:11" hidden="1" x14ac:dyDescent="0.3">
      <c r="J1301" s="2" t="str">
        <f t="shared" si="20"/>
        <v>NO</v>
      </c>
      <c r="K1301" s="2" t="e">
        <f>VLOOKUP(F1301,Munka1!A:A,1,0)</f>
        <v>#N/A</v>
      </c>
    </row>
    <row r="1302" spans="10:11" hidden="1" x14ac:dyDescent="0.3">
      <c r="J1302" s="2" t="str">
        <f t="shared" si="20"/>
        <v>NO</v>
      </c>
      <c r="K1302" s="2" t="e">
        <f>VLOOKUP(F1302,Munka1!A:A,1,0)</f>
        <v>#N/A</v>
      </c>
    </row>
    <row r="1303" spans="10:11" hidden="1" x14ac:dyDescent="0.3">
      <c r="J1303" s="2" t="str">
        <f t="shared" si="20"/>
        <v>NO</v>
      </c>
      <c r="K1303" s="2" t="e">
        <f>VLOOKUP(F1303,Munka1!A:A,1,0)</f>
        <v>#N/A</v>
      </c>
    </row>
    <row r="1304" spans="10:11" hidden="1" x14ac:dyDescent="0.3">
      <c r="J1304" s="2" t="str">
        <f t="shared" si="20"/>
        <v>NO</v>
      </c>
      <c r="K1304" s="2" t="e">
        <f>VLOOKUP(F1304,Munka1!A:A,1,0)</f>
        <v>#N/A</v>
      </c>
    </row>
    <row r="1305" spans="10:11" hidden="1" x14ac:dyDescent="0.3">
      <c r="J1305" s="2" t="str">
        <f t="shared" si="20"/>
        <v>NO</v>
      </c>
      <c r="K1305" s="2" t="e">
        <f>VLOOKUP(F1305,Munka1!A:A,1,0)</f>
        <v>#N/A</v>
      </c>
    </row>
    <row r="1306" spans="10:11" hidden="1" x14ac:dyDescent="0.3">
      <c r="J1306" s="2" t="str">
        <f t="shared" si="20"/>
        <v>NO</v>
      </c>
      <c r="K1306" s="2" t="e">
        <f>VLOOKUP(F1306,Munka1!A:A,1,0)</f>
        <v>#N/A</v>
      </c>
    </row>
    <row r="1307" spans="10:11" hidden="1" x14ac:dyDescent="0.3">
      <c r="J1307" s="2" t="str">
        <f t="shared" si="20"/>
        <v>NO</v>
      </c>
      <c r="K1307" s="2" t="e">
        <f>VLOOKUP(F1307,Munka1!A:A,1,0)</f>
        <v>#N/A</v>
      </c>
    </row>
    <row r="1308" spans="10:11" hidden="1" x14ac:dyDescent="0.3">
      <c r="J1308" s="2" t="str">
        <f t="shared" si="20"/>
        <v>NO</v>
      </c>
      <c r="K1308" s="2" t="e">
        <f>VLOOKUP(F1308,Munka1!A:A,1,0)</f>
        <v>#N/A</v>
      </c>
    </row>
    <row r="1309" spans="10:11" hidden="1" x14ac:dyDescent="0.3">
      <c r="J1309" s="2" t="str">
        <f t="shared" si="20"/>
        <v>NO</v>
      </c>
      <c r="K1309" s="2" t="e">
        <f>VLOOKUP(F1309,Munka1!A:A,1,0)</f>
        <v>#N/A</v>
      </c>
    </row>
    <row r="1310" spans="10:11" hidden="1" x14ac:dyDescent="0.3">
      <c r="J1310" s="2" t="str">
        <f t="shared" si="20"/>
        <v>NO</v>
      </c>
      <c r="K1310" s="2" t="e">
        <f>VLOOKUP(F1310,Munka1!A:A,1,0)</f>
        <v>#N/A</v>
      </c>
    </row>
    <row r="1311" spans="10:11" hidden="1" x14ac:dyDescent="0.3">
      <c r="J1311" s="2" t="str">
        <f t="shared" si="20"/>
        <v>NO</v>
      </c>
      <c r="K1311" s="2" t="e">
        <f>VLOOKUP(F1311,Munka1!A:A,1,0)</f>
        <v>#N/A</v>
      </c>
    </row>
    <row r="1312" spans="10:11" hidden="1" x14ac:dyDescent="0.3">
      <c r="J1312" s="2" t="str">
        <f t="shared" si="20"/>
        <v>NO</v>
      </c>
      <c r="K1312" s="2" t="e">
        <f>VLOOKUP(F1312,Munka1!A:A,1,0)</f>
        <v>#N/A</v>
      </c>
    </row>
    <row r="1313" spans="10:11" hidden="1" x14ac:dyDescent="0.3">
      <c r="J1313" s="2" t="str">
        <f t="shared" si="20"/>
        <v>NO</v>
      </c>
      <c r="K1313" s="2" t="e">
        <f>VLOOKUP(F1313,Munka1!A:A,1,0)</f>
        <v>#N/A</v>
      </c>
    </row>
    <row r="1314" spans="10:11" hidden="1" x14ac:dyDescent="0.3">
      <c r="J1314" s="2" t="str">
        <f t="shared" si="20"/>
        <v>NO</v>
      </c>
      <c r="K1314" s="2" t="e">
        <f>VLOOKUP(F1314,Munka1!A:A,1,0)</f>
        <v>#N/A</v>
      </c>
    </row>
    <row r="1315" spans="10:11" hidden="1" x14ac:dyDescent="0.3">
      <c r="J1315" s="2" t="str">
        <f t="shared" si="20"/>
        <v>NO</v>
      </c>
      <c r="K1315" s="2" t="e">
        <f>VLOOKUP(F1315,Munka1!A:A,1,0)</f>
        <v>#N/A</v>
      </c>
    </row>
    <row r="1316" spans="10:11" hidden="1" x14ac:dyDescent="0.3">
      <c r="J1316" s="2" t="str">
        <f t="shared" si="20"/>
        <v>NO</v>
      </c>
      <c r="K1316" s="2" t="e">
        <f>VLOOKUP(F1316,Munka1!A:A,1,0)</f>
        <v>#N/A</v>
      </c>
    </row>
    <row r="1317" spans="10:11" hidden="1" x14ac:dyDescent="0.3">
      <c r="J1317" s="2" t="str">
        <f t="shared" si="20"/>
        <v>NO</v>
      </c>
      <c r="K1317" s="2" t="e">
        <f>VLOOKUP(F1317,Munka1!A:A,1,0)</f>
        <v>#N/A</v>
      </c>
    </row>
    <row r="1318" spans="10:11" hidden="1" x14ac:dyDescent="0.3">
      <c r="J1318" s="2" t="str">
        <f t="shared" si="20"/>
        <v>NO</v>
      </c>
      <c r="K1318" s="2" t="e">
        <f>VLOOKUP(F1318,Munka1!A:A,1,0)</f>
        <v>#N/A</v>
      </c>
    </row>
    <row r="1319" spans="10:11" hidden="1" x14ac:dyDescent="0.3">
      <c r="J1319" s="2" t="str">
        <f t="shared" si="20"/>
        <v>NO</v>
      </c>
      <c r="K1319" s="2" t="e">
        <f>VLOOKUP(F1319,Munka1!A:A,1,0)</f>
        <v>#N/A</v>
      </c>
    </row>
    <row r="1320" spans="10:11" hidden="1" x14ac:dyDescent="0.3">
      <c r="J1320" s="2" t="str">
        <f t="shared" si="20"/>
        <v>NO</v>
      </c>
      <c r="K1320" s="2" t="e">
        <f>VLOOKUP(F1320,Munka1!A:A,1,0)</f>
        <v>#N/A</v>
      </c>
    </row>
    <row r="1321" spans="10:11" hidden="1" x14ac:dyDescent="0.3">
      <c r="J1321" s="2" t="str">
        <f t="shared" si="20"/>
        <v>NO</v>
      </c>
      <c r="K1321" s="2" t="e">
        <f>VLOOKUP(F1321,Munka1!A:A,1,0)</f>
        <v>#N/A</v>
      </c>
    </row>
    <row r="1322" spans="10:11" hidden="1" x14ac:dyDescent="0.3">
      <c r="J1322" s="2" t="str">
        <f t="shared" si="20"/>
        <v>NO</v>
      </c>
      <c r="K1322" s="2" t="e">
        <f>VLOOKUP(F1322,Munka1!A:A,1,0)</f>
        <v>#N/A</v>
      </c>
    </row>
    <row r="1323" spans="10:11" hidden="1" x14ac:dyDescent="0.3">
      <c r="J1323" s="2" t="str">
        <f t="shared" si="20"/>
        <v>NO</v>
      </c>
      <c r="K1323" s="2" t="e">
        <f>VLOOKUP(F1323,Munka1!A:A,1,0)</f>
        <v>#N/A</v>
      </c>
    </row>
    <row r="1324" spans="10:11" hidden="1" x14ac:dyDescent="0.3">
      <c r="J1324" s="2" t="str">
        <f t="shared" si="20"/>
        <v>NO</v>
      </c>
      <c r="K1324" s="2" t="e">
        <f>VLOOKUP(F1324,Munka1!A:A,1,0)</f>
        <v>#N/A</v>
      </c>
    </row>
    <row r="1325" spans="10:11" hidden="1" x14ac:dyDescent="0.3">
      <c r="J1325" s="2" t="str">
        <f t="shared" si="20"/>
        <v>NO</v>
      </c>
      <c r="K1325" s="2" t="e">
        <f>VLOOKUP(F1325,Munka1!A:A,1,0)</f>
        <v>#N/A</v>
      </c>
    </row>
    <row r="1326" spans="10:11" hidden="1" x14ac:dyDescent="0.3">
      <c r="J1326" s="2" t="str">
        <f t="shared" si="20"/>
        <v>NO</v>
      </c>
      <c r="K1326" s="2" t="e">
        <f>VLOOKUP(F1326,Munka1!A:A,1,0)</f>
        <v>#N/A</v>
      </c>
    </row>
    <row r="1327" spans="10:11" hidden="1" x14ac:dyDescent="0.3">
      <c r="J1327" s="2" t="str">
        <f t="shared" si="20"/>
        <v>NO</v>
      </c>
      <c r="K1327" s="2" t="e">
        <f>VLOOKUP(F1327,Munka1!A:A,1,0)</f>
        <v>#N/A</v>
      </c>
    </row>
    <row r="1328" spans="10:11" hidden="1" x14ac:dyDescent="0.3">
      <c r="J1328" s="2" t="str">
        <f t="shared" si="20"/>
        <v>NO</v>
      </c>
      <c r="K1328" s="2" t="e">
        <f>VLOOKUP(F1328,Munka1!A:A,1,0)</f>
        <v>#N/A</v>
      </c>
    </row>
    <row r="1329" spans="10:11" hidden="1" x14ac:dyDescent="0.3">
      <c r="J1329" s="2" t="str">
        <f t="shared" si="20"/>
        <v>NO</v>
      </c>
      <c r="K1329" s="2" t="e">
        <f>VLOOKUP(F1329,Munka1!A:A,1,0)</f>
        <v>#N/A</v>
      </c>
    </row>
    <row r="1330" spans="10:11" hidden="1" x14ac:dyDescent="0.3">
      <c r="J1330" s="2" t="str">
        <f t="shared" si="20"/>
        <v>NO</v>
      </c>
      <c r="K1330" s="2" t="e">
        <f>VLOOKUP(F1330,Munka1!A:A,1,0)</f>
        <v>#N/A</v>
      </c>
    </row>
    <row r="1331" spans="10:11" hidden="1" x14ac:dyDescent="0.3">
      <c r="J1331" s="2" t="str">
        <f t="shared" si="20"/>
        <v>NO</v>
      </c>
      <c r="K1331" s="2" t="e">
        <f>VLOOKUP(F1331,Munka1!A:A,1,0)</f>
        <v>#N/A</v>
      </c>
    </row>
    <row r="1332" spans="10:11" hidden="1" x14ac:dyDescent="0.3">
      <c r="J1332" s="2" t="str">
        <f t="shared" si="20"/>
        <v>NO</v>
      </c>
      <c r="K1332" s="2" t="e">
        <f>VLOOKUP(F1332,Munka1!A:A,1,0)</f>
        <v>#N/A</v>
      </c>
    </row>
    <row r="1333" spans="10:11" hidden="1" x14ac:dyDescent="0.3">
      <c r="J1333" s="2" t="str">
        <f t="shared" si="20"/>
        <v>NO</v>
      </c>
      <c r="K1333" s="2" t="e">
        <f>VLOOKUP(F1333,Munka1!A:A,1,0)</f>
        <v>#N/A</v>
      </c>
    </row>
    <row r="1334" spans="10:11" hidden="1" x14ac:dyDescent="0.3">
      <c r="J1334" s="2" t="str">
        <f t="shared" si="20"/>
        <v>NO</v>
      </c>
      <c r="K1334" s="2" t="e">
        <f>VLOOKUP(F1334,Munka1!A:A,1,0)</f>
        <v>#N/A</v>
      </c>
    </row>
    <row r="1335" spans="10:11" hidden="1" x14ac:dyDescent="0.3">
      <c r="J1335" s="2" t="str">
        <f t="shared" si="20"/>
        <v>NO</v>
      </c>
      <c r="K1335" s="2" t="e">
        <f>VLOOKUP(F1335,Munka1!A:A,1,0)</f>
        <v>#N/A</v>
      </c>
    </row>
    <row r="1336" spans="10:11" hidden="1" x14ac:dyDescent="0.3">
      <c r="J1336" s="2" t="str">
        <f t="shared" si="20"/>
        <v>NO</v>
      </c>
      <c r="K1336" s="2" t="e">
        <f>VLOOKUP(F1336,Munka1!A:A,1,0)</f>
        <v>#N/A</v>
      </c>
    </row>
    <row r="1337" spans="10:11" hidden="1" x14ac:dyDescent="0.3">
      <c r="J1337" s="2" t="str">
        <f t="shared" si="20"/>
        <v>NO</v>
      </c>
      <c r="K1337" s="2" t="e">
        <f>VLOOKUP(F1337,Munka1!A:A,1,0)</f>
        <v>#N/A</v>
      </c>
    </row>
    <row r="1338" spans="10:11" hidden="1" x14ac:dyDescent="0.3">
      <c r="J1338" s="2" t="str">
        <f t="shared" si="20"/>
        <v>NO</v>
      </c>
      <c r="K1338" s="2" t="e">
        <f>VLOOKUP(F1338,Munka1!A:A,1,0)</f>
        <v>#N/A</v>
      </c>
    </row>
    <row r="1339" spans="10:11" hidden="1" x14ac:dyDescent="0.3">
      <c r="J1339" s="2" t="str">
        <f t="shared" si="20"/>
        <v>NO</v>
      </c>
      <c r="K1339" s="2" t="e">
        <f>VLOOKUP(F1339,Munka1!A:A,1,0)</f>
        <v>#N/A</v>
      </c>
    </row>
    <row r="1340" spans="10:11" hidden="1" x14ac:dyDescent="0.3">
      <c r="J1340" s="2" t="str">
        <f t="shared" si="20"/>
        <v>NO</v>
      </c>
      <c r="K1340" s="2" t="e">
        <f>VLOOKUP(F1340,Munka1!A:A,1,0)</f>
        <v>#N/A</v>
      </c>
    </row>
    <row r="1341" spans="10:11" hidden="1" x14ac:dyDescent="0.3">
      <c r="J1341" s="2" t="str">
        <f t="shared" si="20"/>
        <v>NO</v>
      </c>
      <c r="K1341" s="2" t="e">
        <f>VLOOKUP(F1341,Munka1!A:A,1,0)</f>
        <v>#N/A</v>
      </c>
    </row>
    <row r="1342" spans="10:11" hidden="1" x14ac:dyDescent="0.3">
      <c r="J1342" s="2" t="str">
        <f t="shared" si="20"/>
        <v>NO</v>
      </c>
      <c r="K1342" s="2" t="e">
        <f>VLOOKUP(F1342,Munka1!A:A,1,0)</f>
        <v>#N/A</v>
      </c>
    </row>
    <row r="1343" spans="10:11" hidden="1" x14ac:dyDescent="0.3">
      <c r="J1343" s="2" t="str">
        <f t="shared" si="20"/>
        <v>NO</v>
      </c>
      <c r="K1343" s="2" t="e">
        <f>VLOOKUP(F1343,Munka1!A:A,1,0)</f>
        <v>#N/A</v>
      </c>
    </row>
    <row r="1344" spans="10:11" hidden="1" x14ac:dyDescent="0.3">
      <c r="J1344" s="2" t="str">
        <f t="shared" si="20"/>
        <v>NO</v>
      </c>
      <c r="K1344" s="2" t="e">
        <f>VLOOKUP(F1344,Munka1!A:A,1,0)</f>
        <v>#N/A</v>
      </c>
    </row>
    <row r="1345" spans="10:11" hidden="1" x14ac:dyDescent="0.3">
      <c r="J1345" s="2" t="str">
        <f t="shared" si="20"/>
        <v>NO</v>
      </c>
      <c r="K1345" s="2" t="e">
        <f>VLOOKUP(F1345,Munka1!A:A,1,0)</f>
        <v>#N/A</v>
      </c>
    </row>
    <row r="1346" spans="10:11" hidden="1" x14ac:dyDescent="0.3">
      <c r="J1346" s="2" t="str">
        <f t="shared" si="20"/>
        <v>NO</v>
      </c>
      <c r="K1346" s="2" t="e">
        <f>VLOOKUP(F1346,Munka1!A:A,1,0)</f>
        <v>#N/A</v>
      </c>
    </row>
    <row r="1347" spans="10:11" hidden="1" x14ac:dyDescent="0.3">
      <c r="J1347" s="2" t="str">
        <f t="shared" ref="J1347:J1410" si="21">IF(OR(F1347="",F1347="_",LEFT(F1347,5)="SPARE",F1347="N/A"),"NO","YES")</f>
        <v>NO</v>
      </c>
      <c r="K1347" s="2" t="e">
        <f>VLOOKUP(F1347,Munka1!A:A,1,0)</f>
        <v>#N/A</v>
      </c>
    </row>
    <row r="1348" spans="10:11" hidden="1" x14ac:dyDescent="0.3">
      <c r="J1348" s="2" t="str">
        <f t="shared" si="21"/>
        <v>NO</v>
      </c>
      <c r="K1348" s="2" t="e">
        <f>VLOOKUP(F1348,Munka1!A:A,1,0)</f>
        <v>#N/A</v>
      </c>
    </row>
    <row r="1349" spans="10:11" hidden="1" x14ac:dyDescent="0.3">
      <c r="J1349" s="2" t="str">
        <f t="shared" si="21"/>
        <v>NO</v>
      </c>
      <c r="K1349" s="2" t="e">
        <f>VLOOKUP(F1349,Munka1!A:A,1,0)</f>
        <v>#N/A</v>
      </c>
    </row>
    <row r="1350" spans="10:11" hidden="1" x14ac:dyDescent="0.3">
      <c r="J1350" s="2" t="str">
        <f t="shared" si="21"/>
        <v>NO</v>
      </c>
      <c r="K1350" s="2" t="e">
        <f>VLOOKUP(F1350,Munka1!A:A,1,0)</f>
        <v>#N/A</v>
      </c>
    </row>
    <row r="1351" spans="10:11" hidden="1" x14ac:dyDescent="0.3">
      <c r="J1351" s="2" t="str">
        <f t="shared" si="21"/>
        <v>NO</v>
      </c>
      <c r="K1351" s="2" t="e">
        <f>VLOOKUP(F1351,Munka1!A:A,1,0)</f>
        <v>#N/A</v>
      </c>
    </row>
    <row r="1352" spans="10:11" hidden="1" x14ac:dyDescent="0.3">
      <c r="J1352" s="2" t="str">
        <f t="shared" si="21"/>
        <v>NO</v>
      </c>
      <c r="K1352" s="2" t="e">
        <f>VLOOKUP(F1352,Munka1!A:A,1,0)</f>
        <v>#N/A</v>
      </c>
    </row>
    <row r="1353" spans="10:11" hidden="1" x14ac:dyDescent="0.3">
      <c r="J1353" s="2" t="str">
        <f t="shared" si="21"/>
        <v>NO</v>
      </c>
      <c r="K1353" s="2" t="e">
        <f>VLOOKUP(F1353,Munka1!A:A,1,0)</f>
        <v>#N/A</v>
      </c>
    </row>
    <row r="1354" spans="10:11" hidden="1" x14ac:dyDescent="0.3">
      <c r="J1354" s="2" t="str">
        <f t="shared" si="21"/>
        <v>NO</v>
      </c>
      <c r="K1354" s="2" t="e">
        <f>VLOOKUP(F1354,Munka1!A:A,1,0)</f>
        <v>#N/A</v>
      </c>
    </row>
    <row r="1355" spans="10:11" hidden="1" x14ac:dyDescent="0.3">
      <c r="J1355" s="2" t="str">
        <f t="shared" si="21"/>
        <v>NO</v>
      </c>
      <c r="K1355" s="2" t="e">
        <f>VLOOKUP(F1355,Munka1!A:A,1,0)</f>
        <v>#N/A</v>
      </c>
    </row>
    <row r="1356" spans="10:11" hidden="1" x14ac:dyDescent="0.3">
      <c r="J1356" s="2" t="str">
        <f t="shared" si="21"/>
        <v>NO</v>
      </c>
      <c r="K1356" s="2" t="e">
        <f>VLOOKUP(F1356,Munka1!A:A,1,0)</f>
        <v>#N/A</v>
      </c>
    </row>
    <row r="1357" spans="10:11" hidden="1" x14ac:dyDescent="0.3">
      <c r="J1357" s="2" t="str">
        <f t="shared" si="21"/>
        <v>NO</v>
      </c>
      <c r="K1357" s="2" t="e">
        <f>VLOOKUP(F1357,Munka1!A:A,1,0)</f>
        <v>#N/A</v>
      </c>
    </row>
    <row r="1358" spans="10:11" hidden="1" x14ac:dyDescent="0.3">
      <c r="J1358" s="2" t="str">
        <f t="shared" si="21"/>
        <v>NO</v>
      </c>
      <c r="K1358" s="2" t="e">
        <f>VLOOKUP(F1358,Munka1!A:A,1,0)</f>
        <v>#N/A</v>
      </c>
    </row>
    <row r="1359" spans="10:11" hidden="1" x14ac:dyDescent="0.3">
      <c r="J1359" s="2" t="str">
        <f t="shared" si="21"/>
        <v>NO</v>
      </c>
      <c r="K1359" s="2" t="e">
        <f>VLOOKUP(F1359,Munka1!A:A,1,0)</f>
        <v>#N/A</v>
      </c>
    </row>
    <row r="1360" spans="10:11" hidden="1" x14ac:dyDescent="0.3">
      <c r="J1360" s="2" t="str">
        <f t="shared" si="21"/>
        <v>NO</v>
      </c>
      <c r="K1360" s="2" t="e">
        <f>VLOOKUP(F1360,Munka1!A:A,1,0)</f>
        <v>#N/A</v>
      </c>
    </row>
    <row r="1361" spans="10:11" hidden="1" x14ac:dyDescent="0.3">
      <c r="J1361" s="2" t="str">
        <f t="shared" si="21"/>
        <v>NO</v>
      </c>
      <c r="K1361" s="2" t="e">
        <f>VLOOKUP(F1361,Munka1!A:A,1,0)</f>
        <v>#N/A</v>
      </c>
    </row>
    <row r="1362" spans="10:11" hidden="1" x14ac:dyDescent="0.3">
      <c r="J1362" s="2" t="str">
        <f t="shared" si="21"/>
        <v>NO</v>
      </c>
      <c r="K1362" s="2" t="e">
        <f>VLOOKUP(F1362,Munka1!A:A,1,0)</f>
        <v>#N/A</v>
      </c>
    </row>
    <row r="1363" spans="10:11" hidden="1" x14ac:dyDescent="0.3">
      <c r="J1363" s="2" t="str">
        <f t="shared" si="21"/>
        <v>NO</v>
      </c>
      <c r="K1363" s="2" t="e">
        <f>VLOOKUP(F1363,Munka1!A:A,1,0)</f>
        <v>#N/A</v>
      </c>
    </row>
    <row r="1364" spans="10:11" hidden="1" x14ac:dyDescent="0.3">
      <c r="J1364" s="2" t="str">
        <f t="shared" si="21"/>
        <v>NO</v>
      </c>
      <c r="K1364" s="2" t="e">
        <f>VLOOKUP(F1364,Munka1!A:A,1,0)</f>
        <v>#N/A</v>
      </c>
    </row>
    <row r="1365" spans="10:11" hidden="1" x14ac:dyDescent="0.3">
      <c r="J1365" s="2" t="str">
        <f t="shared" si="21"/>
        <v>NO</v>
      </c>
      <c r="K1365" s="2" t="e">
        <f>VLOOKUP(F1365,Munka1!A:A,1,0)</f>
        <v>#N/A</v>
      </c>
    </row>
    <row r="1366" spans="10:11" hidden="1" x14ac:dyDescent="0.3">
      <c r="J1366" s="2" t="str">
        <f t="shared" si="21"/>
        <v>NO</v>
      </c>
      <c r="K1366" s="2" t="e">
        <f>VLOOKUP(F1366,Munka1!A:A,1,0)</f>
        <v>#N/A</v>
      </c>
    </row>
    <row r="1367" spans="10:11" hidden="1" x14ac:dyDescent="0.3">
      <c r="J1367" s="2" t="str">
        <f t="shared" si="21"/>
        <v>NO</v>
      </c>
      <c r="K1367" s="2" t="e">
        <f>VLOOKUP(F1367,Munka1!A:A,1,0)</f>
        <v>#N/A</v>
      </c>
    </row>
    <row r="1368" spans="10:11" hidden="1" x14ac:dyDescent="0.3">
      <c r="J1368" s="2" t="str">
        <f t="shared" si="21"/>
        <v>NO</v>
      </c>
      <c r="K1368" s="2" t="e">
        <f>VLOOKUP(F1368,Munka1!A:A,1,0)</f>
        <v>#N/A</v>
      </c>
    </row>
    <row r="1369" spans="10:11" hidden="1" x14ac:dyDescent="0.3">
      <c r="J1369" s="2" t="str">
        <f t="shared" si="21"/>
        <v>NO</v>
      </c>
      <c r="K1369" s="2" t="e">
        <f>VLOOKUP(F1369,Munka1!A:A,1,0)</f>
        <v>#N/A</v>
      </c>
    </row>
    <row r="1370" spans="10:11" hidden="1" x14ac:dyDescent="0.3">
      <c r="J1370" s="2" t="str">
        <f t="shared" si="21"/>
        <v>NO</v>
      </c>
      <c r="K1370" s="2" t="e">
        <f>VLOOKUP(F1370,Munka1!A:A,1,0)</f>
        <v>#N/A</v>
      </c>
    </row>
    <row r="1371" spans="10:11" hidden="1" x14ac:dyDescent="0.3">
      <c r="J1371" s="2" t="str">
        <f t="shared" si="21"/>
        <v>NO</v>
      </c>
      <c r="K1371" s="2" t="e">
        <f>VLOOKUP(F1371,Munka1!A:A,1,0)</f>
        <v>#N/A</v>
      </c>
    </row>
    <row r="1372" spans="10:11" hidden="1" x14ac:dyDescent="0.3">
      <c r="J1372" s="2" t="str">
        <f t="shared" si="21"/>
        <v>NO</v>
      </c>
      <c r="K1372" s="2" t="e">
        <f>VLOOKUP(F1372,Munka1!A:A,1,0)</f>
        <v>#N/A</v>
      </c>
    </row>
    <row r="1373" spans="10:11" hidden="1" x14ac:dyDescent="0.3">
      <c r="J1373" s="2" t="str">
        <f t="shared" si="21"/>
        <v>NO</v>
      </c>
      <c r="K1373" s="2" t="e">
        <f>VLOOKUP(F1373,Munka1!A:A,1,0)</f>
        <v>#N/A</v>
      </c>
    </row>
    <row r="1374" spans="10:11" hidden="1" x14ac:dyDescent="0.3">
      <c r="J1374" s="2" t="str">
        <f t="shared" si="21"/>
        <v>NO</v>
      </c>
      <c r="K1374" s="2" t="e">
        <f>VLOOKUP(F1374,Munka1!A:A,1,0)</f>
        <v>#N/A</v>
      </c>
    </row>
    <row r="1375" spans="10:11" hidden="1" x14ac:dyDescent="0.3">
      <c r="J1375" s="2" t="str">
        <f t="shared" si="21"/>
        <v>NO</v>
      </c>
      <c r="K1375" s="2" t="e">
        <f>VLOOKUP(F1375,Munka1!A:A,1,0)</f>
        <v>#N/A</v>
      </c>
    </row>
    <row r="1376" spans="10:11" hidden="1" x14ac:dyDescent="0.3">
      <c r="J1376" s="2" t="str">
        <f t="shared" si="21"/>
        <v>NO</v>
      </c>
      <c r="K1376" s="2" t="e">
        <f>VLOOKUP(F1376,Munka1!A:A,1,0)</f>
        <v>#N/A</v>
      </c>
    </row>
    <row r="1377" spans="10:11" hidden="1" x14ac:dyDescent="0.3">
      <c r="J1377" s="2" t="str">
        <f t="shared" si="21"/>
        <v>NO</v>
      </c>
      <c r="K1377" s="2" t="e">
        <f>VLOOKUP(F1377,Munka1!A:A,1,0)</f>
        <v>#N/A</v>
      </c>
    </row>
    <row r="1378" spans="10:11" hidden="1" x14ac:dyDescent="0.3">
      <c r="J1378" s="2" t="str">
        <f t="shared" si="21"/>
        <v>NO</v>
      </c>
      <c r="K1378" s="2" t="e">
        <f>VLOOKUP(F1378,Munka1!A:A,1,0)</f>
        <v>#N/A</v>
      </c>
    </row>
    <row r="1379" spans="10:11" hidden="1" x14ac:dyDescent="0.3">
      <c r="J1379" s="2" t="str">
        <f t="shared" si="21"/>
        <v>NO</v>
      </c>
      <c r="K1379" s="2" t="e">
        <f>VLOOKUP(F1379,Munka1!A:A,1,0)</f>
        <v>#N/A</v>
      </c>
    </row>
    <row r="1380" spans="10:11" hidden="1" x14ac:dyDescent="0.3">
      <c r="J1380" s="2" t="str">
        <f t="shared" si="21"/>
        <v>NO</v>
      </c>
      <c r="K1380" s="2" t="e">
        <f>VLOOKUP(F1380,Munka1!A:A,1,0)</f>
        <v>#N/A</v>
      </c>
    </row>
    <row r="1381" spans="10:11" hidden="1" x14ac:dyDescent="0.3">
      <c r="J1381" s="2" t="str">
        <f t="shared" si="21"/>
        <v>NO</v>
      </c>
      <c r="K1381" s="2" t="e">
        <f>VLOOKUP(F1381,Munka1!A:A,1,0)</f>
        <v>#N/A</v>
      </c>
    </row>
    <row r="1382" spans="10:11" hidden="1" x14ac:dyDescent="0.3">
      <c r="J1382" s="2" t="str">
        <f t="shared" si="21"/>
        <v>NO</v>
      </c>
      <c r="K1382" s="2" t="e">
        <f>VLOOKUP(F1382,Munka1!A:A,1,0)</f>
        <v>#N/A</v>
      </c>
    </row>
    <row r="1383" spans="10:11" hidden="1" x14ac:dyDescent="0.3">
      <c r="J1383" s="2" t="str">
        <f t="shared" si="21"/>
        <v>NO</v>
      </c>
      <c r="K1383" s="2" t="e">
        <f>VLOOKUP(F1383,Munka1!A:A,1,0)</f>
        <v>#N/A</v>
      </c>
    </row>
    <row r="1384" spans="10:11" hidden="1" x14ac:dyDescent="0.3">
      <c r="J1384" s="2" t="str">
        <f t="shared" si="21"/>
        <v>NO</v>
      </c>
      <c r="K1384" s="2" t="e">
        <f>VLOOKUP(F1384,Munka1!A:A,1,0)</f>
        <v>#N/A</v>
      </c>
    </row>
    <row r="1385" spans="10:11" hidden="1" x14ac:dyDescent="0.3">
      <c r="J1385" s="2" t="str">
        <f t="shared" si="21"/>
        <v>NO</v>
      </c>
      <c r="K1385" s="2" t="e">
        <f>VLOOKUP(F1385,Munka1!A:A,1,0)</f>
        <v>#N/A</v>
      </c>
    </row>
    <row r="1386" spans="10:11" hidden="1" x14ac:dyDescent="0.3">
      <c r="J1386" s="2" t="str">
        <f t="shared" si="21"/>
        <v>NO</v>
      </c>
      <c r="K1386" s="2" t="e">
        <f>VLOOKUP(F1386,Munka1!A:A,1,0)</f>
        <v>#N/A</v>
      </c>
    </row>
    <row r="1387" spans="10:11" hidden="1" x14ac:dyDescent="0.3">
      <c r="J1387" s="2" t="str">
        <f t="shared" si="21"/>
        <v>NO</v>
      </c>
      <c r="K1387" s="2" t="e">
        <f>VLOOKUP(F1387,Munka1!A:A,1,0)</f>
        <v>#N/A</v>
      </c>
    </row>
    <row r="1388" spans="10:11" hidden="1" x14ac:dyDescent="0.3">
      <c r="J1388" s="2" t="str">
        <f t="shared" si="21"/>
        <v>NO</v>
      </c>
      <c r="K1388" s="2" t="e">
        <f>VLOOKUP(F1388,Munka1!A:A,1,0)</f>
        <v>#N/A</v>
      </c>
    </row>
    <row r="1389" spans="10:11" hidden="1" x14ac:dyDescent="0.3">
      <c r="J1389" s="2" t="str">
        <f t="shared" si="21"/>
        <v>NO</v>
      </c>
      <c r="K1389" s="2" t="e">
        <f>VLOOKUP(F1389,Munka1!A:A,1,0)</f>
        <v>#N/A</v>
      </c>
    </row>
    <row r="1390" spans="10:11" hidden="1" x14ac:dyDescent="0.3">
      <c r="J1390" s="2" t="str">
        <f t="shared" si="21"/>
        <v>NO</v>
      </c>
      <c r="K1390" s="2" t="e">
        <f>VLOOKUP(F1390,Munka1!A:A,1,0)</f>
        <v>#N/A</v>
      </c>
    </row>
    <row r="1391" spans="10:11" hidden="1" x14ac:dyDescent="0.3">
      <c r="J1391" s="2" t="str">
        <f t="shared" si="21"/>
        <v>NO</v>
      </c>
      <c r="K1391" s="2" t="e">
        <f>VLOOKUP(F1391,Munka1!A:A,1,0)</f>
        <v>#N/A</v>
      </c>
    </row>
    <row r="1392" spans="10:11" hidden="1" x14ac:dyDescent="0.3">
      <c r="J1392" s="2" t="str">
        <f t="shared" si="21"/>
        <v>NO</v>
      </c>
      <c r="K1392" s="2" t="e">
        <f>VLOOKUP(F1392,Munka1!A:A,1,0)</f>
        <v>#N/A</v>
      </c>
    </row>
    <row r="1393" spans="10:11" hidden="1" x14ac:dyDescent="0.3">
      <c r="J1393" s="2" t="str">
        <f t="shared" si="21"/>
        <v>NO</v>
      </c>
      <c r="K1393" s="2" t="e">
        <f>VLOOKUP(F1393,Munka1!A:A,1,0)</f>
        <v>#N/A</v>
      </c>
    </row>
    <row r="1394" spans="10:11" hidden="1" x14ac:dyDescent="0.3">
      <c r="J1394" s="2" t="str">
        <f t="shared" si="21"/>
        <v>NO</v>
      </c>
      <c r="K1394" s="2" t="e">
        <f>VLOOKUP(F1394,Munka1!A:A,1,0)</f>
        <v>#N/A</v>
      </c>
    </row>
    <row r="1395" spans="10:11" hidden="1" x14ac:dyDescent="0.3">
      <c r="J1395" s="2" t="str">
        <f t="shared" si="21"/>
        <v>NO</v>
      </c>
      <c r="K1395" s="2" t="e">
        <f>VLOOKUP(F1395,Munka1!A:A,1,0)</f>
        <v>#N/A</v>
      </c>
    </row>
    <row r="1396" spans="10:11" hidden="1" x14ac:dyDescent="0.3">
      <c r="J1396" s="2" t="str">
        <f t="shared" si="21"/>
        <v>NO</v>
      </c>
      <c r="K1396" s="2" t="e">
        <f>VLOOKUP(F1396,Munka1!A:A,1,0)</f>
        <v>#N/A</v>
      </c>
    </row>
    <row r="1397" spans="10:11" hidden="1" x14ac:dyDescent="0.3">
      <c r="J1397" s="2" t="str">
        <f t="shared" si="21"/>
        <v>NO</v>
      </c>
      <c r="K1397" s="2" t="e">
        <f>VLOOKUP(F1397,Munka1!A:A,1,0)</f>
        <v>#N/A</v>
      </c>
    </row>
    <row r="1398" spans="10:11" hidden="1" x14ac:dyDescent="0.3">
      <c r="J1398" s="2" t="str">
        <f t="shared" si="21"/>
        <v>NO</v>
      </c>
      <c r="K1398" s="2" t="e">
        <f>VLOOKUP(F1398,Munka1!A:A,1,0)</f>
        <v>#N/A</v>
      </c>
    </row>
    <row r="1399" spans="10:11" hidden="1" x14ac:dyDescent="0.3">
      <c r="J1399" s="2" t="str">
        <f t="shared" si="21"/>
        <v>NO</v>
      </c>
      <c r="K1399" s="2" t="e">
        <f>VLOOKUP(F1399,Munka1!A:A,1,0)</f>
        <v>#N/A</v>
      </c>
    </row>
    <row r="1400" spans="10:11" hidden="1" x14ac:dyDescent="0.3">
      <c r="J1400" s="2" t="str">
        <f t="shared" si="21"/>
        <v>NO</v>
      </c>
      <c r="K1400" s="2" t="e">
        <f>VLOOKUP(F1400,Munka1!A:A,1,0)</f>
        <v>#N/A</v>
      </c>
    </row>
    <row r="1401" spans="10:11" hidden="1" x14ac:dyDescent="0.3">
      <c r="J1401" s="2" t="str">
        <f t="shared" si="21"/>
        <v>NO</v>
      </c>
      <c r="K1401" s="2" t="e">
        <f>VLOOKUP(F1401,Munka1!A:A,1,0)</f>
        <v>#N/A</v>
      </c>
    </row>
    <row r="1402" spans="10:11" hidden="1" x14ac:dyDescent="0.3">
      <c r="J1402" s="2" t="str">
        <f t="shared" si="21"/>
        <v>NO</v>
      </c>
      <c r="K1402" s="2" t="e">
        <f>VLOOKUP(F1402,Munka1!A:A,1,0)</f>
        <v>#N/A</v>
      </c>
    </row>
    <row r="1403" spans="10:11" hidden="1" x14ac:dyDescent="0.3">
      <c r="J1403" s="2" t="str">
        <f t="shared" si="21"/>
        <v>NO</v>
      </c>
      <c r="K1403" s="2" t="e">
        <f>VLOOKUP(F1403,Munka1!A:A,1,0)</f>
        <v>#N/A</v>
      </c>
    </row>
    <row r="1404" spans="10:11" hidden="1" x14ac:dyDescent="0.3">
      <c r="J1404" s="2" t="str">
        <f t="shared" si="21"/>
        <v>NO</v>
      </c>
      <c r="K1404" s="2" t="e">
        <f>VLOOKUP(F1404,Munka1!A:A,1,0)</f>
        <v>#N/A</v>
      </c>
    </row>
    <row r="1405" spans="10:11" hidden="1" x14ac:dyDescent="0.3">
      <c r="J1405" s="2" t="str">
        <f t="shared" si="21"/>
        <v>NO</v>
      </c>
      <c r="K1405" s="2" t="e">
        <f>VLOOKUP(F1405,Munka1!A:A,1,0)</f>
        <v>#N/A</v>
      </c>
    </row>
    <row r="1406" spans="10:11" hidden="1" x14ac:dyDescent="0.3">
      <c r="J1406" s="2" t="str">
        <f t="shared" si="21"/>
        <v>NO</v>
      </c>
      <c r="K1406" s="2" t="e">
        <f>VLOOKUP(F1406,Munka1!A:A,1,0)</f>
        <v>#N/A</v>
      </c>
    </row>
    <row r="1407" spans="10:11" hidden="1" x14ac:dyDescent="0.3">
      <c r="J1407" s="2" t="str">
        <f t="shared" si="21"/>
        <v>NO</v>
      </c>
      <c r="K1407" s="2" t="e">
        <f>VLOOKUP(F1407,Munka1!A:A,1,0)</f>
        <v>#N/A</v>
      </c>
    </row>
    <row r="1408" spans="10:11" hidden="1" x14ac:dyDescent="0.3">
      <c r="J1408" s="2" t="str">
        <f t="shared" si="21"/>
        <v>NO</v>
      </c>
      <c r="K1408" s="2" t="e">
        <f>VLOOKUP(F1408,Munka1!A:A,1,0)</f>
        <v>#N/A</v>
      </c>
    </row>
    <row r="1409" spans="10:11" hidden="1" x14ac:dyDescent="0.3">
      <c r="J1409" s="2" t="str">
        <f t="shared" si="21"/>
        <v>NO</v>
      </c>
      <c r="K1409" s="2" t="e">
        <f>VLOOKUP(F1409,Munka1!A:A,1,0)</f>
        <v>#N/A</v>
      </c>
    </row>
    <row r="1410" spans="10:11" hidden="1" x14ac:dyDescent="0.3">
      <c r="J1410" s="2" t="str">
        <f t="shared" si="21"/>
        <v>NO</v>
      </c>
      <c r="K1410" s="2" t="e">
        <f>VLOOKUP(F1410,Munka1!A:A,1,0)</f>
        <v>#N/A</v>
      </c>
    </row>
    <row r="1411" spans="10:11" hidden="1" x14ac:dyDescent="0.3">
      <c r="J1411" s="2" t="str">
        <f t="shared" ref="J1411:J1474" si="22">IF(OR(F1411="",F1411="_",LEFT(F1411,5)="SPARE",F1411="N/A"),"NO","YES")</f>
        <v>NO</v>
      </c>
      <c r="K1411" s="2" t="e">
        <f>VLOOKUP(F1411,Munka1!A:A,1,0)</f>
        <v>#N/A</v>
      </c>
    </row>
    <row r="1412" spans="10:11" hidden="1" x14ac:dyDescent="0.3">
      <c r="J1412" s="2" t="str">
        <f t="shared" si="22"/>
        <v>NO</v>
      </c>
      <c r="K1412" s="2" t="e">
        <f>VLOOKUP(F1412,Munka1!A:A,1,0)</f>
        <v>#N/A</v>
      </c>
    </row>
    <row r="1413" spans="10:11" hidden="1" x14ac:dyDescent="0.3">
      <c r="J1413" s="2" t="str">
        <f t="shared" si="22"/>
        <v>NO</v>
      </c>
      <c r="K1413" s="2" t="e">
        <f>VLOOKUP(F1413,Munka1!A:A,1,0)</f>
        <v>#N/A</v>
      </c>
    </row>
    <row r="1414" spans="10:11" hidden="1" x14ac:dyDescent="0.3">
      <c r="J1414" s="2" t="str">
        <f t="shared" si="22"/>
        <v>NO</v>
      </c>
      <c r="K1414" s="2" t="e">
        <f>VLOOKUP(F1414,Munka1!A:A,1,0)</f>
        <v>#N/A</v>
      </c>
    </row>
    <row r="1415" spans="10:11" hidden="1" x14ac:dyDescent="0.3">
      <c r="J1415" s="2" t="str">
        <f t="shared" si="22"/>
        <v>NO</v>
      </c>
      <c r="K1415" s="2" t="e">
        <f>VLOOKUP(F1415,Munka1!A:A,1,0)</f>
        <v>#N/A</v>
      </c>
    </row>
    <row r="1416" spans="10:11" hidden="1" x14ac:dyDescent="0.3">
      <c r="J1416" s="2" t="str">
        <f t="shared" si="22"/>
        <v>NO</v>
      </c>
      <c r="K1416" s="2" t="e">
        <f>VLOOKUP(F1416,Munka1!A:A,1,0)</f>
        <v>#N/A</v>
      </c>
    </row>
    <row r="1417" spans="10:11" hidden="1" x14ac:dyDescent="0.3">
      <c r="J1417" s="2" t="str">
        <f t="shared" si="22"/>
        <v>NO</v>
      </c>
      <c r="K1417" s="2" t="e">
        <f>VLOOKUP(F1417,Munka1!A:A,1,0)</f>
        <v>#N/A</v>
      </c>
    </row>
    <row r="1418" spans="10:11" hidden="1" x14ac:dyDescent="0.3">
      <c r="J1418" s="2" t="str">
        <f t="shared" si="22"/>
        <v>NO</v>
      </c>
      <c r="K1418" s="2" t="e">
        <f>VLOOKUP(F1418,Munka1!A:A,1,0)</f>
        <v>#N/A</v>
      </c>
    </row>
    <row r="1419" spans="10:11" hidden="1" x14ac:dyDescent="0.3">
      <c r="J1419" s="2" t="str">
        <f t="shared" si="22"/>
        <v>NO</v>
      </c>
      <c r="K1419" s="2" t="e">
        <f>VLOOKUP(F1419,Munka1!A:A,1,0)</f>
        <v>#N/A</v>
      </c>
    </row>
    <row r="1420" spans="10:11" hidden="1" x14ac:dyDescent="0.3">
      <c r="J1420" s="2" t="str">
        <f t="shared" si="22"/>
        <v>NO</v>
      </c>
      <c r="K1420" s="2" t="e">
        <f>VLOOKUP(F1420,Munka1!A:A,1,0)</f>
        <v>#N/A</v>
      </c>
    </row>
    <row r="1421" spans="10:11" hidden="1" x14ac:dyDescent="0.3">
      <c r="J1421" s="2" t="str">
        <f t="shared" si="22"/>
        <v>NO</v>
      </c>
      <c r="K1421" s="2" t="e">
        <f>VLOOKUP(F1421,Munka1!A:A,1,0)</f>
        <v>#N/A</v>
      </c>
    </row>
    <row r="1422" spans="10:11" hidden="1" x14ac:dyDescent="0.3">
      <c r="J1422" s="2" t="str">
        <f t="shared" si="22"/>
        <v>NO</v>
      </c>
      <c r="K1422" s="2" t="e">
        <f>VLOOKUP(F1422,Munka1!A:A,1,0)</f>
        <v>#N/A</v>
      </c>
    </row>
    <row r="1423" spans="10:11" hidden="1" x14ac:dyDescent="0.3">
      <c r="J1423" s="2" t="str">
        <f t="shared" si="22"/>
        <v>NO</v>
      </c>
      <c r="K1423" s="2" t="e">
        <f>VLOOKUP(F1423,Munka1!A:A,1,0)</f>
        <v>#N/A</v>
      </c>
    </row>
    <row r="1424" spans="10:11" hidden="1" x14ac:dyDescent="0.3">
      <c r="J1424" s="2" t="str">
        <f t="shared" si="22"/>
        <v>NO</v>
      </c>
      <c r="K1424" s="2" t="e">
        <f>VLOOKUP(F1424,Munka1!A:A,1,0)</f>
        <v>#N/A</v>
      </c>
    </row>
    <row r="1425" spans="10:11" hidden="1" x14ac:dyDescent="0.3">
      <c r="J1425" s="2" t="str">
        <f t="shared" si="22"/>
        <v>NO</v>
      </c>
      <c r="K1425" s="2" t="e">
        <f>VLOOKUP(F1425,Munka1!A:A,1,0)</f>
        <v>#N/A</v>
      </c>
    </row>
    <row r="1426" spans="10:11" hidden="1" x14ac:dyDescent="0.3">
      <c r="J1426" s="2" t="str">
        <f t="shared" si="22"/>
        <v>NO</v>
      </c>
      <c r="K1426" s="2" t="e">
        <f>VLOOKUP(F1426,Munka1!A:A,1,0)</f>
        <v>#N/A</v>
      </c>
    </row>
    <row r="1427" spans="10:11" hidden="1" x14ac:dyDescent="0.3">
      <c r="J1427" s="2" t="str">
        <f t="shared" si="22"/>
        <v>NO</v>
      </c>
      <c r="K1427" s="2" t="e">
        <f>VLOOKUP(F1427,Munka1!A:A,1,0)</f>
        <v>#N/A</v>
      </c>
    </row>
    <row r="1428" spans="10:11" hidden="1" x14ac:dyDescent="0.3">
      <c r="J1428" s="2" t="str">
        <f t="shared" si="22"/>
        <v>NO</v>
      </c>
      <c r="K1428" s="2" t="e">
        <f>VLOOKUP(F1428,Munka1!A:A,1,0)</f>
        <v>#N/A</v>
      </c>
    </row>
    <row r="1429" spans="10:11" hidden="1" x14ac:dyDescent="0.3">
      <c r="J1429" s="2" t="str">
        <f t="shared" si="22"/>
        <v>NO</v>
      </c>
      <c r="K1429" s="2" t="e">
        <f>VLOOKUP(F1429,Munka1!A:A,1,0)</f>
        <v>#N/A</v>
      </c>
    </row>
    <row r="1430" spans="10:11" hidden="1" x14ac:dyDescent="0.3">
      <c r="J1430" s="2" t="str">
        <f t="shared" si="22"/>
        <v>NO</v>
      </c>
      <c r="K1430" s="2" t="e">
        <f>VLOOKUP(F1430,Munka1!A:A,1,0)</f>
        <v>#N/A</v>
      </c>
    </row>
    <row r="1431" spans="10:11" hidden="1" x14ac:dyDescent="0.3">
      <c r="J1431" s="2" t="str">
        <f t="shared" si="22"/>
        <v>NO</v>
      </c>
      <c r="K1431" s="2" t="e">
        <f>VLOOKUP(F1431,Munka1!A:A,1,0)</f>
        <v>#N/A</v>
      </c>
    </row>
    <row r="1432" spans="10:11" hidden="1" x14ac:dyDescent="0.3">
      <c r="J1432" s="2" t="str">
        <f t="shared" si="22"/>
        <v>NO</v>
      </c>
      <c r="K1432" s="2" t="e">
        <f>VLOOKUP(F1432,Munka1!A:A,1,0)</f>
        <v>#N/A</v>
      </c>
    </row>
    <row r="1433" spans="10:11" hidden="1" x14ac:dyDescent="0.3">
      <c r="J1433" s="2" t="str">
        <f t="shared" si="22"/>
        <v>NO</v>
      </c>
      <c r="K1433" s="2" t="e">
        <f>VLOOKUP(F1433,Munka1!A:A,1,0)</f>
        <v>#N/A</v>
      </c>
    </row>
    <row r="1434" spans="10:11" hidden="1" x14ac:dyDescent="0.3">
      <c r="J1434" s="2" t="str">
        <f t="shared" si="22"/>
        <v>NO</v>
      </c>
      <c r="K1434" s="2" t="e">
        <f>VLOOKUP(F1434,Munka1!A:A,1,0)</f>
        <v>#N/A</v>
      </c>
    </row>
    <row r="1435" spans="10:11" hidden="1" x14ac:dyDescent="0.3">
      <c r="J1435" s="2" t="str">
        <f t="shared" si="22"/>
        <v>NO</v>
      </c>
      <c r="K1435" s="2" t="e">
        <f>VLOOKUP(F1435,Munka1!A:A,1,0)</f>
        <v>#N/A</v>
      </c>
    </row>
    <row r="1436" spans="10:11" hidden="1" x14ac:dyDescent="0.3">
      <c r="J1436" s="2" t="str">
        <f t="shared" si="22"/>
        <v>NO</v>
      </c>
      <c r="K1436" s="2" t="e">
        <f>VLOOKUP(F1436,Munka1!A:A,1,0)</f>
        <v>#N/A</v>
      </c>
    </row>
    <row r="1437" spans="10:11" hidden="1" x14ac:dyDescent="0.3">
      <c r="J1437" s="2" t="str">
        <f t="shared" si="22"/>
        <v>NO</v>
      </c>
      <c r="K1437" s="2" t="e">
        <f>VLOOKUP(F1437,Munka1!A:A,1,0)</f>
        <v>#N/A</v>
      </c>
    </row>
    <row r="1438" spans="10:11" hidden="1" x14ac:dyDescent="0.3">
      <c r="J1438" s="2" t="str">
        <f t="shared" si="22"/>
        <v>NO</v>
      </c>
      <c r="K1438" s="2" t="e">
        <f>VLOOKUP(F1438,Munka1!A:A,1,0)</f>
        <v>#N/A</v>
      </c>
    </row>
    <row r="1439" spans="10:11" hidden="1" x14ac:dyDescent="0.3">
      <c r="J1439" s="2" t="str">
        <f t="shared" si="22"/>
        <v>NO</v>
      </c>
      <c r="K1439" s="2" t="e">
        <f>VLOOKUP(F1439,Munka1!A:A,1,0)</f>
        <v>#N/A</v>
      </c>
    </row>
    <row r="1440" spans="10:11" hidden="1" x14ac:dyDescent="0.3">
      <c r="J1440" s="2" t="str">
        <f t="shared" si="22"/>
        <v>NO</v>
      </c>
      <c r="K1440" s="2" t="e">
        <f>VLOOKUP(F1440,Munka1!A:A,1,0)</f>
        <v>#N/A</v>
      </c>
    </row>
    <row r="1441" spans="10:11" hidden="1" x14ac:dyDescent="0.3">
      <c r="J1441" s="2" t="str">
        <f t="shared" si="22"/>
        <v>NO</v>
      </c>
      <c r="K1441" s="2" t="e">
        <f>VLOOKUP(F1441,Munka1!A:A,1,0)</f>
        <v>#N/A</v>
      </c>
    </row>
    <row r="1442" spans="10:11" hidden="1" x14ac:dyDescent="0.3">
      <c r="J1442" s="2" t="str">
        <f t="shared" si="22"/>
        <v>NO</v>
      </c>
      <c r="K1442" s="2" t="e">
        <f>VLOOKUP(F1442,Munka1!A:A,1,0)</f>
        <v>#N/A</v>
      </c>
    </row>
    <row r="1443" spans="10:11" hidden="1" x14ac:dyDescent="0.3">
      <c r="J1443" s="2" t="str">
        <f t="shared" si="22"/>
        <v>NO</v>
      </c>
      <c r="K1443" s="2" t="e">
        <f>VLOOKUP(F1443,Munka1!A:A,1,0)</f>
        <v>#N/A</v>
      </c>
    </row>
    <row r="1444" spans="10:11" hidden="1" x14ac:dyDescent="0.3">
      <c r="J1444" s="2" t="str">
        <f t="shared" si="22"/>
        <v>NO</v>
      </c>
      <c r="K1444" s="2" t="e">
        <f>VLOOKUP(F1444,Munka1!A:A,1,0)</f>
        <v>#N/A</v>
      </c>
    </row>
    <row r="1445" spans="10:11" hidden="1" x14ac:dyDescent="0.3">
      <c r="J1445" s="2" t="str">
        <f t="shared" si="22"/>
        <v>NO</v>
      </c>
      <c r="K1445" s="2" t="e">
        <f>VLOOKUP(F1445,Munka1!A:A,1,0)</f>
        <v>#N/A</v>
      </c>
    </row>
    <row r="1446" spans="10:11" hidden="1" x14ac:dyDescent="0.3">
      <c r="J1446" s="2" t="str">
        <f t="shared" si="22"/>
        <v>NO</v>
      </c>
      <c r="K1446" s="2" t="e">
        <f>VLOOKUP(F1446,Munka1!A:A,1,0)</f>
        <v>#N/A</v>
      </c>
    </row>
    <row r="1447" spans="10:11" hidden="1" x14ac:dyDescent="0.3">
      <c r="J1447" s="2" t="str">
        <f t="shared" si="22"/>
        <v>NO</v>
      </c>
      <c r="K1447" s="2" t="e">
        <f>VLOOKUP(F1447,Munka1!A:A,1,0)</f>
        <v>#N/A</v>
      </c>
    </row>
    <row r="1448" spans="10:11" hidden="1" x14ac:dyDescent="0.3">
      <c r="J1448" s="2" t="str">
        <f t="shared" si="22"/>
        <v>NO</v>
      </c>
      <c r="K1448" s="2" t="e">
        <f>VLOOKUP(F1448,Munka1!A:A,1,0)</f>
        <v>#N/A</v>
      </c>
    </row>
    <row r="1449" spans="10:11" hidden="1" x14ac:dyDescent="0.3">
      <c r="J1449" s="2" t="str">
        <f t="shared" si="22"/>
        <v>NO</v>
      </c>
      <c r="K1449" s="2" t="e">
        <f>VLOOKUP(F1449,Munka1!A:A,1,0)</f>
        <v>#N/A</v>
      </c>
    </row>
    <row r="1450" spans="10:11" hidden="1" x14ac:dyDescent="0.3">
      <c r="J1450" s="2" t="str">
        <f t="shared" si="22"/>
        <v>NO</v>
      </c>
      <c r="K1450" s="2" t="e">
        <f>VLOOKUP(F1450,Munka1!A:A,1,0)</f>
        <v>#N/A</v>
      </c>
    </row>
    <row r="1451" spans="10:11" hidden="1" x14ac:dyDescent="0.3">
      <c r="J1451" s="2" t="str">
        <f t="shared" si="22"/>
        <v>NO</v>
      </c>
      <c r="K1451" s="2" t="e">
        <f>VLOOKUP(F1451,Munka1!A:A,1,0)</f>
        <v>#N/A</v>
      </c>
    </row>
    <row r="1452" spans="10:11" hidden="1" x14ac:dyDescent="0.3">
      <c r="J1452" s="2" t="str">
        <f t="shared" si="22"/>
        <v>NO</v>
      </c>
      <c r="K1452" s="2" t="e">
        <f>VLOOKUP(F1452,Munka1!A:A,1,0)</f>
        <v>#N/A</v>
      </c>
    </row>
    <row r="1453" spans="10:11" hidden="1" x14ac:dyDescent="0.3">
      <c r="J1453" s="2" t="str">
        <f t="shared" si="22"/>
        <v>NO</v>
      </c>
      <c r="K1453" s="2" t="e">
        <f>VLOOKUP(F1453,Munka1!A:A,1,0)</f>
        <v>#N/A</v>
      </c>
    </row>
    <row r="1454" spans="10:11" hidden="1" x14ac:dyDescent="0.3">
      <c r="J1454" s="2" t="str">
        <f t="shared" si="22"/>
        <v>NO</v>
      </c>
      <c r="K1454" s="2" t="e">
        <f>VLOOKUP(F1454,Munka1!A:A,1,0)</f>
        <v>#N/A</v>
      </c>
    </row>
    <row r="1455" spans="10:11" hidden="1" x14ac:dyDescent="0.3">
      <c r="J1455" s="2" t="str">
        <f t="shared" si="22"/>
        <v>NO</v>
      </c>
      <c r="K1455" s="2" t="e">
        <f>VLOOKUP(F1455,Munka1!A:A,1,0)</f>
        <v>#N/A</v>
      </c>
    </row>
    <row r="1456" spans="10:11" hidden="1" x14ac:dyDescent="0.3">
      <c r="J1456" s="2" t="str">
        <f t="shared" si="22"/>
        <v>NO</v>
      </c>
      <c r="K1456" s="2" t="e">
        <f>VLOOKUP(F1456,Munka1!A:A,1,0)</f>
        <v>#N/A</v>
      </c>
    </row>
    <row r="1457" spans="10:11" hidden="1" x14ac:dyDescent="0.3">
      <c r="J1457" s="2" t="str">
        <f t="shared" si="22"/>
        <v>NO</v>
      </c>
      <c r="K1457" s="2" t="e">
        <f>VLOOKUP(F1457,Munka1!A:A,1,0)</f>
        <v>#N/A</v>
      </c>
    </row>
    <row r="1458" spans="10:11" hidden="1" x14ac:dyDescent="0.3">
      <c r="J1458" s="2" t="str">
        <f t="shared" si="22"/>
        <v>NO</v>
      </c>
      <c r="K1458" s="2" t="e">
        <f>VLOOKUP(F1458,Munka1!A:A,1,0)</f>
        <v>#N/A</v>
      </c>
    </row>
    <row r="1459" spans="10:11" hidden="1" x14ac:dyDescent="0.3">
      <c r="J1459" s="2" t="str">
        <f t="shared" si="22"/>
        <v>NO</v>
      </c>
      <c r="K1459" s="2" t="e">
        <f>VLOOKUP(F1459,Munka1!A:A,1,0)</f>
        <v>#N/A</v>
      </c>
    </row>
    <row r="1460" spans="10:11" hidden="1" x14ac:dyDescent="0.3">
      <c r="J1460" s="2" t="str">
        <f t="shared" si="22"/>
        <v>NO</v>
      </c>
      <c r="K1460" s="2" t="e">
        <f>VLOOKUP(F1460,Munka1!A:A,1,0)</f>
        <v>#N/A</v>
      </c>
    </row>
    <row r="1461" spans="10:11" hidden="1" x14ac:dyDescent="0.3">
      <c r="J1461" s="2" t="str">
        <f t="shared" si="22"/>
        <v>NO</v>
      </c>
      <c r="K1461" s="2" t="e">
        <f>VLOOKUP(F1461,Munka1!A:A,1,0)</f>
        <v>#N/A</v>
      </c>
    </row>
    <row r="1462" spans="10:11" hidden="1" x14ac:dyDescent="0.3">
      <c r="J1462" s="2" t="str">
        <f t="shared" si="22"/>
        <v>NO</v>
      </c>
      <c r="K1462" s="2" t="e">
        <f>VLOOKUP(F1462,Munka1!A:A,1,0)</f>
        <v>#N/A</v>
      </c>
    </row>
    <row r="1463" spans="10:11" hidden="1" x14ac:dyDescent="0.3">
      <c r="J1463" s="2" t="str">
        <f t="shared" si="22"/>
        <v>NO</v>
      </c>
      <c r="K1463" s="2" t="e">
        <f>VLOOKUP(F1463,Munka1!A:A,1,0)</f>
        <v>#N/A</v>
      </c>
    </row>
    <row r="1464" spans="10:11" hidden="1" x14ac:dyDescent="0.3">
      <c r="J1464" s="2" t="str">
        <f t="shared" si="22"/>
        <v>NO</v>
      </c>
      <c r="K1464" s="2" t="e">
        <f>VLOOKUP(F1464,Munka1!A:A,1,0)</f>
        <v>#N/A</v>
      </c>
    </row>
    <row r="1465" spans="10:11" hidden="1" x14ac:dyDescent="0.3">
      <c r="J1465" s="2" t="str">
        <f t="shared" si="22"/>
        <v>NO</v>
      </c>
      <c r="K1465" s="2" t="e">
        <f>VLOOKUP(F1465,Munka1!A:A,1,0)</f>
        <v>#N/A</v>
      </c>
    </row>
    <row r="1466" spans="10:11" hidden="1" x14ac:dyDescent="0.3">
      <c r="J1466" s="2" t="str">
        <f t="shared" si="22"/>
        <v>NO</v>
      </c>
      <c r="K1466" s="2" t="e">
        <f>VLOOKUP(F1466,Munka1!A:A,1,0)</f>
        <v>#N/A</v>
      </c>
    </row>
    <row r="1467" spans="10:11" hidden="1" x14ac:dyDescent="0.3">
      <c r="J1467" s="2" t="str">
        <f t="shared" si="22"/>
        <v>NO</v>
      </c>
      <c r="K1467" s="2" t="e">
        <f>VLOOKUP(F1467,Munka1!A:A,1,0)</f>
        <v>#N/A</v>
      </c>
    </row>
    <row r="1468" spans="10:11" hidden="1" x14ac:dyDescent="0.3">
      <c r="J1468" s="2" t="str">
        <f t="shared" si="22"/>
        <v>NO</v>
      </c>
      <c r="K1468" s="2" t="e">
        <f>VLOOKUP(F1468,Munka1!A:A,1,0)</f>
        <v>#N/A</v>
      </c>
    </row>
    <row r="1469" spans="10:11" hidden="1" x14ac:dyDescent="0.3">
      <c r="J1469" s="2" t="str">
        <f t="shared" si="22"/>
        <v>NO</v>
      </c>
      <c r="K1469" s="2" t="e">
        <f>VLOOKUP(F1469,Munka1!A:A,1,0)</f>
        <v>#N/A</v>
      </c>
    </row>
    <row r="1470" spans="10:11" hidden="1" x14ac:dyDescent="0.3">
      <c r="J1470" s="2" t="str">
        <f t="shared" si="22"/>
        <v>NO</v>
      </c>
      <c r="K1470" s="2" t="e">
        <f>VLOOKUP(F1470,Munka1!A:A,1,0)</f>
        <v>#N/A</v>
      </c>
    </row>
    <row r="1471" spans="10:11" hidden="1" x14ac:dyDescent="0.3">
      <c r="J1471" s="2" t="str">
        <f t="shared" si="22"/>
        <v>NO</v>
      </c>
      <c r="K1471" s="2" t="e">
        <f>VLOOKUP(F1471,Munka1!A:A,1,0)</f>
        <v>#N/A</v>
      </c>
    </row>
    <row r="1472" spans="10:11" hidden="1" x14ac:dyDescent="0.3">
      <c r="J1472" s="2" t="str">
        <f t="shared" si="22"/>
        <v>NO</v>
      </c>
      <c r="K1472" s="2" t="e">
        <f>VLOOKUP(F1472,Munka1!A:A,1,0)</f>
        <v>#N/A</v>
      </c>
    </row>
    <row r="1473" spans="10:11" hidden="1" x14ac:dyDescent="0.3">
      <c r="J1473" s="2" t="str">
        <f t="shared" si="22"/>
        <v>NO</v>
      </c>
      <c r="K1473" s="2" t="e">
        <f>VLOOKUP(F1473,Munka1!A:A,1,0)</f>
        <v>#N/A</v>
      </c>
    </row>
    <row r="1474" spans="10:11" hidden="1" x14ac:dyDescent="0.3">
      <c r="J1474" s="2" t="str">
        <f t="shared" si="22"/>
        <v>NO</v>
      </c>
      <c r="K1474" s="2" t="e">
        <f>VLOOKUP(F1474,Munka1!A:A,1,0)</f>
        <v>#N/A</v>
      </c>
    </row>
    <row r="1475" spans="10:11" hidden="1" x14ac:dyDescent="0.3">
      <c r="J1475" s="2" t="str">
        <f t="shared" ref="J1475:J1538" si="23">IF(OR(F1475="",F1475="_",LEFT(F1475,5)="SPARE",F1475="N/A"),"NO","YES")</f>
        <v>NO</v>
      </c>
      <c r="K1475" s="2" t="e">
        <f>VLOOKUP(F1475,Munka1!A:A,1,0)</f>
        <v>#N/A</v>
      </c>
    </row>
    <row r="1476" spans="10:11" hidden="1" x14ac:dyDescent="0.3">
      <c r="J1476" s="2" t="str">
        <f t="shared" si="23"/>
        <v>NO</v>
      </c>
      <c r="K1476" s="2" t="e">
        <f>VLOOKUP(F1476,Munka1!A:A,1,0)</f>
        <v>#N/A</v>
      </c>
    </row>
    <row r="1477" spans="10:11" hidden="1" x14ac:dyDescent="0.3">
      <c r="J1477" s="2" t="str">
        <f t="shared" si="23"/>
        <v>NO</v>
      </c>
      <c r="K1477" s="2" t="e">
        <f>VLOOKUP(F1477,Munka1!A:A,1,0)</f>
        <v>#N/A</v>
      </c>
    </row>
    <row r="1478" spans="10:11" hidden="1" x14ac:dyDescent="0.3">
      <c r="J1478" s="2" t="str">
        <f t="shared" si="23"/>
        <v>NO</v>
      </c>
      <c r="K1478" s="2" t="e">
        <f>VLOOKUP(F1478,Munka1!A:A,1,0)</f>
        <v>#N/A</v>
      </c>
    </row>
    <row r="1479" spans="10:11" hidden="1" x14ac:dyDescent="0.3">
      <c r="J1479" s="2" t="str">
        <f t="shared" si="23"/>
        <v>NO</v>
      </c>
      <c r="K1479" s="2" t="e">
        <f>VLOOKUP(F1479,Munka1!A:A,1,0)</f>
        <v>#N/A</v>
      </c>
    </row>
    <row r="1480" spans="10:11" hidden="1" x14ac:dyDescent="0.3">
      <c r="J1480" s="2" t="str">
        <f t="shared" si="23"/>
        <v>NO</v>
      </c>
      <c r="K1480" s="2" t="e">
        <f>VLOOKUP(F1480,Munka1!A:A,1,0)</f>
        <v>#N/A</v>
      </c>
    </row>
    <row r="1481" spans="10:11" hidden="1" x14ac:dyDescent="0.3">
      <c r="J1481" s="2" t="str">
        <f t="shared" si="23"/>
        <v>NO</v>
      </c>
      <c r="K1481" s="2" t="e">
        <f>VLOOKUP(F1481,Munka1!A:A,1,0)</f>
        <v>#N/A</v>
      </c>
    </row>
    <row r="1482" spans="10:11" hidden="1" x14ac:dyDescent="0.3">
      <c r="J1482" s="2" t="str">
        <f t="shared" si="23"/>
        <v>NO</v>
      </c>
      <c r="K1482" s="2" t="e">
        <f>VLOOKUP(F1482,Munka1!A:A,1,0)</f>
        <v>#N/A</v>
      </c>
    </row>
    <row r="1483" spans="10:11" hidden="1" x14ac:dyDescent="0.3">
      <c r="J1483" s="2" t="str">
        <f t="shared" si="23"/>
        <v>NO</v>
      </c>
      <c r="K1483" s="2" t="e">
        <f>VLOOKUP(F1483,Munka1!A:A,1,0)</f>
        <v>#N/A</v>
      </c>
    </row>
    <row r="1484" spans="10:11" hidden="1" x14ac:dyDescent="0.3">
      <c r="J1484" s="2" t="str">
        <f t="shared" si="23"/>
        <v>NO</v>
      </c>
      <c r="K1484" s="2" t="e">
        <f>VLOOKUP(F1484,Munka1!A:A,1,0)</f>
        <v>#N/A</v>
      </c>
    </row>
    <row r="1485" spans="10:11" hidden="1" x14ac:dyDescent="0.3">
      <c r="J1485" s="2" t="str">
        <f t="shared" si="23"/>
        <v>NO</v>
      </c>
      <c r="K1485" s="2" t="e">
        <f>VLOOKUP(F1485,Munka1!A:A,1,0)</f>
        <v>#N/A</v>
      </c>
    </row>
    <row r="1486" spans="10:11" hidden="1" x14ac:dyDescent="0.3">
      <c r="J1486" s="2" t="str">
        <f t="shared" si="23"/>
        <v>NO</v>
      </c>
      <c r="K1486" s="2" t="e">
        <f>VLOOKUP(F1486,Munka1!A:A,1,0)</f>
        <v>#N/A</v>
      </c>
    </row>
    <row r="1487" spans="10:11" hidden="1" x14ac:dyDescent="0.3">
      <c r="J1487" s="2" t="str">
        <f t="shared" si="23"/>
        <v>NO</v>
      </c>
      <c r="K1487" s="2" t="e">
        <f>VLOOKUP(F1487,Munka1!A:A,1,0)</f>
        <v>#N/A</v>
      </c>
    </row>
    <row r="1488" spans="10:11" hidden="1" x14ac:dyDescent="0.3">
      <c r="J1488" s="2" t="str">
        <f t="shared" si="23"/>
        <v>NO</v>
      </c>
      <c r="K1488" s="2" t="e">
        <f>VLOOKUP(F1488,Munka1!A:A,1,0)</f>
        <v>#N/A</v>
      </c>
    </row>
    <row r="1489" spans="10:11" hidden="1" x14ac:dyDescent="0.3">
      <c r="J1489" s="2" t="str">
        <f t="shared" si="23"/>
        <v>NO</v>
      </c>
      <c r="K1489" s="2" t="e">
        <f>VLOOKUP(F1489,Munka1!A:A,1,0)</f>
        <v>#N/A</v>
      </c>
    </row>
    <row r="1490" spans="10:11" hidden="1" x14ac:dyDescent="0.3">
      <c r="J1490" s="2" t="str">
        <f t="shared" si="23"/>
        <v>NO</v>
      </c>
      <c r="K1490" s="2" t="e">
        <f>VLOOKUP(F1490,Munka1!A:A,1,0)</f>
        <v>#N/A</v>
      </c>
    </row>
    <row r="1491" spans="10:11" hidden="1" x14ac:dyDescent="0.3">
      <c r="J1491" s="2" t="str">
        <f t="shared" si="23"/>
        <v>NO</v>
      </c>
      <c r="K1491" s="2" t="e">
        <f>VLOOKUP(F1491,Munka1!A:A,1,0)</f>
        <v>#N/A</v>
      </c>
    </row>
    <row r="1492" spans="10:11" hidden="1" x14ac:dyDescent="0.3">
      <c r="J1492" s="2" t="str">
        <f t="shared" si="23"/>
        <v>NO</v>
      </c>
      <c r="K1492" s="2" t="e">
        <f>VLOOKUP(F1492,Munka1!A:A,1,0)</f>
        <v>#N/A</v>
      </c>
    </row>
    <row r="1493" spans="10:11" hidden="1" x14ac:dyDescent="0.3">
      <c r="J1493" s="2" t="str">
        <f t="shared" si="23"/>
        <v>NO</v>
      </c>
      <c r="K1493" s="2" t="e">
        <f>VLOOKUP(F1493,Munka1!A:A,1,0)</f>
        <v>#N/A</v>
      </c>
    </row>
    <row r="1494" spans="10:11" hidden="1" x14ac:dyDescent="0.3">
      <c r="J1494" s="2" t="str">
        <f t="shared" si="23"/>
        <v>NO</v>
      </c>
      <c r="K1494" s="2" t="e">
        <f>VLOOKUP(F1494,Munka1!A:A,1,0)</f>
        <v>#N/A</v>
      </c>
    </row>
    <row r="1495" spans="10:11" hidden="1" x14ac:dyDescent="0.3">
      <c r="J1495" s="2" t="str">
        <f t="shared" si="23"/>
        <v>NO</v>
      </c>
      <c r="K1495" s="2" t="e">
        <f>VLOOKUP(F1495,Munka1!A:A,1,0)</f>
        <v>#N/A</v>
      </c>
    </row>
    <row r="1496" spans="10:11" hidden="1" x14ac:dyDescent="0.3">
      <c r="J1496" s="2" t="str">
        <f t="shared" si="23"/>
        <v>NO</v>
      </c>
      <c r="K1496" s="2" t="e">
        <f>VLOOKUP(F1496,Munka1!A:A,1,0)</f>
        <v>#N/A</v>
      </c>
    </row>
    <row r="1497" spans="10:11" hidden="1" x14ac:dyDescent="0.3">
      <c r="J1497" s="2" t="str">
        <f t="shared" si="23"/>
        <v>NO</v>
      </c>
      <c r="K1497" s="2" t="e">
        <f>VLOOKUP(F1497,Munka1!A:A,1,0)</f>
        <v>#N/A</v>
      </c>
    </row>
    <row r="1498" spans="10:11" hidden="1" x14ac:dyDescent="0.3">
      <c r="J1498" s="2" t="str">
        <f t="shared" si="23"/>
        <v>NO</v>
      </c>
      <c r="K1498" s="2" t="e">
        <f>VLOOKUP(F1498,Munka1!A:A,1,0)</f>
        <v>#N/A</v>
      </c>
    </row>
    <row r="1499" spans="10:11" hidden="1" x14ac:dyDescent="0.3">
      <c r="J1499" s="2" t="str">
        <f t="shared" si="23"/>
        <v>NO</v>
      </c>
      <c r="K1499" s="2" t="e">
        <f>VLOOKUP(F1499,Munka1!A:A,1,0)</f>
        <v>#N/A</v>
      </c>
    </row>
    <row r="1500" spans="10:11" hidden="1" x14ac:dyDescent="0.3">
      <c r="J1500" s="2" t="str">
        <f t="shared" si="23"/>
        <v>NO</v>
      </c>
      <c r="K1500" s="2" t="e">
        <f>VLOOKUP(F1500,Munka1!A:A,1,0)</f>
        <v>#N/A</v>
      </c>
    </row>
    <row r="1501" spans="10:11" hidden="1" x14ac:dyDescent="0.3">
      <c r="J1501" s="2" t="str">
        <f t="shared" si="23"/>
        <v>NO</v>
      </c>
      <c r="K1501" s="2" t="e">
        <f>VLOOKUP(F1501,Munka1!A:A,1,0)</f>
        <v>#N/A</v>
      </c>
    </row>
    <row r="1502" spans="10:11" hidden="1" x14ac:dyDescent="0.3">
      <c r="J1502" s="2" t="str">
        <f t="shared" si="23"/>
        <v>NO</v>
      </c>
      <c r="K1502" s="2" t="e">
        <f>VLOOKUP(F1502,Munka1!A:A,1,0)</f>
        <v>#N/A</v>
      </c>
    </row>
    <row r="1503" spans="10:11" hidden="1" x14ac:dyDescent="0.3">
      <c r="J1503" s="2" t="str">
        <f t="shared" si="23"/>
        <v>NO</v>
      </c>
      <c r="K1503" s="2" t="e">
        <f>VLOOKUP(F1503,Munka1!A:A,1,0)</f>
        <v>#N/A</v>
      </c>
    </row>
    <row r="1504" spans="10:11" hidden="1" x14ac:dyDescent="0.3">
      <c r="J1504" s="2" t="str">
        <f t="shared" si="23"/>
        <v>NO</v>
      </c>
      <c r="K1504" s="2" t="e">
        <f>VLOOKUP(F1504,Munka1!A:A,1,0)</f>
        <v>#N/A</v>
      </c>
    </row>
    <row r="1505" spans="10:11" hidden="1" x14ac:dyDescent="0.3">
      <c r="J1505" s="2" t="str">
        <f t="shared" si="23"/>
        <v>NO</v>
      </c>
      <c r="K1505" s="2" t="e">
        <f>VLOOKUP(F1505,Munka1!A:A,1,0)</f>
        <v>#N/A</v>
      </c>
    </row>
    <row r="1506" spans="10:11" hidden="1" x14ac:dyDescent="0.3">
      <c r="J1506" s="2" t="str">
        <f t="shared" si="23"/>
        <v>NO</v>
      </c>
      <c r="K1506" s="2" t="e">
        <f>VLOOKUP(F1506,Munka1!A:A,1,0)</f>
        <v>#N/A</v>
      </c>
    </row>
    <row r="1507" spans="10:11" hidden="1" x14ac:dyDescent="0.3">
      <c r="J1507" s="2" t="str">
        <f t="shared" si="23"/>
        <v>NO</v>
      </c>
      <c r="K1507" s="2" t="e">
        <f>VLOOKUP(F1507,Munka1!A:A,1,0)</f>
        <v>#N/A</v>
      </c>
    </row>
    <row r="1508" spans="10:11" hidden="1" x14ac:dyDescent="0.3">
      <c r="J1508" s="2" t="str">
        <f t="shared" si="23"/>
        <v>NO</v>
      </c>
      <c r="K1508" s="2" t="e">
        <f>VLOOKUP(F1508,Munka1!A:A,1,0)</f>
        <v>#N/A</v>
      </c>
    </row>
    <row r="1509" spans="10:11" hidden="1" x14ac:dyDescent="0.3">
      <c r="J1509" s="2" t="str">
        <f t="shared" si="23"/>
        <v>NO</v>
      </c>
      <c r="K1509" s="2" t="e">
        <f>VLOOKUP(F1509,Munka1!A:A,1,0)</f>
        <v>#N/A</v>
      </c>
    </row>
    <row r="1510" spans="10:11" hidden="1" x14ac:dyDescent="0.3">
      <c r="J1510" s="2" t="str">
        <f t="shared" si="23"/>
        <v>NO</v>
      </c>
      <c r="K1510" s="2" t="e">
        <f>VLOOKUP(F1510,Munka1!A:A,1,0)</f>
        <v>#N/A</v>
      </c>
    </row>
    <row r="1511" spans="10:11" hidden="1" x14ac:dyDescent="0.3">
      <c r="J1511" s="2" t="str">
        <f t="shared" si="23"/>
        <v>NO</v>
      </c>
      <c r="K1511" s="2" t="e">
        <f>VLOOKUP(F1511,Munka1!A:A,1,0)</f>
        <v>#N/A</v>
      </c>
    </row>
    <row r="1512" spans="10:11" hidden="1" x14ac:dyDescent="0.3">
      <c r="J1512" s="2" t="str">
        <f t="shared" si="23"/>
        <v>NO</v>
      </c>
      <c r="K1512" s="2" t="e">
        <f>VLOOKUP(F1512,Munka1!A:A,1,0)</f>
        <v>#N/A</v>
      </c>
    </row>
    <row r="1513" spans="10:11" hidden="1" x14ac:dyDescent="0.3">
      <c r="J1513" s="2" t="str">
        <f t="shared" si="23"/>
        <v>NO</v>
      </c>
      <c r="K1513" s="2" t="e">
        <f>VLOOKUP(F1513,Munka1!A:A,1,0)</f>
        <v>#N/A</v>
      </c>
    </row>
    <row r="1514" spans="10:11" hidden="1" x14ac:dyDescent="0.3">
      <c r="J1514" s="2" t="str">
        <f t="shared" si="23"/>
        <v>NO</v>
      </c>
      <c r="K1514" s="2" t="e">
        <f>VLOOKUP(F1514,Munka1!A:A,1,0)</f>
        <v>#N/A</v>
      </c>
    </row>
    <row r="1515" spans="10:11" hidden="1" x14ac:dyDescent="0.3">
      <c r="J1515" s="2" t="str">
        <f t="shared" si="23"/>
        <v>NO</v>
      </c>
      <c r="K1515" s="2" t="e">
        <f>VLOOKUP(F1515,Munka1!A:A,1,0)</f>
        <v>#N/A</v>
      </c>
    </row>
    <row r="1516" spans="10:11" hidden="1" x14ac:dyDescent="0.3">
      <c r="J1516" s="2" t="str">
        <f t="shared" si="23"/>
        <v>NO</v>
      </c>
      <c r="K1516" s="2" t="e">
        <f>VLOOKUP(F1516,Munka1!A:A,1,0)</f>
        <v>#N/A</v>
      </c>
    </row>
    <row r="1517" spans="10:11" hidden="1" x14ac:dyDescent="0.3">
      <c r="J1517" s="2" t="str">
        <f t="shared" si="23"/>
        <v>NO</v>
      </c>
      <c r="K1517" s="2" t="e">
        <f>VLOOKUP(F1517,Munka1!A:A,1,0)</f>
        <v>#N/A</v>
      </c>
    </row>
    <row r="1518" spans="10:11" hidden="1" x14ac:dyDescent="0.3">
      <c r="J1518" s="2" t="str">
        <f t="shared" si="23"/>
        <v>NO</v>
      </c>
      <c r="K1518" s="2" t="e">
        <f>VLOOKUP(F1518,Munka1!A:A,1,0)</f>
        <v>#N/A</v>
      </c>
    </row>
    <row r="1519" spans="10:11" hidden="1" x14ac:dyDescent="0.3">
      <c r="J1519" s="2" t="str">
        <f t="shared" si="23"/>
        <v>NO</v>
      </c>
      <c r="K1519" s="2" t="e">
        <f>VLOOKUP(F1519,Munka1!A:A,1,0)</f>
        <v>#N/A</v>
      </c>
    </row>
    <row r="1520" spans="10:11" hidden="1" x14ac:dyDescent="0.3">
      <c r="J1520" s="2" t="str">
        <f t="shared" si="23"/>
        <v>NO</v>
      </c>
      <c r="K1520" s="2" t="e">
        <f>VLOOKUP(F1520,Munka1!A:A,1,0)</f>
        <v>#N/A</v>
      </c>
    </row>
    <row r="1521" spans="10:11" hidden="1" x14ac:dyDescent="0.3">
      <c r="J1521" s="2" t="str">
        <f t="shared" si="23"/>
        <v>NO</v>
      </c>
      <c r="K1521" s="2" t="e">
        <f>VLOOKUP(F1521,Munka1!A:A,1,0)</f>
        <v>#N/A</v>
      </c>
    </row>
    <row r="1522" spans="10:11" hidden="1" x14ac:dyDescent="0.3">
      <c r="J1522" s="2" t="str">
        <f t="shared" si="23"/>
        <v>NO</v>
      </c>
      <c r="K1522" s="2" t="e">
        <f>VLOOKUP(F1522,Munka1!A:A,1,0)</f>
        <v>#N/A</v>
      </c>
    </row>
    <row r="1523" spans="10:11" hidden="1" x14ac:dyDescent="0.3">
      <c r="J1523" s="2" t="str">
        <f t="shared" si="23"/>
        <v>NO</v>
      </c>
      <c r="K1523" s="2" t="e">
        <f>VLOOKUP(F1523,Munka1!A:A,1,0)</f>
        <v>#N/A</v>
      </c>
    </row>
    <row r="1524" spans="10:11" hidden="1" x14ac:dyDescent="0.3">
      <c r="J1524" s="2" t="str">
        <f t="shared" si="23"/>
        <v>NO</v>
      </c>
      <c r="K1524" s="2" t="e">
        <f>VLOOKUP(F1524,Munka1!A:A,1,0)</f>
        <v>#N/A</v>
      </c>
    </row>
    <row r="1525" spans="10:11" hidden="1" x14ac:dyDescent="0.3">
      <c r="J1525" s="2" t="str">
        <f t="shared" si="23"/>
        <v>NO</v>
      </c>
      <c r="K1525" s="2" t="e">
        <f>VLOOKUP(F1525,Munka1!A:A,1,0)</f>
        <v>#N/A</v>
      </c>
    </row>
    <row r="1526" spans="10:11" hidden="1" x14ac:dyDescent="0.3">
      <c r="J1526" s="2" t="str">
        <f t="shared" si="23"/>
        <v>NO</v>
      </c>
      <c r="K1526" s="2" t="e">
        <f>VLOOKUP(F1526,Munka1!A:A,1,0)</f>
        <v>#N/A</v>
      </c>
    </row>
    <row r="1527" spans="10:11" hidden="1" x14ac:dyDescent="0.3">
      <c r="J1527" s="2" t="str">
        <f t="shared" si="23"/>
        <v>NO</v>
      </c>
      <c r="K1527" s="2" t="e">
        <f>VLOOKUP(F1527,Munka1!A:A,1,0)</f>
        <v>#N/A</v>
      </c>
    </row>
    <row r="1528" spans="10:11" hidden="1" x14ac:dyDescent="0.3">
      <c r="J1528" s="2" t="str">
        <f t="shared" si="23"/>
        <v>NO</v>
      </c>
      <c r="K1528" s="2" t="e">
        <f>VLOOKUP(F1528,Munka1!A:A,1,0)</f>
        <v>#N/A</v>
      </c>
    </row>
    <row r="1529" spans="10:11" hidden="1" x14ac:dyDescent="0.3">
      <c r="J1529" s="2" t="str">
        <f t="shared" si="23"/>
        <v>NO</v>
      </c>
      <c r="K1529" s="2" t="e">
        <f>VLOOKUP(F1529,Munka1!A:A,1,0)</f>
        <v>#N/A</v>
      </c>
    </row>
    <row r="1530" spans="10:11" hidden="1" x14ac:dyDescent="0.3">
      <c r="J1530" s="2" t="str">
        <f t="shared" si="23"/>
        <v>NO</v>
      </c>
      <c r="K1530" s="2" t="e">
        <f>VLOOKUP(F1530,Munka1!A:A,1,0)</f>
        <v>#N/A</v>
      </c>
    </row>
    <row r="1531" spans="10:11" hidden="1" x14ac:dyDescent="0.3">
      <c r="J1531" s="2" t="str">
        <f t="shared" si="23"/>
        <v>NO</v>
      </c>
      <c r="K1531" s="2" t="e">
        <f>VLOOKUP(F1531,Munka1!A:A,1,0)</f>
        <v>#N/A</v>
      </c>
    </row>
    <row r="1532" spans="10:11" hidden="1" x14ac:dyDescent="0.3">
      <c r="J1532" s="2" t="str">
        <f t="shared" si="23"/>
        <v>NO</v>
      </c>
      <c r="K1532" s="2" t="e">
        <f>VLOOKUP(F1532,Munka1!A:A,1,0)</f>
        <v>#N/A</v>
      </c>
    </row>
    <row r="1533" spans="10:11" hidden="1" x14ac:dyDescent="0.3">
      <c r="J1533" s="2" t="str">
        <f t="shared" si="23"/>
        <v>NO</v>
      </c>
      <c r="K1533" s="2" t="e">
        <f>VLOOKUP(F1533,Munka1!A:A,1,0)</f>
        <v>#N/A</v>
      </c>
    </row>
    <row r="1534" spans="10:11" hidden="1" x14ac:dyDescent="0.3">
      <c r="J1534" s="2" t="str">
        <f t="shared" si="23"/>
        <v>NO</v>
      </c>
      <c r="K1534" s="2" t="e">
        <f>VLOOKUP(F1534,Munka1!A:A,1,0)</f>
        <v>#N/A</v>
      </c>
    </row>
    <row r="1535" spans="10:11" hidden="1" x14ac:dyDescent="0.3">
      <c r="J1535" s="2" t="str">
        <f t="shared" si="23"/>
        <v>NO</v>
      </c>
      <c r="K1535" s="2" t="e">
        <f>VLOOKUP(F1535,Munka1!A:A,1,0)</f>
        <v>#N/A</v>
      </c>
    </row>
    <row r="1536" spans="10:11" hidden="1" x14ac:dyDescent="0.3">
      <c r="J1536" s="2" t="str">
        <f t="shared" si="23"/>
        <v>NO</v>
      </c>
      <c r="K1536" s="2" t="e">
        <f>VLOOKUP(F1536,Munka1!A:A,1,0)</f>
        <v>#N/A</v>
      </c>
    </row>
    <row r="1537" spans="10:11" hidden="1" x14ac:dyDescent="0.3">
      <c r="J1537" s="2" t="str">
        <f t="shared" si="23"/>
        <v>NO</v>
      </c>
      <c r="K1537" s="2" t="e">
        <f>VLOOKUP(F1537,Munka1!A:A,1,0)</f>
        <v>#N/A</v>
      </c>
    </row>
    <row r="1538" spans="10:11" hidden="1" x14ac:dyDescent="0.3">
      <c r="J1538" s="2" t="str">
        <f t="shared" si="23"/>
        <v>NO</v>
      </c>
      <c r="K1538" s="2" t="e">
        <f>VLOOKUP(F1538,Munka1!A:A,1,0)</f>
        <v>#N/A</v>
      </c>
    </row>
    <row r="1539" spans="10:11" hidden="1" x14ac:dyDescent="0.3">
      <c r="J1539" s="2" t="str">
        <f t="shared" ref="J1539:J1602" si="24">IF(OR(F1539="",F1539="_",LEFT(F1539,5)="SPARE",F1539="N/A"),"NO","YES")</f>
        <v>NO</v>
      </c>
      <c r="K1539" s="2" t="e">
        <f>VLOOKUP(F1539,Munka1!A:A,1,0)</f>
        <v>#N/A</v>
      </c>
    </row>
    <row r="1540" spans="10:11" hidden="1" x14ac:dyDescent="0.3">
      <c r="J1540" s="2" t="str">
        <f t="shared" si="24"/>
        <v>NO</v>
      </c>
      <c r="K1540" s="2" t="e">
        <f>VLOOKUP(F1540,Munka1!A:A,1,0)</f>
        <v>#N/A</v>
      </c>
    </row>
    <row r="1541" spans="10:11" hidden="1" x14ac:dyDescent="0.3">
      <c r="J1541" s="2" t="str">
        <f t="shared" si="24"/>
        <v>NO</v>
      </c>
      <c r="K1541" s="2" t="e">
        <f>VLOOKUP(F1541,Munka1!A:A,1,0)</f>
        <v>#N/A</v>
      </c>
    </row>
    <row r="1542" spans="10:11" hidden="1" x14ac:dyDescent="0.3">
      <c r="J1542" s="2" t="str">
        <f t="shared" si="24"/>
        <v>NO</v>
      </c>
      <c r="K1542" s="2" t="e">
        <f>VLOOKUP(F1542,Munka1!A:A,1,0)</f>
        <v>#N/A</v>
      </c>
    </row>
    <row r="1543" spans="10:11" hidden="1" x14ac:dyDescent="0.3">
      <c r="J1543" s="2" t="str">
        <f t="shared" si="24"/>
        <v>NO</v>
      </c>
      <c r="K1543" s="2" t="e">
        <f>VLOOKUP(F1543,Munka1!A:A,1,0)</f>
        <v>#N/A</v>
      </c>
    </row>
    <row r="1544" spans="10:11" hidden="1" x14ac:dyDescent="0.3">
      <c r="J1544" s="2" t="str">
        <f t="shared" si="24"/>
        <v>NO</v>
      </c>
      <c r="K1544" s="2" t="e">
        <f>VLOOKUP(F1544,Munka1!A:A,1,0)</f>
        <v>#N/A</v>
      </c>
    </row>
    <row r="1545" spans="10:11" hidden="1" x14ac:dyDescent="0.3">
      <c r="J1545" s="2" t="str">
        <f t="shared" si="24"/>
        <v>NO</v>
      </c>
      <c r="K1545" s="2" t="e">
        <f>VLOOKUP(F1545,Munka1!A:A,1,0)</f>
        <v>#N/A</v>
      </c>
    </row>
    <row r="1546" spans="10:11" hidden="1" x14ac:dyDescent="0.3">
      <c r="J1546" s="2" t="str">
        <f t="shared" si="24"/>
        <v>NO</v>
      </c>
      <c r="K1546" s="2" t="e">
        <f>VLOOKUP(F1546,Munka1!A:A,1,0)</f>
        <v>#N/A</v>
      </c>
    </row>
    <row r="1547" spans="10:11" hidden="1" x14ac:dyDescent="0.3">
      <c r="J1547" s="2" t="str">
        <f t="shared" si="24"/>
        <v>NO</v>
      </c>
      <c r="K1547" s="2" t="e">
        <f>VLOOKUP(F1547,Munka1!A:A,1,0)</f>
        <v>#N/A</v>
      </c>
    </row>
    <row r="1548" spans="10:11" hidden="1" x14ac:dyDescent="0.3">
      <c r="J1548" s="2" t="str">
        <f t="shared" si="24"/>
        <v>NO</v>
      </c>
      <c r="K1548" s="2" t="e">
        <f>VLOOKUP(F1548,Munka1!A:A,1,0)</f>
        <v>#N/A</v>
      </c>
    </row>
    <row r="1549" spans="10:11" hidden="1" x14ac:dyDescent="0.3">
      <c r="J1549" s="2" t="str">
        <f t="shared" si="24"/>
        <v>NO</v>
      </c>
      <c r="K1549" s="2" t="e">
        <f>VLOOKUP(F1549,Munka1!A:A,1,0)</f>
        <v>#N/A</v>
      </c>
    </row>
    <row r="1550" spans="10:11" hidden="1" x14ac:dyDescent="0.3">
      <c r="J1550" s="2" t="str">
        <f t="shared" si="24"/>
        <v>NO</v>
      </c>
      <c r="K1550" s="2" t="e">
        <f>VLOOKUP(F1550,Munka1!A:A,1,0)</f>
        <v>#N/A</v>
      </c>
    </row>
    <row r="1551" spans="10:11" hidden="1" x14ac:dyDescent="0.3">
      <c r="J1551" s="2" t="str">
        <f t="shared" si="24"/>
        <v>NO</v>
      </c>
      <c r="K1551" s="2" t="e">
        <f>VLOOKUP(F1551,Munka1!A:A,1,0)</f>
        <v>#N/A</v>
      </c>
    </row>
    <row r="1552" spans="10:11" hidden="1" x14ac:dyDescent="0.3">
      <c r="J1552" s="2" t="str">
        <f t="shared" si="24"/>
        <v>NO</v>
      </c>
      <c r="K1552" s="2" t="e">
        <f>VLOOKUP(F1552,Munka1!A:A,1,0)</f>
        <v>#N/A</v>
      </c>
    </row>
    <row r="1553" spans="10:11" hidden="1" x14ac:dyDescent="0.3">
      <c r="J1553" s="2" t="str">
        <f t="shared" si="24"/>
        <v>NO</v>
      </c>
      <c r="K1553" s="2" t="e">
        <f>VLOOKUP(F1553,Munka1!A:A,1,0)</f>
        <v>#N/A</v>
      </c>
    </row>
    <row r="1554" spans="10:11" hidden="1" x14ac:dyDescent="0.3">
      <c r="J1554" s="2" t="str">
        <f t="shared" si="24"/>
        <v>NO</v>
      </c>
      <c r="K1554" s="2" t="e">
        <f>VLOOKUP(F1554,Munka1!A:A,1,0)</f>
        <v>#N/A</v>
      </c>
    </row>
    <row r="1555" spans="10:11" hidden="1" x14ac:dyDescent="0.3">
      <c r="J1555" s="2" t="str">
        <f t="shared" si="24"/>
        <v>NO</v>
      </c>
      <c r="K1555" s="2" t="e">
        <f>VLOOKUP(F1555,Munka1!A:A,1,0)</f>
        <v>#N/A</v>
      </c>
    </row>
    <row r="1556" spans="10:11" hidden="1" x14ac:dyDescent="0.3">
      <c r="J1556" s="2" t="str">
        <f t="shared" si="24"/>
        <v>NO</v>
      </c>
      <c r="K1556" s="2" t="e">
        <f>VLOOKUP(F1556,Munka1!A:A,1,0)</f>
        <v>#N/A</v>
      </c>
    </row>
    <row r="1557" spans="10:11" hidden="1" x14ac:dyDescent="0.3">
      <c r="J1557" s="2" t="str">
        <f t="shared" si="24"/>
        <v>NO</v>
      </c>
      <c r="K1557" s="2" t="e">
        <f>VLOOKUP(F1557,Munka1!A:A,1,0)</f>
        <v>#N/A</v>
      </c>
    </row>
    <row r="1558" spans="10:11" hidden="1" x14ac:dyDescent="0.3">
      <c r="J1558" s="2" t="str">
        <f t="shared" si="24"/>
        <v>NO</v>
      </c>
      <c r="K1558" s="2" t="e">
        <f>VLOOKUP(F1558,Munka1!A:A,1,0)</f>
        <v>#N/A</v>
      </c>
    </row>
    <row r="1559" spans="10:11" hidden="1" x14ac:dyDescent="0.3">
      <c r="J1559" s="2" t="str">
        <f t="shared" si="24"/>
        <v>NO</v>
      </c>
      <c r="K1559" s="2" t="e">
        <f>VLOOKUP(F1559,Munka1!A:A,1,0)</f>
        <v>#N/A</v>
      </c>
    </row>
    <row r="1560" spans="10:11" hidden="1" x14ac:dyDescent="0.3">
      <c r="J1560" s="2" t="str">
        <f t="shared" si="24"/>
        <v>NO</v>
      </c>
      <c r="K1560" s="2" t="e">
        <f>VLOOKUP(F1560,Munka1!A:A,1,0)</f>
        <v>#N/A</v>
      </c>
    </row>
    <row r="1561" spans="10:11" hidden="1" x14ac:dyDescent="0.3">
      <c r="J1561" s="2" t="str">
        <f t="shared" si="24"/>
        <v>NO</v>
      </c>
      <c r="K1561" s="2" t="e">
        <f>VLOOKUP(F1561,Munka1!A:A,1,0)</f>
        <v>#N/A</v>
      </c>
    </row>
    <row r="1562" spans="10:11" hidden="1" x14ac:dyDescent="0.3">
      <c r="J1562" s="2" t="str">
        <f t="shared" si="24"/>
        <v>NO</v>
      </c>
      <c r="K1562" s="2" t="e">
        <f>VLOOKUP(F1562,Munka1!A:A,1,0)</f>
        <v>#N/A</v>
      </c>
    </row>
    <row r="1563" spans="10:11" hidden="1" x14ac:dyDescent="0.3">
      <c r="J1563" s="2" t="str">
        <f t="shared" si="24"/>
        <v>NO</v>
      </c>
      <c r="K1563" s="2" t="e">
        <f>VLOOKUP(F1563,Munka1!A:A,1,0)</f>
        <v>#N/A</v>
      </c>
    </row>
    <row r="1564" spans="10:11" hidden="1" x14ac:dyDescent="0.3">
      <c r="J1564" s="2" t="str">
        <f t="shared" si="24"/>
        <v>NO</v>
      </c>
      <c r="K1564" s="2" t="e">
        <f>VLOOKUP(F1564,Munka1!A:A,1,0)</f>
        <v>#N/A</v>
      </c>
    </row>
    <row r="1565" spans="10:11" hidden="1" x14ac:dyDescent="0.3">
      <c r="J1565" s="2" t="str">
        <f t="shared" si="24"/>
        <v>NO</v>
      </c>
      <c r="K1565" s="2" t="e">
        <f>VLOOKUP(F1565,Munka1!A:A,1,0)</f>
        <v>#N/A</v>
      </c>
    </row>
    <row r="1566" spans="10:11" hidden="1" x14ac:dyDescent="0.3">
      <c r="J1566" s="2" t="str">
        <f t="shared" si="24"/>
        <v>NO</v>
      </c>
      <c r="K1566" s="2" t="e">
        <f>VLOOKUP(F1566,Munka1!A:A,1,0)</f>
        <v>#N/A</v>
      </c>
    </row>
    <row r="1567" spans="10:11" hidden="1" x14ac:dyDescent="0.3">
      <c r="J1567" s="2" t="str">
        <f t="shared" si="24"/>
        <v>NO</v>
      </c>
      <c r="K1567" s="2" t="e">
        <f>VLOOKUP(F1567,Munka1!A:A,1,0)</f>
        <v>#N/A</v>
      </c>
    </row>
    <row r="1568" spans="10:11" hidden="1" x14ac:dyDescent="0.3">
      <c r="J1568" s="2" t="str">
        <f t="shared" si="24"/>
        <v>NO</v>
      </c>
      <c r="K1568" s="2" t="e">
        <f>VLOOKUP(F1568,Munka1!A:A,1,0)</f>
        <v>#N/A</v>
      </c>
    </row>
    <row r="1569" spans="10:11" hidden="1" x14ac:dyDescent="0.3">
      <c r="J1569" s="2" t="str">
        <f t="shared" si="24"/>
        <v>NO</v>
      </c>
      <c r="K1569" s="2" t="e">
        <f>VLOOKUP(F1569,Munka1!A:A,1,0)</f>
        <v>#N/A</v>
      </c>
    </row>
    <row r="1570" spans="10:11" hidden="1" x14ac:dyDescent="0.3">
      <c r="J1570" s="2" t="str">
        <f t="shared" si="24"/>
        <v>NO</v>
      </c>
      <c r="K1570" s="2" t="e">
        <f>VLOOKUP(F1570,Munka1!A:A,1,0)</f>
        <v>#N/A</v>
      </c>
    </row>
    <row r="1571" spans="10:11" hidden="1" x14ac:dyDescent="0.3">
      <c r="J1571" s="2" t="str">
        <f t="shared" si="24"/>
        <v>NO</v>
      </c>
      <c r="K1571" s="2" t="e">
        <f>VLOOKUP(F1571,Munka1!A:A,1,0)</f>
        <v>#N/A</v>
      </c>
    </row>
    <row r="1572" spans="10:11" hidden="1" x14ac:dyDescent="0.3">
      <c r="J1572" s="2" t="str">
        <f t="shared" si="24"/>
        <v>NO</v>
      </c>
      <c r="K1572" s="2" t="e">
        <f>VLOOKUP(F1572,Munka1!A:A,1,0)</f>
        <v>#N/A</v>
      </c>
    </row>
    <row r="1573" spans="10:11" hidden="1" x14ac:dyDescent="0.3">
      <c r="J1573" s="2" t="str">
        <f t="shared" si="24"/>
        <v>NO</v>
      </c>
      <c r="K1573" s="2" t="e">
        <f>VLOOKUP(F1573,Munka1!A:A,1,0)</f>
        <v>#N/A</v>
      </c>
    </row>
    <row r="1574" spans="10:11" hidden="1" x14ac:dyDescent="0.3">
      <c r="J1574" s="2" t="str">
        <f t="shared" si="24"/>
        <v>NO</v>
      </c>
      <c r="K1574" s="2" t="e">
        <f>VLOOKUP(F1574,Munka1!A:A,1,0)</f>
        <v>#N/A</v>
      </c>
    </row>
    <row r="1575" spans="10:11" hidden="1" x14ac:dyDescent="0.3">
      <c r="J1575" s="2" t="str">
        <f t="shared" si="24"/>
        <v>NO</v>
      </c>
      <c r="K1575" s="2" t="e">
        <f>VLOOKUP(F1575,Munka1!A:A,1,0)</f>
        <v>#N/A</v>
      </c>
    </row>
    <row r="1576" spans="10:11" hidden="1" x14ac:dyDescent="0.3">
      <c r="J1576" s="2" t="str">
        <f t="shared" si="24"/>
        <v>NO</v>
      </c>
      <c r="K1576" s="2" t="e">
        <f>VLOOKUP(F1576,Munka1!A:A,1,0)</f>
        <v>#N/A</v>
      </c>
    </row>
    <row r="1577" spans="10:11" hidden="1" x14ac:dyDescent="0.3">
      <c r="J1577" s="2" t="str">
        <f t="shared" si="24"/>
        <v>NO</v>
      </c>
      <c r="K1577" s="2" t="e">
        <f>VLOOKUP(F1577,Munka1!A:A,1,0)</f>
        <v>#N/A</v>
      </c>
    </row>
    <row r="1578" spans="10:11" hidden="1" x14ac:dyDescent="0.3">
      <c r="J1578" s="2" t="str">
        <f t="shared" si="24"/>
        <v>NO</v>
      </c>
      <c r="K1578" s="2" t="e">
        <f>VLOOKUP(F1578,Munka1!A:A,1,0)</f>
        <v>#N/A</v>
      </c>
    </row>
    <row r="1579" spans="10:11" hidden="1" x14ac:dyDescent="0.3">
      <c r="J1579" s="2" t="str">
        <f t="shared" si="24"/>
        <v>NO</v>
      </c>
      <c r="K1579" s="2" t="e">
        <f>VLOOKUP(F1579,Munka1!A:A,1,0)</f>
        <v>#N/A</v>
      </c>
    </row>
    <row r="1580" spans="10:11" hidden="1" x14ac:dyDescent="0.3">
      <c r="J1580" s="2" t="str">
        <f t="shared" si="24"/>
        <v>NO</v>
      </c>
      <c r="K1580" s="2" t="e">
        <f>VLOOKUP(F1580,Munka1!A:A,1,0)</f>
        <v>#N/A</v>
      </c>
    </row>
    <row r="1581" spans="10:11" hidden="1" x14ac:dyDescent="0.3">
      <c r="J1581" s="2" t="str">
        <f t="shared" si="24"/>
        <v>NO</v>
      </c>
      <c r="K1581" s="2" t="e">
        <f>VLOOKUP(F1581,Munka1!A:A,1,0)</f>
        <v>#N/A</v>
      </c>
    </row>
    <row r="1582" spans="10:11" hidden="1" x14ac:dyDescent="0.3">
      <c r="J1582" s="2" t="str">
        <f t="shared" si="24"/>
        <v>NO</v>
      </c>
      <c r="K1582" s="2" t="e">
        <f>VLOOKUP(F1582,Munka1!A:A,1,0)</f>
        <v>#N/A</v>
      </c>
    </row>
    <row r="1583" spans="10:11" hidden="1" x14ac:dyDescent="0.3">
      <c r="J1583" s="2" t="str">
        <f t="shared" si="24"/>
        <v>NO</v>
      </c>
      <c r="K1583" s="2" t="e">
        <f>VLOOKUP(F1583,Munka1!A:A,1,0)</f>
        <v>#N/A</v>
      </c>
    </row>
    <row r="1584" spans="10:11" hidden="1" x14ac:dyDescent="0.3">
      <c r="J1584" s="2" t="str">
        <f t="shared" si="24"/>
        <v>NO</v>
      </c>
      <c r="K1584" s="2" t="e">
        <f>VLOOKUP(F1584,Munka1!A:A,1,0)</f>
        <v>#N/A</v>
      </c>
    </row>
    <row r="1585" spans="10:11" hidden="1" x14ac:dyDescent="0.3">
      <c r="J1585" s="2" t="str">
        <f t="shared" si="24"/>
        <v>NO</v>
      </c>
      <c r="K1585" s="2" t="e">
        <f>VLOOKUP(F1585,Munka1!A:A,1,0)</f>
        <v>#N/A</v>
      </c>
    </row>
    <row r="1586" spans="10:11" hidden="1" x14ac:dyDescent="0.3">
      <c r="J1586" s="2" t="str">
        <f t="shared" si="24"/>
        <v>NO</v>
      </c>
      <c r="K1586" s="2" t="e">
        <f>VLOOKUP(F1586,Munka1!A:A,1,0)</f>
        <v>#N/A</v>
      </c>
    </row>
    <row r="1587" spans="10:11" hidden="1" x14ac:dyDescent="0.3">
      <c r="J1587" s="2" t="str">
        <f t="shared" si="24"/>
        <v>NO</v>
      </c>
      <c r="K1587" s="2" t="e">
        <f>VLOOKUP(F1587,Munka1!A:A,1,0)</f>
        <v>#N/A</v>
      </c>
    </row>
    <row r="1588" spans="10:11" hidden="1" x14ac:dyDescent="0.3">
      <c r="J1588" s="2" t="str">
        <f t="shared" si="24"/>
        <v>NO</v>
      </c>
      <c r="K1588" s="2" t="e">
        <f>VLOOKUP(F1588,Munka1!A:A,1,0)</f>
        <v>#N/A</v>
      </c>
    </row>
    <row r="1589" spans="10:11" hidden="1" x14ac:dyDescent="0.3">
      <c r="J1589" s="2" t="str">
        <f t="shared" si="24"/>
        <v>NO</v>
      </c>
      <c r="K1589" s="2" t="e">
        <f>VLOOKUP(F1589,Munka1!A:A,1,0)</f>
        <v>#N/A</v>
      </c>
    </row>
    <row r="1590" spans="10:11" hidden="1" x14ac:dyDescent="0.3">
      <c r="J1590" s="2" t="str">
        <f t="shared" si="24"/>
        <v>NO</v>
      </c>
      <c r="K1590" s="2" t="e">
        <f>VLOOKUP(F1590,Munka1!A:A,1,0)</f>
        <v>#N/A</v>
      </c>
    </row>
    <row r="1591" spans="10:11" hidden="1" x14ac:dyDescent="0.3">
      <c r="J1591" s="2" t="str">
        <f t="shared" si="24"/>
        <v>NO</v>
      </c>
      <c r="K1591" s="2" t="e">
        <f>VLOOKUP(F1591,Munka1!A:A,1,0)</f>
        <v>#N/A</v>
      </c>
    </row>
    <row r="1592" spans="10:11" hidden="1" x14ac:dyDescent="0.3">
      <c r="J1592" s="2" t="str">
        <f t="shared" si="24"/>
        <v>NO</v>
      </c>
      <c r="K1592" s="2" t="e">
        <f>VLOOKUP(F1592,Munka1!A:A,1,0)</f>
        <v>#N/A</v>
      </c>
    </row>
    <row r="1593" spans="10:11" hidden="1" x14ac:dyDescent="0.3">
      <c r="J1593" s="2" t="str">
        <f t="shared" si="24"/>
        <v>NO</v>
      </c>
      <c r="K1593" s="2" t="e">
        <f>VLOOKUP(F1593,Munka1!A:A,1,0)</f>
        <v>#N/A</v>
      </c>
    </row>
    <row r="1594" spans="10:11" hidden="1" x14ac:dyDescent="0.3">
      <c r="J1594" s="2" t="str">
        <f t="shared" si="24"/>
        <v>NO</v>
      </c>
      <c r="K1594" s="2" t="e">
        <f>VLOOKUP(F1594,Munka1!A:A,1,0)</f>
        <v>#N/A</v>
      </c>
    </row>
    <row r="1595" spans="10:11" hidden="1" x14ac:dyDescent="0.3">
      <c r="J1595" s="2" t="str">
        <f t="shared" si="24"/>
        <v>NO</v>
      </c>
      <c r="K1595" s="2" t="e">
        <f>VLOOKUP(F1595,Munka1!A:A,1,0)</f>
        <v>#N/A</v>
      </c>
    </row>
    <row r="1596" spans="10:11" hidden="1" x14ac:dyDescent="0.3">
      <c r="J1596" s="2" t="str">
        <f t="shared" si="24"/>
        <v>NO</v>
      </c>
      <c r="K1596" s="2" t="e">
        <f>VLOOKUP(F1596,Munka1!A:A,1,0)</f>
        <v>#N/A</v>
      </c>
    </row>
    <row r="1597" spans="10:11" hidden="1" x14ac:dyDescent="0.3">
      <c r="J1597" s="2" t="str">
        <f t="shared" si="24"/>
        <v>NO</v>
      </c>
      <c r="K1597" s="2" t="e">
        <f>VLOOKUP(F1597,Munka1!A:A,1,0)</f>
        <v>#N/A</v>
      </c>
    </row>
    <row r="1598" spans="10:11" hidden="1" x14ac:dyDescent="0.3">
      <c r="J1598" s="2" t="str">
        <f t="shared" si="24"/>
        <v>NO</v>
      </c>
      <c r="K1598" s="2" t="e">
        <f>VLOOKUP(F1598,Munka1!A:A,1,0)</f>
        <v>#N/A</v>
      </c>
    </row>
    <row r="1599" spans="10:11" hidden="1" x14ac:dyDescent="0.3">
      <c r="J1599" s="2" t="str">
        <f t="shared" si="24"/>
        <v>NO</v>
      </c>
      <c r="K1599" s="2" t="e">
        <f>VLOOKUP(F1599,Munka1!A:A,1,0)</f>
        <v>#N/A</v>
      </c>
    </row>
    <row r="1600" spans="10:11" hidden="1" x14ac:dyDescent="0.3">
      <c r="J1600" s="2" t="str">
        <f t="shared" si="24"/>
        <v>NO</v>
      </c>
      <c r="K1600" s="2" t="e">
        <f>VLOOKUP(F1600,Munka1!A:A,1,0)</f>
        <v>#N/A</v>
      </c>
    </row>
    <row r="1601" spans="10:11" hidden="1" x14ac:dyDescent="0.3">
      <c r="J1601" s="2" t="str">
        <f t="shared" si="24"/>
        <v>NO</v>
      </c>
      <c r="K1601" s="2" t="e">
        <f>VLOOKUP(F1601,Munka1!A:A,1,0)</f>
        <v>#N/A</v>
      </c>
    </row>
    <row r="1602" spans="10:11" hidden="1" x14ac:dyDescent="0.3">
      <c r="J1602" s="2" t="str">
        <f t="shared" si="24"/>
        <v>NO</v>
      </c>
      <c r="K1602" s="2" t="e">
        <f>VLOOKUP(F1602,Munka1!A:A,1,0)</f>
        <v>#N/A</v>
      </c>
    </row>
    <row r="1603" spans="10:11" hidden="1" x14ac:dyDescent="0.3">
      <c r="J1603" s="2" t="str">
        <f t="shared" ref="J1603:J1666" si="25">IF(OR(F1603="",F1603="_",LEFT(F1603,5)="SPARE",F1603="N/A"),"NO","YES")</f>
        <v>NO</v>
      </c>
      <c r="K1603" s="2" t="e">
        <f>VLOOKUP(F1603,Munka1!A:A,1,0)</f>
        <v>#N/A</v>
      </c>
    </row>
    <row r="1604" spans="10:11" hidden="1" x14ac:dyDescent="0.3">
      <c r="J1604" s="2" t="str">
        <f t="shared" si="25"/>
        <v>NO</v>
      </c>
      <c r="K1604" s="2" t="e">
        <f>VLOOKUP(F1604,Munka1!A:A,1,0)</f>
        <v>#N/A</v>
      </c>
    </row>
    <row r="1605" spans="10:11" hidden="1" x14ac:dyDescent="0.3">
      <c r="J1605" s="2" t="str">
        <f t="shared" si="25"/>
        <v>NO</v>
      </c>
      <c r="K1605" s="2" t="e">
        <f>VLOOKUP(F1605,Munka1!A:A,1,0)</f>
        <v>#N/A</v>
      </c>
    </row>
    <row r="1606" spans="10:11" hidden="1" x14ac:dyDescent="0.3">
      <c r="J1606" s="2" t="str">
        <f t="shared" si="25"/>
        <v>NO</v>
      </c>
      <c r="K1606" s="2" t="e">
        <f>VLOOKUP(F1606,Munka1!A:A,1,0)</f>
        <v>#N/A</v>
      </c>
    </row>
    <row r="1607" spans="10:11" hidden="1" x14ac:dyDescent="0.3">
      <c r="J1607" s="2" t="str">
        <f t="shared" si="25"/>
        <v>NO</v>
      </c>
      <c r="K1607" s="2" t="e">
        <f>VLOOKUP(F1607,Munka1!A:A,1,0)</f>
        <v>#N/A</v>
      </c>
    </row>
    <row r="1608" spans="10:11" hidden="1" x14ac:dyDescent="0.3">
      <c r="J1608" s="2" t="str">
        <f t="shared" si="25"/>
        <v>NO</v>
      </c>
      <c r="K1608" s="2" t="e">
        <f>VLOOKUP(F1608,Munka1!A:A,1,0)</f>
        <v>#N/A</v>
      </c>
    </row>
    <row r="1609" spans="10:11" hidden="1" x14ac:dyDescent="0.3">
      <c r="J1609" s="2" t="str">
        <f t="shared" si="25"/>
        <v>NO</v>
      </c>
      <c r="K1609" s="2" t="e">
        <f>VLOOKUP(F1609,Munka1!A:A,1,0)</f>
        <v>#N/A</v>
      </c>
    </row>
    <row r="1610" spans="10:11" hidden="1" x14ac:dyDescent="0.3">
      <c r="J1610" s="2" t="str">
        <f t="shared" si="25"/>
        <v>NO</v>
      </c>
      <c r="K1610" s="2" t="e">
        <f>VLOOKUP(F1610,Munka1!A:A,1,0)</f>
        <v>#N/A</v>
      </c>
    </row>
    <row r="1611" spans="10:11" hidden="1" x14ac:dyDescent="0.3">
      <c r="J1611" s="2" t="str">
        <f t="shared" si="25"/>
        <v>NO</v>
      </c>
      <c r="K1611" s="2" t="e">
        <f>VLOOKUP(F1611,Munka1!A:A,1,0)</f>
        <v>#N/A</v>
      </c>
    </row>
    <row r="1612" spans="10:11" hidden="1" x14ac:dyDescent="0.3">
      <c r="J1612" s="2" t="str">
        <f t="shared" si="25"/>
        <v>NO</v>
      </c>
      <c r="K1612" s="2" t="e">
        <f>VLOOKUP(F1612,Munka1!A:A,1,0)</f>
        <v>#N/A</v>
      </c>
    </row>
    <row r="1613" spans="10:11" hidden="1" x14ac:dyDescent="0.3">
      <c r="J1613" s="2" t="str">
        <f t="shared" si="25"/>
        <v>NO</v>
      </c>
      <c r="K1613" s="2" t="e">
        <f>VLOOKUP(F1613,Munka1!A:A,1,0)</f>
        <v>#N/A</v>
      </c>
    </row>
    <row r="1614" spans="10:11" hidden="1" x14ac:dyDescent="0.3">
      <c r="J1614" s="2" t="str">
        <f t="shared" si="25"/>
        <v>NO</v>
      </c>
      <c r="K1614" s="2" t="e">
        <f>VLOOKUP(F1614,Munka1!A:A,1,0)</f>
        <v>#N/A</v>
      </c>
    </row>
    <row r="1615" spans="10:11" hidden="1" x14ac:dyDescent="0.3">
      <c r="J1615" s="2" t="str">
        <f t="shared" si="25"/>
        <v>NO</v>
      </c>
      <c r="K1615" s="2" t="e">
        <f>VLOOKUP(F1615,Munka1!A:A,1,0)</f>
        <v>#N/A</v>
      </c>
    </row>
    <row r="1616" spans="10:11" hidden="1" x14ac:dyDescent="0.3">
      <c r="J1616" s="2" t="str">
        <f t="shared" si="25"/>
        <v>NO</v>
      </c>
      <c r="K1616" s="2" t="e">
        <f>VLOOKUP(F1616,Munka1!A:A,1,0)</f>
        <v>#N/A</v>
      </c>
    </row>
    <row r="1617" spans="10:11" hidden="1" x14ac:dyDescent="0.3">
      <c r="J1617" s="2" t="str">
        <f t="shared" si="25"/>
        <v>NO</v>
      </c>
      <c r="K1617" s="2" t="e">
        <f>VLOOKUP(F1617,Munka1!A:A,1,0)</f>
        <v>#N/A</v>
      </c>
    </row>
    <row r="1618" spans="10:11" hidden="1" x14ac:dyDescent="0.3">
      <c r="J1618" s="2" t="str">
        <f t="shared" si="25"/>
        <v>NO</v>
      </c>
      <c r="K1618" s="2" t="e">
        <f>VLOOKUP(F1618,Munka1!A:A,1,0)</f>
        <v>#N/A</v>
      </c>
    </row>
    <row r="1619" spans="10:11" hidden="1" x14ac:dyDescent="0.3">
      <c r="J1619" s="2" t="str">
        <f t="shared" si="25"/>
        <v>NO</v>
      </c>
      <c r="K1619" s="2" t="e">
        <f>VLOOKUP(F1619,Munka1!A:A,1,0)</f>
        <v>#N/A</v>
      </c>
    </row>
    <row r="1620" spans="10:11" hidden="1" x14ac:dyDescent="0.3">
      <c r="J1620" s="2" t="str">
        <f t="shared" si="25"/>
        <v>NO</v>
      </c>
      <c r="K1620" s="2" t="e">
        <f>VLOOKUP(F1620,Munka1!A:A,1,0)</f>
        <v>#N/A</v>
      </c>
    </row>
    <row r="1621" spans="10:11" hidden="1" x14ac:dyDescent="0.3">
      <c r="J1621" s="2" t="str">
        <f t="shared" si="25"/>
        <v>NO</v>
      </c>
      <c r="K1621" s="2" t="e">
        <f>VLOOKUP(F1621,Munka1!A:A,1,0)</f>
        <v>#N/A</v>
      </c>
    </row>
    <row r="1622" spans="10:11" hidden="1" x14ac:dyDescent="0.3">
      <c r="J1622" s="2" t="str">
        <f t="shared" si="25"/>
        <v>NO</v>
      </c>
      <c r="K1622" s="2" t="e">
        <f>VLOOKUP(F1622,Munka1!A:A,1,0)</f>
        <v>#N/A</v>
      </c>
    </row>
    <row r="1623" spans="10:11" hidden="1" x14ac:dyDescent="0.3">
      <c r="J1623" s="2" t="str">
        <f t="shared" si="25"/>
        <v>NO</v>
      </c>
      <c r="K1623" s="2" t="e">
        <f>VLOOKUP(F1623,Munka1!A:A,1,0)</f>
        <v>#N/A</v>
      </c>
    </row>
    <row r="1624" spans="10:11" hidden="1" x14ac:dyDescent="0.3">
      <c r="J1624" s="2" t="str">
        <f t="shared" si="25"/>
        <v>NO</v>
      </c>
      <c r="K1624" s="2" t="e">
        <f>VLOOKUP(F1624,Munka1!A:A,1,0)</f>
        <v>#N/A</v>
      </c>
    </row>
    <row r="1625" spans="10:11" hidden="1" x14ac:dyDescent="0.3">
      <c r="J1625" s="2" t="str">
        <f t="shared" si="25"/>
        <v>NO</v>
      </c>
      <c r="K1625" s="2" t="e">
        <f>VLOOKUP(F1625,Munka1!A:A,1,0)</f>
        <v>#N/A</v>
      </c>
    </row>
    <row r="1626" spans="10:11" hidden="1" x14ac:dyDescent="0.3">
      <c r="J1626" s="2" t="str">
        <f t="shared" si="25"/>
        <v>NO</v>
      </c>
      <c r="K1626" s="2" t="e">
        <f>VLOOKUP(F1626,Munka1!A:A,1,0)</f>
        <v>#N/A</v>
      </c>
    </row>
    <row r="1627" spans="10:11" hidden="1" x14ac:dyDescent="0.3">
      <c r="J1627" s="2" t="str">
        <f t="shared" si="25"/>
        <v>NO</v>
      </c>
      <c r="K1627" s="2" t="e">
        <f>VLOOKUP(F1627,Munka1!A:A,1,0)</f>
        <v>#N/A</v>
      </c>
    </row>
    <row r="1628" spans="10:11" hidden="1" x14ac:dyDescent="0.3">
      <c r="J1628" s="2" t="str">
        <f t="shared" si="25"/>
        <v>NO</v>
      </c>
      <c r="K1628" s="2" t="e">
        <f>VLOOKUP(F1628,Munka1!A:A,1,0)</f>
        <v>#N/A</v>
      </c>
    </row>
    <row r="1629" spans="10:11" hidden="1" x14ac:dyDescent="0.3">
      <c r="J1629" s="2" t="str">
        <f t="shared" si="25"/>
        <v>NO</v>
      </c>
      <c r="K1629" s="2" t="e">
        <f>VLOOKUP(F1629,Munka1!A:A,1,0)</f>
        <v>#N/A</v>
      </c>
    </row>
    <row r="1630" spans="10:11" hidden="1" x14ac:dyDescent="0.3">
      <c r="J1630" s="2" t="str">
        <f t="shared" si="25"/>
        <v>NO</v>
      </c>
      <c r="K1630" s="2" t="e">
        <f>VLOOKUP(F1630,Munka1!A:A,1,0)</f>
        <v>#N/A</v>
      </c>
    </row>
    <row r="1631" spans="10:11" hidden="1" x14ac:dyDescent="0.3">
      <c r="J1631" s="2" t="str">
        <f t="shared" si="25"/>
        <v>NO</v>
      </c>
      <c r="K1631" s="2" t="e">
        <f>VLOOKUP(F1631,Munka1!A:A,1,0)</f>
        <v>#N/A</v>
      </c>
    </row>
    <row r="1632" spans="10:11" hidden="1" x14ac:dyDescent="0.3">
      <c r="J1632" s="2" t="str">
        <f t="shared" si="25"/>
        <v>NO</v>
      </c>
      <c r="K1632" s="2" t="e">
        <f>VLOOKUP(F1632,Munka1!A:A,1,0)</f>
        <v>#N/A</v>
      </c>
    </row>
    <row r="1633" spans="10:11" hidden="1" x14ac:dyDescent="0.3">
      <c r="J1633" s="2" t="str">
        <f t="shared" si="25"/>
        <v>NO</v>
      </c>
      <c r="K1633" s="2" t="e">
        <f>VLOOKUP(F1633,Munka1!A:A,1,0)</f>
        <v>#N/A</v>
      </c>
    </row>
    <row r="1634" spans="10:11" hidden="1" x14ac:dyDescent="0.3">
      <c r="J1634" s="2" t="str">
        <f t="shared" si="25"/>
        <v>NO</v>
      </c>
      <c r="K1634" s="2" t="e">
        <f>VLOOKUP(F1634,Munka1!A:A,1,0)</f>
        <v>#N/A</v>
      </c>
    </row>
    <row r="1635" spans="10:11" hidden="1" x14ac:dyDescent="0.3">
      <c r="J1635" s="2" t="str">
        <f t="shared" si="25"/>
        <v>NO</v>
      </c>
      <c r="K1635" s="2" t="e">
        <f>VLOOKUP(F1635,Munka1!A:A,1,0)</f>
        <v>#N/A</v>
      </c>
    </row>
    <row r="1636" spans="10:11" hidden="1" x14ac:dyDescent="0.3">
      <c r="J1636" s="2" t="str">
        <f t="shared" si="25"/>
        <v>NO</v>
      </c>
      <c r="K1636" s="2" t="e">
        <f>VLOOKUP(F1636,Munka1!A:A,1,0)</f>
        <v>#N/A</v>
      </c>
    </row>
    <row r="1637" spans="10:11" hidden="1" x14ac:dyDescent="0.3">
      <c r="J1637" s="2" t="str">
        <f t="shared" si="25"/>
        <v>NO</v>
      </c>
      <c r="K1637" s="2" t="e">
        <f>VLOOKUP(F1637,Munka1!A:A,1,0)</f>
        <v>#N/A</v>
      </c>
    </row>
    <row r="1638" spans="10:11" hidden="1" x14ac:dyDescent="0.3">
      <c r="J1638" s="2" t="str">
        <f t="shared" si="25"/>
        <v>NO</v>
      </c>
      <c r="K1638" s="2" t="e">
        <f>VLOOKUP(F1638,Munka1!A:A,1,0)</f>
        <v>#N/A</v>
      </c>
    </row>
    <row r="1639" spans="10:11" hidden="1" x14ac:dyDescent="0.3">
      <c r="J1639" s="2" t="str">
        <f t="shared" si="25"/>
        <v>NO</v>
      </c>
      <c r="K1639" s="2" t="e">
        <f>VLOOKUP(F1639,Munka1!A:A,1,0)</f>
        <v>#N/A</v>
      </c>
    </row>
    <row r="1640" spans="10:11" hidden="1" x14ac:dyDescent="0.3">
      <c r="J1640" s="2" t="str">
        <f t="shared" si="25"/>
        <v>NO</v>
      </c>
      <c r="K1640" s="2" t="e">
        <f>VLOOKUP(F1640,Munka1!A:A,1,0)</f>
        <v>#N/A</v>
      </c>
    </row>
    <row r="1641" spans="10:11" hidden="1" x14ac:dyDescent="0.3">
      <c r="J1641" s="2" t="str">
        <f t="shared" si="25"/>
        <v>NO</v>
      </c>
      <c r="K1641" s="2" t="e">
        <f>VLOOKUP(F1641,Munka1!A:A,1,0)</f>
        <v>#N/A</v>
      </c>
    </row>
    <row r="1642" spans="10:11" hidden="1" x14ac:dyDescent="0.3">
      <c r="J1642" s="2" t="str">
        <f t="shared" si="25"/>
        <v>NO</v>
      </c>
      <c r="K1642" s="2" t="e">
        <f>VLOOKUP(F1642,Munka1!A:A,1,0)</f>
        <v>#N/A</v>
      </c>
    </row>
    <row r="1643" spans="10:11" hidden="1" x14ac:dyDescent="0.3">
      <c r="J1643" s="2" t="str">
        <f t="shared" si="25"/>
        <v>NO</v>
      </c>
      <c r="K1643" s="2" t="e">
        <f>VLOOKUP(F1643,Munka1!A:A,1,0)</f>
        <v>#N/A</v>
      </c>
    </row>
    <row r="1644" spans="10:11" hidden="1" x14ac:dyDescent="0.3">
      <c r="J1644" s="2" t="str">
        <f t="shared" si="25"/>
        <v>NO</v>
      </c>
      <c r="K1644" s="2" t="e">
        <f>VLOOKUP(F1644,Munka1!A:A,1,0)</f>
        <v>#N/A</v>
      </c>
    </row>
    <row r="1645" spans="10:11" hidden="1" x14ac:dyDescent="0.3">
      <c r="J1645" s="2" t="str">
        <f t="shared" si="25"/>
        <v>NO</v>
      </c>
      <c r="K1645" s="2" t="e">
        <f>VLOOKUP(F1645,Munka1!A:A,1,0)</f>
        <v>#N/A</v>
      </c>
    </row>
    <row r="1646" spans="10:11" hidden="1" x14ac:dyDescent="0.3">
      <c r="J1646" s="2" t="str">
        <f t="shared" si="25"/>
        <v>NO</v>
      </c>
      <c r="K1646" s="2" t="e">
        <f>VLOOKUP(F1646,Munka1!A:A,1,0)</f>
        <v>#N/A</v>
      </c>
    </row>
    <row r="1647" spans="10:11" hidden="1" x14ac:dyDescent="0.3">
      <c r="J1647" s="2" t="str">
        <f t="shared" si="25"/>
        <v>NO</v>
      </c>
      <c r="K1647" s="2" t="e">
        <f>VLOOKUP(F1647,Munka1!A:A,1,0)</f>
        <v>#N/A</v>
      </c>
    </row>
    <row r="1648" spans="10:11" hidden="1" x14ac:dyDescent="0.3">
      <c r="J1648" s="2" t="str">
        <f t="shared" si="25"/>
        <v>NO</v>
      </c>
      <c r="K1648" s="2" t="e">
        <f>VLOOKUP(F1648,Munka1!A:A,1,0)</f>
        <v>#N/A</v>
      </c>
    </row>
    <row r="1649" spans="10:11" hidden="1" x14ac:dyDescent="0.3">
      <c r="J1649" s="2" t="str">
        <f t="shared" si="25"/>
        <v>NO</v>
      </c>
      <c r="K1649" s="2" t="e">
        <f>VLOOKUP(F1649,Munka1!A:A,1,0)</f>
        <v>#N/A</v>
      </c>
    </row>
    <row r="1650" spans="10:11" hidden="1" x14ac:dyDescent="0.3">
      <c r="J1650" s="2" t="str">
        <f t="shared" si="25"/>
        <v>NO</v>
      </c>
      <c r="K1650" s="2" t="e">
        <f>VLOOKUP(F1650,Munka1!A:A,1,0)</f>
        <v>#N/A</v>
      </c>
    </row>
    <row r="1651" spans="10:11" hidden="1" x14ac:dyDescent="0.3">
      <c r="J1651" s="2" t="str">
        <f t="shared" si="25"/>
        <v>NO</v>
      </c>
      <c r="K1651" s="2" t="e">
        <f>VLOOKUP(F1651,Munka1!A:A,1,0)</f>
        <v>#N/A</v>
      </c>
    </row>
    <row r="1652" spans="10:11" hidden="1" x14ac:dyDescent="0.3">
      <c r="J1652" s="2" t="str">
        <f t="shared" si="25"/>
        <v>NO</v>
      </c>
      <c r="K1652" s="2" t="e">
        <f>VLOOKUP(F1652,Munka1!A:A,1,0)</f>
        <v>#N/A</v>
      </c>
    </row>
    <row r="1653" spans="10:11" hidden="1" x14ac:dyDescent="0.3">
      <c r="J1653" s="2" t="str">
        <f t="shared" si="25"/>
        <v>NO</v>
      </c>
      <c r="K1653" s="2" t="e">
        <f>VLOOKUP(F1653,Munka1!A:A,1,0)</f>
        <v>#N/A</v>
      </c>
    </row>
    <row r="1654" spans="10:11" hidden="1" x14ac:dyDescent="0.3">
      <c r="J1654" s="2" t="str">
        <f t="shared" si="25"/>
        <v>NO</v>
      </c>
      <c r="K1654" s="2" t="e">
        <f>VLOOKUP(F1654,Munka1!A:A,1,0)</f>
        <v>#N/A</v>
      </c>
    </row>
    <row r="1655" spans="10:11" hidden="1" x14ac:dyDescent="0.3">
      <c r="J1655" s="2" t="str">
        <f t="shared" si="25"/>
        <v>NO</v>
      </c>
      <c r="K1655" s="2" t="e">
        <f>VLOOKUP(F1655,Munka1!A:A,1,0)</f>
        <v>#N/A</v>
      </c>
    </row>
    <row r="1656" spans="10:11" hidden="1" x14ac:dyDescent="0.3">
      <c r="J1656" s="2" t="str">
        <f t="shared" si="25"/>
        <v>NO</v>
      </c>
      <c r="K1656" s="2" t="e">
        <f>VLOOKUP(F1656,Munka1!A:A,1,0)</f>
        <v>#N/A</v>
      </c>
    </row>
    <row r="1657" spans="10:11" hidden="1" x14ac:dyDescent="0.3">
      <c r="J1657" s="2" t="str">
        <f t="shared" si="25"/>
        <v>NO</v>
      </c>
      <c r="K1657" s="2" t="e">
        <f>VLOOKUP(F1657,Munka1!A:A,1,0)</f>
        <v>#N/A</v>
      </c>
    </row>
    <row r="1658" spans="10:11" hidden="1" x14ac:dyDescent="0.3">
      <c r="J1658" s="2" t="str">
        <f t="shared" si="25"/>
        <v>NO</v>
      </c>
      <c r="K1658" s="2" t="e">
        <f>VLOOKUP(F1658,Munka1!A:A,1,0)</f>
        <v>#N/A</v>
      </c>
    </row>
    <row r="1659" spans="10:11" hidden="1" x14ac:dyDescent="0.3">
      <c r="J1659" s="2" t="str">
        <f t="shared" si="25"/>
        <v>NO</v>
      </c>
      <c r="K1659" s="2" t="e">
        <f>VLOOKUP(F1659,Munka1!A:A,1,0)</f>
        <v>#N/A</v>
      </c>
    </row>
    <row r="1660" spans="10:11" hidden="1" x14ac:dyDescent="0.3">
      <c r="J1660" s="2" t="str">
        <f t="shared" si="25"/>
        <v>NO</v>
      </c>
      <c r="K1660" s="2" t="e">
        <f>VLOOKUP(F1660,Munka1!A:A,1,0)</f>
        <v>#N/A</v>
      </c>
    </row>
    <row r="1661" spans="10:11" hidden="1" x14ac:dyDescent="0.3">
      <c r="J1661" s="2" t="str">
        <f t="shared" si="25"/>
        <v>NO</v>
      </c>
      <c r="K1661" s="2" t="e">
        <f>VLOOKUP(F1661,Munka1!A:A,1,0)</f>
        <v>#N/A</v>
      </c>
    </row>
    <row r="1662" spans="10:11" hidden="1" x14ac:dyDescent="0.3">
      <c r="J1662" s="2" t="str">
        <f t="shared" si="25"/>
        <v>NO</v>
      </c>
      <c r="K1662" s="2" t="e">
        <f>VLOOKUP(F1662,Munka1!A:A,1,0)</f>
        <v>#N/A</v>
      </c>
    </row>
    <row r="1663" spans="10:11" hidden="1" x14ac:dyDescent="0.3">
      <c r="J1663" s="2" t="str">
        <f t="shared" si="25"/>
        <v>NO</v>
      </c>
      <c r="K1663" s="2" t="e">
        <f>VLOOKUP(F1663,Munka1!A:A,1,0)</f>
        <v>#N/A</v>
      </c>
    </row>
    <row r="1664" spans="10:11" hidden="1" x14ac:dyDescent="0.3">
      <c r="J1664" s="2" t="str">
        <f t="shared" si="25"/>
        <v>NO</v>
      </c>
      <c r="K1664" s="2" t="e">
        <f>VLOOKUP(F1664,Munka1!A:A,1,0)</f>
        <v>#N/A</v>
      </c>
    </row>
    <row r="1665" spans="10:11" hidden="1" x14ac:dyDescent="0.3">
      <c r="J1665" s="2" t="str">
        <f t="shared" si="25"/>
        <v>NO</v>
      </c>
      <c r="K1665" s="2" t="e">
        <f>VLOOKUP(F1665,Munka1!A:A,1,0)</f>
        <v>#N/A</v>
      </c>
    </row>
    <row r="1666" spans="10:11" hidden="1" x14ac:dyDescent="0.3">
      <c r="J1666" s="2" t="str">
        <f t="shared" si="25"/>
        <v>NO</v>
      </c>
      <c r="K1666" s="2" t="e">
        <f>VLOOKUP(F1666,Munka1!A:A,1,0)</f>
        <v>#N/A</v>
      </c>
    </row>
    <row r="1667" spans="10:11" hidden="1" x14ac:dyDescent="0.3">
      <c r="J1667" s="2" t="str">
        <f t="shared" ref="J1667:J1730" si="26">IF(OR(F1667="",F1667="_",LEFT(F1667,5)="SPARE",F1667="N/A"),"NO","YES")</f>
        <v>NO</v>
      </c>
      <c r="K1667" s="2" t="e">
        <f>VLOOKUP(F1667,Munka1!A:A,1,0)</f>
        <v>#N/A</v>
      </c>
    </row>
    <row r="1668" spans="10:11" hidden="1" x14ac:dyDescent="0.3">
      <c r="J1668" s="2" t="str">
        <f t="shared" si="26"/>
        <v>NO</v>
      </c>
      <c r="K1668" s="2" t="e">
        <f>VLOOKUP(F1668,Munka1!A:A,1,0)</f>
        <v>#N/A</v>
      </c>
    </row>
    <row r="1669" spans="10:11" hidden="1" x14ac:dyDescent="0.3">
      <c r="J1669" s="2" t="str">
        <f t="shared" si="26"/>
        <v>NO</v>
      </c>
      <c r="K1669" s="2" t="e">
        <f>VLOOKUP(F1669,Munka1!A:A,1,0)</f>
        <v>#N/A</v>
      </c>
    </row>
    <row r="1670" spans="10:11" hidden="1" x14ac:dyDescent="0.3">
      <c r="J1670" s="2" t="str">
        <f t="shared" si="26"/>
        <v>NO</v>
      </c>
      <c r="K1670" s="2" t="e">
        <f>VLOOKUP(F1670,Munka1!A:A,1,0)</f>
        <v>#N/A</v>
      </c>
    </row>
    <row r="1671" spans="10:11" hidden="1" x14ac:dyDescent="0.3">
      <c r="J1671" s="2" t="str">
        <f t="shared" si="26"/>
        <v>NO</v>
      </c>
      <c r="K1671" s="2" t="e">
        <f>VLOOKUP(F1671,Munka1!A:A,1,0)</f>
        <v>#N/A</v>
      </c>
    </row>
    <row r="1672" spans="10:11" hidden="1" x14ac:dyDescent="0.3">
      <c r="J1672" s="2" t="str">
        <f t="shared" si="26"/>
        <v>NO</v>
      </c>
      <c r="K1672" s="2" t="e">
        <f>VLOOKUP(F1672,Munka1!A:A,1,0)</f>
        <v>#N/A</v>
      </c>
    </row>
    <row r="1673" spans="10:11" hidden="1" x14ac:dyDescent="0.3">
      <c r="J1673" s="2" t="str">
        <f t="shared" si="26"/>
        <v>NO</v>
      </c>
      <c r="K1673" s="2" t="e">
        <f>VLOOKUP(F1673,Munka1!A:A,1,0)</f>
        <v>#N/A</v>
      </c>
    </row>
    <row r="1674" spans="10:11" hidden="1" x14ac:dyDescent="0.3">
      <c r="J1674" s="2" t="str">
        <f t="shared" si="26"/>
        <v>NO</v>
      </c>
      <c r="K1674" s="2" t="e">
        <f>VLOOKUP(F1674,Munka1!A:A,1,0)</f>
        <v>#N/A</v>
      </c>
    </row>
    <row r="1675" spans="10:11" hidden="1" x14ac:dyDescent="0.3">
      <c r="J1675" s="2" t="str">
        <f t="shared" si="26"/>
        <v>NO</v>
      </c>
      <c r="K1675" s="2" t="e">
        <f>VLOOKUP(F1675,Munka1!A:A,1,0)</f>
        <v>#N/A</v>
      </c>
    </row>
    <row r="1676" spans="10:11" hidden="1" x14ac:dyDescent="0.3">
      <c r="J1676" s="2" t="str">
        <f t="shared" si="26"/>
        <v>NO</v>
      </c>
      <c r="K1676" s="2" t="e">
        <f>VLOOKUP(F1676,Munka1!A:A,1,0)</f>
        <v>#N/A</v>
      </c>
    </row>
    <row r="1677" spans="10:11" hidden="1" x14ac:dyDescent="0.3">
      <c r="J1677" s="2" t="str">
        <f t="shared" si="26"/>
        <v>NO</v>
      </c>
      <c r="K1677" s="2" t="e">
        <f>VLOOKUP(F1677,Munka1!A:A,1,0)</f>
        <v>#N/A</v>
      </c>
    </row>
    <row r="1678" spans="10:11" hidden="1" x14ac:dyDescent="0.3">
      <c r="J1678" s="2" t="str">
        <f t="shared" si="26"/>
        <v>NO</v>
      </c>
      <c r="K1678" s="2" t="e">
        <f>VLOOKUP(F1678,Munka1!A:A,1,0)</f>
        <v>#N/A</v>
      </c>
    </row>
    <row r="1679" spans="10:11" hidden="1" x14ac:dyDescent="0.3">
      <c r="J1679" s="2" t="str">
        <f t="shared" si="26"/>
        <v>NO</v>
      </c>
      <c r="K1679" s="2" t="e">
        <f>VLOOKUP(F1679,Munka1!A:A,1,0)</f>
        <v>#N/A</v>
      </c>
    </row>
    <row r="1680" spans="10:11" hidden="1" x14ac:dyDescent="0.3">
      <c r="J1680" s="2" t="str">
        <f t="shared" si="26"/>
        <v>NO</v>
      </c>
      <c r="K1680" s="2" t="e">
        <f>VLOOKUP(F1680,Munka1!A:A,1,0)</f>
        <v>#N/A</v>
      </c>
    </row>
    <row r="1681" spans="10:11" hidden="1" x14ac:dyDescent="0.3">
      <c r="J1681" s="2" t="str">
        <f t="shared" si="26"/>
        <v>NO</v>
      </c>
      <c r="K1681" s="2" t="e">
        <f>VLOOKUP(F1681,Munka1!A:A,1,0)</f>
        <v>#N/A</v>
      </c>
    </row>
    <row r="1682" spans="10:11" hidden="1" x14ac:dyDescent="0.3">
      <c r="J1682" s="2" t="str">
        <f t="shared" si="26"/>
        <v>NO</v>
      </c>
      <c r="K1682" s="2" t="e">
        <f>VLOOKUP(F1682,Munka1!A:A,1,0)</f>
        <v>#N/A</v>
      </c>
    </row>
    <row r="1683" spans="10:11" hidden="1" x14ac:dyDescent="0.3">
      <c r="J1683" s="2" t="str">
        <f t="shared" si="26"/>
        <v>NO</v>
      </c>
      <c r="K1683" s="2" t="e">
        <f>VLOOKUP(F1683,Munka1!A:A,1,0)</f>
        <v>#N/A</v>
      </c>
    </row>
    <row r="1684" spans="10:11" hidden="1" x14ac:dyDescent="0.3">
      <c r="J1684" s="2" t="str">
        <f t="shared" si="26"/>
        <v>NO</v>
      </c>
      <c r="K1684" s="2" t="e">
        <f>VLOOKUP(F1684,Munka1!A:A,1,0)</f>
        <v>#N/A</v>
      </c>
    </row>
    <row r="1685" spans="10:11" hidden="1" x14ac:dyDescent="0.3">
      <c r="J1685" s="2" t="str">
        <f t="shared" si="26"/>
        <v>NO</v>
      </c>
      <c r="K1685" s="2" t="e">
        <f>VLOOKUP(F1685,Munka1!A:A,1,0)</f>
        <v>#N/A</v>
      </c>
    </row>
    <row r="1686" spans="10:11" hidden="1" x14ac:dyDescent="0.3">
      <c r="J1686" s="2" t="str">
        <f t="shared" si="26"/>
        <v>NO</v>
      </c>
      <c r="K1686" s="2" t="e">
        <f>VLOOKUP(F1686,Munka1!A:A,1,0)</f>
        <v>#N/A</v>
      </c>
    </row>
    <row r="1687" spans="10:11" hidden="1" x14ac:dyDescent="0.3">
      <c r="J1687" s="2" t="str">
        <f t="shared" si="26"/>
        <v>NO</v>
      </c>
      <c r="K1687" s="2" t="e">
        <f>VLOOKUP(F1687,Munka1!A:A,1,0)</f>
        <v>#N/A</v>
      </c>
    </row>
    <row r="1688" spans="10:11" hidden="1" x14ac:dyDescent="0.3">
      <c r="J1688" s="2" t="str">
        <f t="shared" si="26"/>
        <v>NO</v>
      </c>
      <c r="K1688" s="2" t="e">
        <f>VLOOKUP(F1688,Munka1!A:A,1,0)</f>
        <v>#N/A</v>
      </c>
    </row>
    <row r="1689" spans="10:11" hidden="1" x14ac:dyDescent="0.3">
      <c r="J1689" s="2" t="str">
        <f t="shared" si="26"/>
        <v>NO</v>
      </c>
      <c r="K1689" s="2" t="e">
        <f>VLOOKUP(F1689,Munka1!A:A,1,0)</f>
        <v>#N/A</v>
      </c>
    </row>
    <row r="1690" spans="10:11" hidden="1" x14ac:dyDescent="0.3">
      <c r="J1690" s="2" t="str">
        <f t="shared" si="26"/>
        <v>NO</v>
      </c>
      <c r="K1690" s="2" t="e">
        <f>VLOOKUP(F1690,Munka1!A:A,1,0)</f>
        <v>#N/A</v>
      </c>
    </row>
    <row r="1691" spans="10:11" hidden="1" x14ac:dyDescent="0.3">
      <c r="J1691" s="2" t="str">
        <f t="shared" si="26"/>
        <v>NO</v>
      </c>
      <c r="K1691" s="2" t="e">
        <f>VLOOKUP(F1691,Munka1!A:A,1,0)</f>
        <v>#N/A</v>
      </c>
    </row>
    <row r="1692" spans="10:11" hidden="1" x14ac:dyDescent="0.3">
      <c r="J1692" s="2" t="str">
        <f t="shared" si="26"/>
        <v>NO</v>
      </c>
      <c r="K1692" s="2" t="e">
        <f>VLOOKUP(F1692,Munka1!A:A,1,0)</f>
        <v>#N/A</v>
      </c>
    </row>
    <row r="1693" spans="10:11" hidden="1" x14ac:dyDescent="0.3">
      <c r="J1693" s="2" t="str">
        <f t="shared" si="26"/>
        <v>NO</v>
      </c>
      <c r="K1693" s="2" t="e">
        <f>VLOOKUP(F1693,Munka1!A:A,1,0)</f>
        <v>#N/A</v>
      </c>
    </row>
    <row r="1694" spans="10:11" hidden="1" x14ac:dyDescent="0.3">
      <c r="J1694" s="2" t="str">
        <f t="shared" si="26"/>
        <v>NO</v>
      </c>
      <c r="K1694" s="2" t="e">
        <f>VLOOKUP(F1694,Munka1!A:A,1,0)</f>
        <v>#N/A</v>
      </c>
    </row>
    <row r="1695" spans="10:11" hidden="1" x14ac:dyDescent="0.3">
      <c r="J1695" s="2" t="str">
        <f t="shared" si="26"/>
        <v>NO</v>
      </c>
      <c r="K1695" s="2" t="e">
        <f>VLOOKUP(F1695,Munka1!A:A,1,0)</f>
        <v>#N/A</v>
      </c>
    </row>
    <row r="1696" spans="10:11" hidden="1" x14ac:dyDescent="0.3">
      <c r="J1696" s="2" t="str">
        <f t="shared" si="26"/>
        <v>NO</v>
      </c>
      <c r="K1696" s="2" t="e">
        <f>VLOOKUP(F1696,Munka1!A:A,1,0)</f>
        <v>#N/A</v>
      </c>
    </row>
    <row r="1697" spans="10:11" hidden="1" x14ac:dyDescent="0.3">
      <c r="J1697" s="2" t="str">
        <f t="shared" si="26"/>
        <v>NO</v>
      </c>
      <c r="K1697" s="2" t="e">
        <f>VLOOKUP(F1697,Munka1!A:A,1,0)</f>
        <v>#N/A</v>
      </c>
    </row>
    <row r="1698" spans="10:11" hidden="1" x14ac:dyDescent="0.3">
      <c r="J1698" s="2" t="str">
        <f t="shared" si="26"/>
        <v>NO</v>
      </c>
      <c r="K1698" s="2" t="e">
        <f>VLOOKUP(F1698,Munka1!A:A,1,0)</f>
        <v>#N/A</v>
      </c>
    </row>
    <row r="1699" spans="10:11" hidden="1" x14ac:dyDescent="0.3">
      <c r="J1699" s="2" t="str">
        <f t="shared" si="26"/>
        <v>NO</v>
      </c>
      <c r="K1699" s="2" t="e">
        <f>VLOOKUP(F1699,Munka1!A:A,1,0)</f>
        <v>#N/A</v>
      </c>
    </row>
    <row r="1700" spans="10:11" hidden="1" x14ac:dyDescent="0.3">
      <c r="J1700" s="2" t="str">
        <f t="shared" si="26"/>
        <v>NO</v>
      </c>
      <c r="K1700" s="2" t="e">
        <f>VLOOKUP(F1700,Munka1!A:A,1,0)</f>
        <v>#N/A</v>
      </c>
    </row>
    <row r="1701" spans="10:11" hidden="1" x14ac:dyDescent="0.3">
      <c r="J1701" s="2" t="str">
        <f t="shared" si="26"/>
        <v>NO</v>
      </c>
      <c r="K1701" s="2" t="e">
        <f>VLOOKUP(F1701,Munka1!A:A,1,0)</f>
        <v>#N/A</v>
      </c>
    </row>
    <row r="1702" spans="10:11" hidden="1" x14ac:dyDescent="0.3">
      <c r="J1702" s="2" t="str">
        <f t="shared" si="26"/>
        <v>NO</v>
      </c>
      <c r="K1702" s="2" t="e">
        <f>VLOOKUP(F1702,Munka1!A:A,1,0)</f>
        <v>#N/A</v>
      </c>
    </row>
    <row r="1703" spans="10:11" hidden="1" x14ac:dyDescent="0.3">
      <c r="J1703" s="2" t="str">
        <f t="shared" si="26"/>
        <v>NO</v>
      </c>
      <c r="K1703" s="2" t="e">
        <f>VLOOKUP(F1703,Munka1!A:A,1,0)</f>
        <v>#N/A</v>
      </c>
    </row>
    <row r="1704" spans="10:11" hidden="1" x14ac:dyDescent="0.3">
      <c r="J1704" s="2" t="str">
        <f t="shared" si="26"/>
        <v>NO</v>
      </c>
      <c r="K1704" s="2" t="e">
        <f>VLOOKUP(F1704,Munka1!A:A,1,0)</f>
        <v>#N/A</v>
      </c>
    </row>
    <row r="1705" spans="10:11" hidden="1" x14ac:dyDescent="0.3">
      <c r="J1705" s="2" t="str">
        <f t="shared" si="26"/>
        <v>NO</v>
      </c>
      <c r="K1705" s="2" t="e">
        <f>VLOOKUP(F1705,Munka1!A:A,1,0)</f>
        <v>#N/A</v>
      </c>
    </row>
    <row r="1706" spans="10:11" hidden="1" x14ac:dyDescent="0.3">
      <c r="J1706" s="2" t="str">
        <f t="shared" si="26"/>
        <v>NO</v>
      </c>
      <c r="K1706" s="2" t="e">
        <f>VLOOKUP(F1706,Munka1!A:A,1,0)</f>
        <v>#N/A</v>
      </c>
    </row>
    <row r="1707" spans="10:11" hidden="1" x14ac:dyDescent="0.3">
      <c r="J1707" s="2" t="str">
        <f t="shared" si="26"/>
        <v>NO</v>
      </c>
      <c r="K1707" s="2" t="e">
        <f>VLOOKUP(F1707,Munka1!A:A,1,0)</f>
        <v>#N/A</v>
      </c>
    </row>
    <row r="1708" spans="10:11" hidden="1" x14ac:dyDescent="0.3">
      <c r="J1708" s="2" t="str">
        <f t="shared" si="26"/>
        <v>NO</v>
      </c>
      <c r="K1708" s="2" t="e">
        <f>VLOOKUP(F1708,Munka1!A:A,1,0)</f>
        <v>#N/A</v>
      </c>
    </row>
    <row r="1709" spans="10:11" hidden="1" x14ac:dyDescent="0.3">
      <c r="J1709" s="2" t="str">
        <f t="shared" si="26"/>
        <v>NO</v>
      </c>
      <c r="K1709" s="2" t="e">
        <f>VLOOKUP(F1709,Munka1!A:A,1,0)</f>
        <v>#N/A</v>
      </c>
    </row>
    <row r="1710" spans="10:11" hidden="1" x14ac:dyDescent="0.3">
      <c r="J1710" s="2" t="str">
        <f t="shared" si="26"/>
        <v>NO</v>
      </c>
      <c r="K1710" s="2" t="e">
        <f>VLOOKUP(F1710,Munka1!A:A,1,0)</f>
        <v>#N/A</v>
      </c>
    </row>
    <row r="1711" spans="10:11" hidden="1" x14ac:dyDescent="0.3">
      <c r="J1711" s="2" t="str">
        <f t="shared" si="26"/>
        <v>NO</v>
      </c>
      <c r="K1711" s="2" t="e">
        <f>VLOOKUP(F1711,Munka1!A:A,1,0)</f>
        <v>#N/A</v>
      </c>
    </row>
    <row r="1712" spans="10:11" hidden="1" x14ac:dyDescent="0.3">
      <c r="J1712" s="2" t="str">
        <f t="shared" si="26"/>
        <v>NO</v>
      </c>
      <c r="K1712" s="2" t="e">
        <f>VLOOKUP(F1712,Munka1!A:A,1,0)</f>
        <v>#N/A</v>
      </c>
    </row>
    <row r="1713" spans="10:11" hidden="1" x14ac:dyDescent="0.3">
      <c r="J1713" s="2" t="str">
        <f t="shared" si="26"/>
        <v>NO</v>
      </c>
      <c r="K1713" s="2" t="e">
        <f>VLOOKUP(F1713,Munka1!A:A,1,0)</f>
        <v>#N/A</v>
      </c>
    </row>
    <row r="1714" spans="10:11" hidden="1" x14ac:dyDescent="0.3">
      <c r="J1714" s="2" t="str">
        <f t="shared" si="26"/>
        <v>NO</v>
      </c>
      <c r="K1714" s="2" t="e">
        <f>VLOOKUP(F1714,Munka1!A:A,1,0)</f>
        <v>#N/A</v>
      </c>
    </row>
    <row r="1715" spans="10:11" hidden="1" x14ac:dyDescent="0.3">
      <c r="J1715" s="2" t="str">
        <f t="shared" si="26"/>
        <v>NO</v>
      </c>
      <c r="K1715" s="2" t="e">
        <f>VLOOKUP(F1715,Munka1!A:A,1,0)</f>
        <v>#N/A</v>
      </c>
    </row>
    <row r="1716" spans="10:11" hidden="1" x14ac:dyDescent="0.3">
      <c r="J1716" s="2" t="str">
        <f t="shared" si="26"/>
        <v>NO</v>
      </c>
      <c r="K1716" s="2" t="e">
        <f>VLOOKUP(F1716,Munka1!A:A,1,0)</f>
        <v>#N/A</v>
      </c>
    </row>
    <row r="1717" spans="10:11" hidden="1" x14ac:dyDescent="0.3">
      <c r="J1717" s="2" t="str">
        <f t="shared" si="26"/>
        <v>NO</v>
      </c>
      <c r="K1717" s="2" t="e">
        <f>VLOOKUP(F1717,Munka1!A:A,1,0)</f>
        <v>#N/A</v>
      </c>
    </row>
    <row r="1718" spans="10:11" hidden="1" x14ac:dyDescent="0.3">
      <c r="J1718" s="2" t="str">
        <f t="shared" si="26"/>
        <v>NO</v>
      </c>
      <c r="K1718" s="2" t="e">
        <f>VLOOKUP(F1718,Munka1!A:A,1,0)</f>
        <v>#N/A</v>
      </c>
    </row>
    <row r="1719" spans="10:11" hidden="1" x14ac:dyDescent="0.3">
      <c r="J1719" s="2" t="str">
        <f t="shared" si="26"/>
        <v>NO</v>
      </c>
      <c r="K1719" s="2" t="e">
        <f>VLOOKUP(F1719,Munka1!A:A,1,0)</f>
        <v>#N/A</v>
      </c>
    </row>
    <row r="1720" spans="10:11" hidden="1" x14ac:dyDescent="0.3">
      <c r="J1720" s="2" t="str">
        <f t="shared" si="26"/>
        <v>NO</v>
      </c>
      <c r="K1720" s="2" t="e">
        <f>VLOOKUP(F1720,Munka1!A:A,1,0)</f>
        <v>#N/A</v>
      </c>
    </row>
    <row r="1721" spans="10:11" hidden="1" x14ac:dyDescent="0.3">
      <c r="J1721" s="2" t="str">
        <f t="shared" si="26"/>
        <v>NO</v>
      </c>
      <c r="K1721" s="2" t="e">
        <f>VLOOKUP(F1721,Munka1!A:A,1,0)</f>
        <v>#N/A</v>
      </c>
    </row>
    <row r="1722" spans="10:11" hidden="1" x14ac:dyDescent="0.3">
      <c r="J1722" s="2" t="str">
        <f t="shared" si="26"/>
        <v>NO</v>
      </c>
      <c r="K1722" s="2" t="e">
        <f>VLOOKUP(F1722,Munka1!A:A,1,0)</f>
        <v>#N/A</v>
      </c>
    </row>
    <row r="1723" spans="10:11" hidden="1" x14ac:dyDescent="0.3">
      <c r="J1723" s="2" t="str">
        <f t="shared" si="26"/>
        <v>NO</v>
      </c>
      <c r="K1723" s="2" t="e">
        <f>VLOOKUP(F1723,Munka1!A:A,1,0)</f>
        <v>#N/A</v>
      </c>
    </row>
    <row r="1724" spans="10:11" hidden="1" x14ac:dyDescent="0.3">
      <c r="J1724" s="2" t="str">
        <f t="shared" si="26"/>
        <v>NO</v>
      </c>
      <c r="K1724" s="2" t="e">
        <f>VLOOKUP(F1724,Munka1!A:A,1,0)</f>
        <v>#N/A</v>
      </c>
    </row>
    <row r="1725" spans="10:11" hidden="1" x14ac:dyDescent="0.3">
      <c r="J1725" s="2" t="str">
        <f t="shared" si="26"/>
        <v>NO</v>
      </c>
      <c r="K1725" s="2" t="e">
        <f>VLOOKUP(F1725,Munka1!A:A,1,0)</f>
        <v>#N/A</v>
      </c>
    </row>
    <row r="1726" spans="10:11" hidden="1" x14ac:dyDescent="0.3">
      <c r="J1726" s="2" t="str">
        <f t="shared" si="26"/>
        <v>NO</v>
      </c>
      <c r="K1726" s="2" t="e">
        <f>VLOOKUP(F1726,Munka1!A:A,1,0)</f>
        <v>#N/A</v>
      </c>
    </row>
    <row r="1727" spans="10:11" hidden="1" x14ac:dyDescent="0.3">
      <c r="J1727" s="2" t="str">
        <f t="shared" si="26"/>
        <v>NO</v>
      </c>
      <c r="K1727" s="2" t="e">
        <f>VLOOKUP(F1727,Munka1!A:A,1,0)</f>
        <v>#N/A</v>
      </c>
    </row>
    <row r="1728" spans="10:11" hidden="1" x14ac:dyDescent="0.3">
      <c r="J1728" s="2" t="str">
        <f t="shared" si="26"/>
        <v>NO</v>
      </c>
      <c r="K1728" s="2" t="e">
        <f>VLOOKUP(F1728,Munka1!A:A,1,0)</f>
        <v>#N/A</v>
      </c>
    </row>
    <row r="1729" spans="10:11" hidden="1" x14ac:dyDescent="0.3">
      <c r="J1729" s="2" t="str">
        <f t="shared" si="26"/>
        <v>NO</v>
      </c>
      <c r="K1729" s="2" t="e">
        <f>VLOOKUP(F1729,Munka1!A:A,1,0)</f>
        <v>#N/A</v>
      </c>
    </row>
    <row r="1730" spans="10:11" hidden="1" x14ac:dyDescent="0.3">
      <c r="J1730" s="2" t="str">
        <f t="shared" si="26"/>
        <v>NO</v>
      </c>
      <c r="K1730" s="2" t="e">
        <f>VLOOKUP(F1730,Munka1!A:A,1,0)</f>
        <v>#N/A</v>
      </c>
    </row>
    <row r="1731" spans="10:11" hidden="1" x14ac:dyDescent="0.3">
      <c r="J1731" s="2" t="str">
        <f t="shared" ref="J1731:J1794" si="27">IF(OR(F1731="",F1731="_",LEFT(F1731,5)="SPARE",F1731="N/A"),"NO","YES")</f>
        <v>NO</v>
      </c>
      <c r="K1731" s="2" t="e">
        <f>VLOOKUP(F1731,Munka1!A:A,1,0)</f>
        <v>#N/A</v>
      </c>
    </row>
    <row r="1732" spans="10:11" hidden="1" x14ac:dyDescent="0.3">
      <c r="J1732" s="2" t="str">
        <f t="shared" si="27"/>
        <v>NO</v>
      </c>
      <c r="K1732" s="2" t="e">
        <f>VLOOKUP(F1732,Munka1!A:A,1,0)</f>
        <v>#N/A</v>
      </c>
    </row>
    <row r="1733" spans="10:11" hidden="1" x14ac:dyDescent="0.3">
      <c r="J1733" s="2" t="str">
        <f t="shared" si="27"/>
        <v>NO</v>
      </c>
      <c r="K1733" s="2" t="e">
        <f>VLOOKUP(F1733,Munka1!A:A,1,0)</f>
        <v>#N/A</v>
      </c>
    </row>
    <row r="1734" spans="10:11" hidden="1" x14ac:dyDescent="0.3">
      <c r="J1734" s="2" t="str">
        <f t="shared" si="27"/>
        <v>NO</v>
      </c>
      <c r="K1734" s="2" t="e">
        <f>VLOOKUP(F1734,Munka1!A:A,1,0)</f>
        <v>#N/A</v>
      </c>
    </row>
    <row r="1735" spans="10:11" hidden="1" x14ac:dyDescent="0.3">
      <c r="J1735" s="2" t="str">
        <f t="shared" si="27"/>
        <v>NO</v>
      </c>
      <c r="K1735" s="2" t="e">
        <f>VLOOKUP(F1735,Munka1!A:A,1,0)</f>
        <v>#N/A</v>
      </c>
    </row>
    <row r="1736" spans="10:11" hidden="1" x14ac:dyDescent="0.3">
      <c r="J1736" s="2" t="str">
        <f t="shared" si="27"/>
        <v>NO</v>
      </c>
      <c r="K1736" s="2" t="e">
        <f>VLOOKUP(F1736,Munka1!A:A,1,0)</f>
        <v>#N/A</v>
      </c>
    </row>
    <row r="1737" spans="10:11" hidden="1" x14ac:dyDescent="0.3">
      <c r="J1737" s="2" t="str">
        <f t="shared" si="27"/>
        <v>NO</v>
      </c>
      <c r="K1737" s="2" t="e">
        <f>VLOOKUP(F1737,Munka1!A:A,1,0)</f>
        <v>#N/A</v>
      </c>
    </row>
    <row r="1738" spans="10:11" hidden="1" x14ac:dyDescent="0.3">
      <c r="J1738" s="2" t="str">
        <f t="shared" si="27"/>
        <v>NO</v>
      </c>
      <c r="K1738" s="2" t="e">
        <f>VLOOKUP(F1738,Munka1!A:A,1,0)</f>
        <v>#N/A</v>
      </c>
    </row>
    <row r="1739" spans="10:11" hidden="1" x14ac:dyDescent="0.3">
      <c r="J1739" s="2" t="str">
        <f t="shared" si="27"/>
        <v>NO</v>
      </c>
      <c r="K1739" s="2" t="e">
        <f>VLOOKUP(F1739,Munka1!A:A,1,0)</f>
        <v>#N/A</v>
      </c>
    </row>
    <row r="1740" spans="10:11" hidden="1" x14ac:dyDescent="0.3">
      <c r="J1740" s="2" t="str">
        <f t="shared" si="27"/>
        <v>NO</v>
      </c>
      <c r="K1740" s="2" t="e">
        <f>VLOOKUP(F1740,Munka1!A:A,1,0)</f>
        <v>#N/A</v>
      </c>
    </row>
    <row r="1741" spans="10:11" hidden="1" x14ac:dyDescent="0.3">
      <c r="J1741" s="2" t="str">
        <f t="shared" si="27"/>
        <v>NO</v>
      </c>
      <c r="K1741" s="2" t="e">
        <f>VLOOKUP(F1741,Munka1!A:A,1,0)</f>
        <v>#N/A</v>
      </c>
    </row>
    <row r="1742" spans="10:11" hidden="1" x14ac:dyDescent="0.3">
      <c r="J1742" s="2" t="str">
        <f t="shared" si="27"/>
        <v>NO</v>
      </c>
      <c r="K1742" s="2" t="e">
        <f>VLOOKUP(F1742,Munka1!A:A,1,0)</f>
        <v>#N/A</v>
      </c>
    </row>
    <row r="1743" spans="10:11" hidden="1" x14ac:dyDescent="0.3">
      <c r="J1743" s="2" t="str">
        <f t="shared" si="27"/>
        <v>NO</v>
      </c>
      <c r="K1743" s="2" t="e">
        <f>VLOOKUP(F1743,Munka1!A:A,1,0)</f>
        <v>#N/A</v>
      </c>
    </row>
    <row r="1744" spans="10:11" hidden="1" x14ac:dyDescent="0.3">
      <c r="J1744" s="2" t="str">
        <f t="shared" si="27"/>
        <v>NO</v>
      </c>
      <c r="K1744" s="2" t="e">
        <f>VLOOKUP(F1744,Munka1!A:A,1,0)</f>
        <v>#N/A</v>
      </c>
    </row>
    <row r="1745" spans="10:11" hidden="1" x14ac:dyDescent="0.3">
      <c r="J1745" s="2" t="str">
        <f t="shared" si="27"/>
        <v>NO</v>
      </c>
      <c r="K1745" s="2" t="e">
        <f>VLOOKUP(F1745,Munka1!A:A,1,0)</f>
        <v>#N/A</v>
      </c>
    </row>
    <row r="1746" spans="10:11" hidden="1" x14ac:dyDescent="0.3">
      <c r="J1746" s="2" t="str">
        <f t="shared" si="27"/>
        <v>NO</v>
      </c>
      <c r="K1746" s="2" t="e">
        <f>VLOOKUP(F1746,Munka1!A:A,1,0)</f>
        <v>#N/A</v>
      </c>
    </row>
    <row r="1747" spans="10:11" hidden="1" x14ac:dyDescent="0.3">
      <c r="J1747" s="2" t="str">
        <f t="shared" si="27"/>
        <v>NO</v>
      </c>
      <c r="K1747" s="2" t="e">
        <f>VLOOKUP(F1747,Munka1!A:A,1,0)</f>
        <v>#N/A</v>
      </c>
    </row>
    <row r="1748" spans="10:11" hidden="1" x14ac:dyDescent="0.3">
      <c r="J1748" s="2" t="str">
        <f t="shared" si="27"/>
        <v>NO</v>
      </c>
      <c r="K1748" s="2" t="e">
        <f>VLOOKUP(F1748,Munka1!A:A,1,0)</f>
        <v>#N/A</v>
      </c>
    </row>
    <row r="1749" spans="10:11" hidden="1" x14ac:dyDescent="0.3">
      <c r="J1749" s="2" t="str">
        <f t="shared" si="27"/>
        <v>NO</v>
      </c>
      <c r="K1749" s="2" t="e">
        <f>VLOOKUP(F1749,Munka1!A:A,1,0)</f>
        <v>#N/A</v>
      </c>
    </row>
    <row r="1750" spans="10:11" hidden="1" x14ac:dyDescent="0.3">
      <c r="J1750" s="2" t="str">
        <f t="shared" si="27"/>
        <v>NO</v>
      </c>
      <c r="K1750" s="2" t="e">
        <f>VLOOKUP(F1750,Munka1!A:A,1,0)</f>
        <v>#N/A</v>
      </c>
    </row>
    <row r="1751" spans="10:11" hidden="1" x14ac:dyDescent="0.3">
      <c r="J1751" s="2" t="str">
        <f t="shared" si="27"/>
        <v>NO</v>
      </c>
      <c r="K1751" s="2" t="e">
        <f>VLOOKUP(F1751,Munka1!A:A,1,0)</f>
        <v>#N/A</v>
      </c>
    </row>
    <row r="1752" spans="10:11" hidden="1" x14ac:dyDescent="0.3">
      <c r="J1752" s="2" t="str">
        <f t="shared" si="27"/>
        <v>NO</v>
      </c>
      <c r="K1752" s="2" t="e">
        <f>VLOOKUP(F1752,Munka1!A:A,1,0)</f>
        <v>#N/A</v>
      </c>
    </row>
    <row r="1753" spans="10:11" hidden="1" x14ac:dyDescent="0.3">
      <c r="J1753" s="2" t="str">
        <f t="shared" si="27"/>
        <v>NO</v>
      </c>
      <c r="K1753" s="2" t="e">
        <f>VLOOKUP(F1753,Munka1!A:A,1,0)</f>
        <v>#N/A</v>
      </c>
    </row>
    <row r="1754" spans="10:11" hidden="1" x14ac:dyDescent="0.3">
      <c r="J1754" s="2" t="str">
        <f t="shared" si="27"/>
        <v>NO</v>
      </c>
      <c r="K1754" s="2" t="e">
        <f>VLOOKUP(F1754,Munka1!A:A,1,0)</f>
        <v>#N/A</v>
      </c>
    </row>
    <row r="1755" spans="10:11" hidden="1" x14ac:dyDescent="0.3">
      <c r="J1755" s="2" t="str">
        <f t="shared" si="27"/>
        <v>NO</v>
      </c>
      <c r="K1755" s="2" t="e">
        <f>VLOOKUP(F1755,Munka1!A:A,1,0)</f>
        <v>#N/A</v>
      </c>
    </row>
    <row r="1756" spans="10:11" hidden="1" x14ac:dyDescent="0.3">
      <c r="J1756" s="2" t="str">
        <f t="shared" si="27"/>
        <v>NO</v>
      </c>
      <c r="K1756" s="2" t="e">
        <f>VLOOKUP(F1756,Munka1!A:A,1,0)</f>
        <v>#N/A</v>
      </c>
    </row>
    <row r="1757" spans="10:11" hidden="1" x14ac:dyDescent="0.3">
      <c r="J1757" s="2" t="str">
        <f t="shared" si="27"/>
        <v>NO</v>
      </c>
      <c r="K1757" s="2" t="e">
        <f>VLOOKUP(F1757,Munka1!A:A,1,0)</f>
        <v>#N/A</v>
      </c>
    </row>
    <row r="1758" spans="10:11" hidden="1" x14ac:dyDescent="0.3">
      <c r="J1758" s="2" t="str">
        <f t="shared" si="27"/>
        <v>NO</v>
      </c>
      <c r="K1758" s="2" t="e">
        <f>VLOOKUP(F1758,Munka1!A:A,1,0)</f>
        <v>#N/A</v>
      </c>
    </row>
    <row r="1759" spans="10:11" hidden="1" x14ac:dyDescent="0.3">
      <c r="J1759" s="2" t="str">
        <f t="shared" si="27"/>
        <v>NO</v>
      </c>
      <c r="K1759" s="2" t="e">
        <f>VLOOKUP(F1759,Munka1!A:A,1,0)</f>
        <v>#N/A</v>
      </c>
    </row>
    <row r="1760" spans="10:11" hidden="1" x14ac:dyDescent="0.3">
      <c r="J1760" s="2" t="str">
        <f t="shared" si="27"/>
        <v>NO</v>
      </c>
      <c r="K1760" s="2" t="e">
        <f>VLOOKUP(F1760,Munka1!A:A,1,0)</f>
        <v>#N/A</v>
      </c>
    </row>
    <row r="1761" spans="10:11" hidden="1" x14ac:dyDescent="0.3">
      <c r="J1761" s="2" t="str">
        <f t="shared" si="27"/>
        <v>NO</v>
      </c>
      <c r="K1761" s="2" t="e">
        <f>VLOOKUP(F1761,Munka1!A:A,1,0)</f>
        <v>#N/A</v>
      </c>
    </row>
    <row r="1762" spans="10:11" hidden="1" x14ac:dyDescent="0.3">
      <c r="J1762" s="2" t="str">
        <f t="shared" si="27"/>
        <v>NO</v>
      </c>
      <c r="K1762" s="2" t="e">
        <f>VLOOKUP(F1762,Munka1!A:A,1,0)</f>
        <v>#N/A</v>
      </c>
    </row>
    <row r="1763" spans="10:11" hidden="1" x14ac:dyDescent="0.3">
      <c r="J1763" s="2" t="str">
        <f t="shared" si="27"/>
        <v>NO</v>
      </c>
      <c r="K1763" s="2" t="e">
        <f>VLOOKUP(F1763,Munka1!A:A,1,0)</f>
        <v>#N/A</v>
      </c>
    </row>
    <row r="1764" spans="10:11" hidden="1" x14ac:dyDescent="0.3">
      <c r="J1764" s="2" t="str">
        <f t="shared" si="27"/>
        <v>NO</v>
      </c>
      <c r="K1764" s="2" t="e">
        <f>VLOOKUP(F1764,Munka1!A:A,1,0)</f>
        <v>#N/A</v>
      </c>
    </row>
    <row r="1765" spans="10:11" hidden="1" x14ac:dyDescent="0.3">
      <c r="J1765" s="2" t="str">
        <f t="shared" si="27"/>
        <v>NO</v>
      </c>
      <c r="K1765" s="2" t="e">
        <f>VLOOKUP(F1765,Munka1!A:A,1,0)</f>
        <v>#N/A</v>
      </c>
    </row>
    <row r="1766" spans="10:11" hidden="1" x14ac:dyDescent="0.3">
      <c r="J1766" s="2" t="str">
        <f t="shared" si="27"/>
        <v>NO</v>
      </c>
      <c r="K1766" s="2" t="e">
        <f>VLOOKUP(F1766,Munka1!A:A,1,0)</f>
        <v>#N/A</v>
      </c>
    </row>
    <row r="1767" spans="10:11" hidden="1" x14ac:dyDescent="0.3">
      <c r="J1767" s="2" t="str">
        <f t="shared" si="27"/>
        <v>NO</v>
      </c>
      <c r="K1767" s="2" t="e">
        <f>VLOOKUP(F1767,Munka1!A:A,1,0)</f>
        <v>#N/A</v>
      </c>
    </row>
    <row r="1768" spans="10:11" hidden="1" x14ac:dyDescent="0.3">
      <c r="J1768" s="2" t="str">
        <f t="shared" si="27"/>
        <v>NO</v>
      </c>
      <c r="K1768" s="2" t="e">
        <f>VLOOKUP(F1768,Munka1!A:A,1,0)</f>
        <v>#N/A</v>
      </c>
    </row>
    <row r="1769" spans="10:11" hidden="1" x14ac:dyDescent="0.3">
      <c r="J1769" s="2" t="str">
        <f t="shared" si="27"/>
        <v>NO</v>
      </c>
      <c r="K1769" s="2" t="e">
        <f>VLOOKUP(F1769,Munka1!A:A,1,0)</f>
        <v>#N/A</v>
      </c>
    </row>
    <row r="1770" spans="10:11" hidden="1" x14ac:dyDescent="0.3">
      <c r="J1770" s="2" t="str">
        <f t="shared" si="27"/>
        <v>NO</v>
      </c>
      <c r="K1770" s="2" t="e">
        <f>VLOOKUP(F1770,Munka1!A:A,1,0)</f>
        <v>#N/A</v>
      </c>
    </row>
    <row r="1771" spans="10:11" hidden="1" x14ac:dyDescent="0.3">
      <c r="J1771" s="2" t="str">
        <f t="shared" si="27"/>
        <v>NO</v>
      </c>
      <c r="K1771" s="2" t="e">
        <f>VLOOKUP(F1771,Munka1!A:A,1,0)</f>
        <v>#N/A</v>
      </c>
    </row>
    <row r="1772" spans="10:11" hidden="1" x14ac:dyDescent="0.3">
      <c r="J1772" s="2" t="str">
        <f t="shared" si="27"/>
        <v>NO</v>
      </c>
      <c r="K1772" s="2" t="e">
        <f>VLOOKUP(F1772,Munka1!A:A,1,0)</f>
        <v>#N/A</v>
      </c>
    </row>
    <row r="1773" spans="10:11" hidden="1" x14ac:dyDescent="0.3">
      <c r="J1773" s="2" t="str">
        <f t="shared" si="27"/>
        <v>NO</v>
      </c>
      <c r="K1773" s="2" t="e">
        <f>VLOOKUP(F1773,Munka1!A:A,1,0)</f>
        <v>#N/A</v>
      </c>
    </row>
    <row r="1774" spans="10:11" hidden="1" x14ac:dyDescent="0.3">
      <c r="J1774" s="2" t="str">
        <f t="shared" si="27"/>
        <v>NO</v>
      </c>
      <c r="K1774" s="2" t="e">
        <f>VLOOKUP(F1774,Munka1!A:A,1,0)</f>
        <v>#N/A</v>
      </c>
    </row>
    <row r="1775" spans="10:11" hidden="1" x14ac:dyDescent="0.3">
      <c r="J1775" s="2" t="str">
        <f t="shared" si="27"/>
        <v>NO</v>
      </c>
      <c r="K1775" s="2" t="e">
        <f>VLOOKUP(F1775,Munka1!A:A,1,0)</f>
        <v>#N/A</v>
      </c>
    </row>
    <row r="1776" spans="10:11" hidden="1" x14ac:dyDescent="0.3">
      <c r="J1776" s="2" t="str">
        <f t="shared" si="27"/>
        <v>NO</v>
      </c>
      <c r="K1776" s="2" t="e">
        <f>VLOOKUP(F1776,Munka1!A:A,1,0)</f>
        <v>#N/A</v>
      </c>
    </row>
    <row r="1777" spans="10:11" hidden="1" x14ac:dyDescent="0.3">
      <c r="J1777" s="2" t="str">
        <f t="shared" si="27"/>
        <v>NO</v>
      </c>
      <c r="K1777" s="2" t="e">
        <f>VLOOKUP(F1777,Munka1!A:A,1,0)</f>
        <v>#N/A</v>
      </c>
    </row>
    <row r="1778" spans="10:11" hidden="1" x14ac:dyDescent="0.3">
      <c r="J1778" s="2" t="str">
        <f t="shared" si="27"/>
        <v>NO</v>
      </c>
      <c r="K1778" s="2" t="e">
        <f>VLOOKUP(F1778,Munka1!A:A,1,0)</f>
        <v>#N/A</v>
      </c>
    </row>
    <row r="1779" spans="10:11" hidden="1" x14ac:dyDescent="0.3">
      <c r="J1779" s="2" t="str">
        <f t="shared" si="27"/>
        <v>NO</v>
      </c>
      <c r="K1779" s="2" t="e">
        <f>VLOOKUP(F1779,Munka1!A:A,1,0)</f>
        <v>#N/A</v>
      </c>
    </row>
    <row r="1780" spans="10:11" hidden="1" x14ac:dyDescent="0.3">
      <c r="J1780" s="2" t="str">
        <f t="shared" si="27"/>
        <v>NO</v>
      </c>
      <c r="K1780" s="2" t="e">
        <f>VLOOKUP(F1780,Munka1!A:A,1,0)</f>
        <v>#N/A</v>
      </c>
    </row>
    <row r="1781" spans="10:11" hidden="1" x14ac:dyDescent="0.3">
      <c r="J1781" s="2" t="str">
        <f t="shared" si="27"/>
        <v>NO</v>
      </c>
      <c r="K1781" s="2" t="e">
        <f>VLOOKUP(F1781,Munka1!A:A,1,0)</f>
        <v>#N/A</v>
      </c>
    </row>
    <row r="1782" spans="10:11" hidden="1" x14ac:dyDescent="0.3">
      <c r="J1782" s="2" t="str">
        <f t="shared" si="27"/>
        <v>NO</v>
      </c>
      <c r="K1782" s="2" t="e">
        <f>VLOOKUP(F1782,Munka1!A:A,1,0)</f>
        <v>#N/A</v>
      </c>
    </row>
    <row r="1783" spans="10:11" hidden="1" x14ac:dyDescent="0.3">
      <c r="J1783" s="2" t="str">
        <f t="shared" si="27"/>
        <v>NO</v>
      </c>
      <c r="K1783" s="2" t="e">
        <f>VLOOKUP(F1783,Munka1!A:A,1,0)</f>
        <v>#N/A</v>
      </c>
    </row>
    <row r="1784" spans="10:11" hidden="1" x14ac:dyDescent="0.3">
      <c r="J1784" s="2" t="str">
        <f t="shared" si="27"/>
        <v>NO</v>
      </c>
      <c r="K1784" s="2" t="e">
        <f>VLOOKUP(F1784,Munka1!A:A,1,0)</f>
        <v>#N/A</v>
      </c>
    </row>
    <row r="1785" spans="10:11" hidden="1" x14ac:dyDescent="0.3">
      <c r="J1785" s="2" t="str">
        <f t="shared" si="27"/>
        <v>NO</v>
      </c>
      <c r="K1785" s="2" t="e">
        <f>VLOOKUP(F1785,Munka1!A:A,1,0)</f>
        <v>#N/A</v>
      </c>
    </row>
    <row r="1786" spans="10:11" hidden="1" x14ac:dyDescent="0.3">
      <c r="J1786" s="2" t="str">
        <f t="shared" si="27"/>
        <v>NO</v>
      </c>
      <c r="K1786" s="2" t="e">
        <f>VLOOKUP(F1786,Munka1!A:A,1,0)</f>
        <v>#N/A</v>
      </c>
    </row>
    <row r="1787" spans="10:11" hidden="1" x14ac:dyDescent="0.3">
      <c r="J1787" s="2" t="str">
        <f t="shared" si="27"/>
        <v>NO</v>
      </c>
      <c r="K1787" s="2" t="e">
        <f>VLOOKUP(F1787,Munka1!A:A,1,0)</f>
        <v>#N/A</v>
      </c>
    </row>
    <row r="1788" spans="10:11" hidden="1" x14ac:dyDescent="0.3">
      <c r="J1788" s="2" t="str">
        <f t="shared" si="27"/>
        <v>NO</v>
      </c>
      <c r="K1788" s="2" t="e">
        <f>VLOOKUP(F1788,Munka1!A:A,1,0)</f>
        <v>#N/A</v>
      </c>
    </row>
    <row r="1789" spans="10:11" hidden="1" x14ac:dyDescent="0.3">
      <c r="J1789" s="2" t="str">
        <f t="shared" si="27"/>
        <v>NO</v>
      </c>
      <c r="K1789" s="2" t="e">
        <f>VLOOKUP(F1789,Munka1!A:A,1,0)</f>
        <v>#N/A</v>
      </c>
    </row>
    <row r="1790" spans="10:11" hidden="1" x14ac:dyDescent="0.3">
      <c r="J1790" s="2" t="str">
        <f t="shared" si="27"/>
        <v>NO</v>
      </c>
      <c r="K1790" s="2" t="e">
        <f>VLOOKUP(F1790,Munka1!A:A,1,0)</f>
        <v>#N/A</v>
      </c>
    </row>
    <row r="1791" spans="10:11" hidden="1" x14ac:dyDescent="0.3">
      <c r="J1791" s="2" t="str">
        <f t="shared" si="27"/>
        <v>NO</v>
      </c>
      <c r="K1791" s="2" t="e">
        <f>VLOOKUP(F1791,Munka1!A:A,1,0)</f>
        <v>#N/A</v>
      </c>
    </row>
    <row r="1792" spans="10:11" hidden="1" x14ac:dyDescent="0.3">
      <c r="J1792" s="2" t="str">
        <f t="shared" si="27"/>
        <v>NO</v>
      </c>
      <c r="K1792" s="2" t="e">
        <f>VLOOKUP(F1792,Munka1!A:A,1,0)</f>
        <v>#N/A</v>
      </c>
    </row>
    <row r="1793" spans="10:11" hidden="1" x14ac:dyDescent="0.3">
      <c r="J1793" s="2" t="str">
        <f t="shared" si="27"/>
        <v>NO</v>
      </c>
      <c r="K1793" s="2" t="e">
        <f>VLOOKUP(F1793,Munka1!A:A,1,0)</f>
        <v>#N/A</v>
      </c>
    </row>
    <row r="1794" spans="10:11" hidden="1" x14ac:dyDescent="0.3">
      <c r="J1794" s="2" t="str">
        <f t="shared" si="27"/>
        <v>NO</v>
      </c>
      <c r="K1794" s="2" t="e">
        <f>VLOOKUP(F1794,Munka1!A:A,1,0)</f>
        <v>#N/A</v>
      </c>
    </row>
    <row r="1795" spans="10:11" hidden="1" x14ac:dyDescent="0.3">
      <c r="J1795" s="2" t="str">
        <f t="shared" ref="J1795:J1858" si="28">IF(OR(F1795="",F1795="_",LEFT(F1795,5)="SPARE",F1795="N/A"),"NO","YES")</f>
        <v>NO</v>
      </c>
      <c r="K1795" s="2" t="e">
        <f>VLOOKUP(F1795,Munka1!A:A,1,0)</f>
        <v>#N/A</v>
      </c>
    </row>
    <row r="1796" spans="10:11" hidden="1" x14ac:dyDescent="0.3">
      <c r="J1796" s="2" t="str">
        <f t="shared" si="28"/>
        <v>NO</v>
      </c>
      <c r="K1796" s="2" t="e">
        <f>VLOOKUP(F1796,Munka1!A:A,1,0)</f>
        <v>#N/A</v>
      </c>
    </row>
    <row r="1797" spans="10:11" hidden="1" x14ac:dyDescent="0.3">
      <c r="J1797" s="2" t="str">
        <f t="shared" si="28"/>
        <v>NO</v>
      </c>
      <c r="K1797" s="2" t="e">
        <f>VLOOKUP(F1797,Munka1!A:A,1,0)</f>
        <v>#N/A</v>
      </c>
    </row>
    <row r="1798" spans="10:11" hidden="1" x14ac:dyDescent="0.3">
      <c r="J1798" s="2" t="str">
        <f t="shared" si="28"/>
        <v>NO</v>
      </c>
      <c r="K1798" s="2" t="e">
        <f>VLOOKUP(F1798,Munka1!A:A,1,0)</f>
        <v>#N/A</v>
      </c>
    </row>
    <row r="1799" spans="10:11" hidden="1" x14ac:dyDescent="0.3">
      <c r="J1799" s="2" t="str">
        <f t="shared" si="28"/>
        <v>NO</v>
      </c>
      <c r="K1799" s="2" t="e">
        <f>VLOOKUP(F1799,Munka1!A:A,1,0)</f>
        <v>#N/A</v>
      </c>
    </row>
    <row r="1800" spans="10:11" hidden="1" x14ac:dyDescent="0.3">
      <c r="J1800" s="2" t="str">
        <f t="shared" si="28"/>
        <v>NO</v>
      </c>
      <c r="K1800" s="2" t="e">
        <f>VLOOKUP(F1800,Munka1!A:A,1,0)</f>
        <v>#N/A</v>
      </c>
    </row>
    <row r="1801" spans="10:11" hidden="1" x14ac:dyDescent="0.3">
      <c r="J1801" s="2" t="str">
        <f t="shared" si="28"/>
        <v>NO</v>
      </c>
      <c r="K1801" s="2" t="e">
        <f>VLOOKUP(F1801,Munka1!A:A,1,0)</f>
        <v>#N/A</v>
      </c>
    </row>
    <row r="1802" spans="10:11" hidden="1" x14ac:dyDescent="0.3">
      <c r="J1802" s="2" t="str">
        <f t="shared" si="28"/>
        <v>NO</v>
      </c>
      <c r="K1802" s="2" t="e">
        <f>VLOOKUP(F1802,Munka1!A:A,1,0)</f>
        <v>#N/A</v>
      </c>
    </row>
    <row r="1803" spans="10:11" hidden="1" x14ac:dyDescent="0.3">
      <c r="J1803" s="2" t="str">
        <f t="shared" si="28"/>
        <v>NO</v>
      </c>
      <c r="K1803" s="2" t="e">
        <f>VLOOKUP(F1803,Munka1!A:A,1,0)</f>
        <v>#N/A</v>
      </c>
    </row>
    <row r="1804" spans="10:11" hidden="1" x14ac:dyDescent="0.3">
      <c r="J1804" s="2" t="str">
        <f t="shared" si="28"/>
        <v>NO</v>
      </c>
      <c r="K1804" s="2" t="e">
        <f>VLOOKUP(F1804,Munka1!A:A,1,0)</f>
        <v>#N/A</v>
      </c>
    </row>
    <row r="1805" spans="10:11" hidden="1" x14ac:dyDescent="0.3">
      <c r="J1805" s="2" t="str">
        <f t="shared" si="28"/>
        <v>NO</v>
      </c>
      <c r="K1805" s="2" t="e">
        <f>VLOOKUP(F1805,Munka1!A:A,1,0)</f>
        <v>#N/A</v>
      </c>
    </row>
    <row r="1806" spans="10:11" hidden="1" x14ac:dyDescent="0.3">
      <c r="J1806" s="2" t="str">
        <f t="shared" si="28"/>
        <v>NO</v>
      </c>
      <c r="K1806" s="2" t="e">
        <f>VLOOKUP(F1806,Munka1!A:A,1,0)</f>
        <v>#N/A</v>
      </c>
    </row>
    <row r="1807" spans="10:11" hidden="1" x14ac:dyDescent="0.3">
      <c r="J1807" s="2" t="str">
        <f t="shared" si="28"/>
        <v>NO</v>
      </c>
      <c r="K1807" s="2" t="e">
        <f>VLOOKUP(F1807,Munka1!A:A,1,0)</f>
        <v>#N/A</v>
      </c>
    </row>
    <row r="1808" spans="10:11" hidden="1" x14ac:dyDescent="0.3">
      <c r="J1808" s="2" t="str">
        <f t="shared" si="28"/>
        <v>NO</v>
      </c>
      <c r="K1808" s="2" t="e">
        <f>VLOOKUP(F1808,Munka1!A:A,1,0)</f>
        <v>#N/A</v>
      </c>
    </row>
    <row r="1809" spans="10:11" hidden="1" x14ac:dyDescent="0.3">
      <c r="J1809" s="2" t="str">
        <f t="shared" si="28"/>
        <v>NO</v>
      </c>
      <c r="K1809" s="2" t="e">
        <f>VLOOKUP(F1809,Munka1!A:A,1,0)</f>
        <v>#N/A</v>
      </c>
    </row>
    <row r="1810" spans="10:11" hidden="1" x14ac:dyDescent="0.3">
      <c r="J1810" s="2" t="str">
        <f t="shared" si="28"/>
        <v>NO</v>
      </c>
      <c r="K1810" s="2" t="e">
        <f>VLOOKUP(F1810,Munka1!A:A,1,0)</f>
        <v>#N/A</v>
      </c>
    </row>
    <row r="1811" spans="10:11" hidden="1" x14ac:dyDescent="0.3">
      <c r="J1811" s="2" t="str">
        <f t="shared" si="28"/>
        <v>NO</v>
      </c>
      <c r="K1811" s="2" t="e">
        <f>VLOOKUP(F1811,Munka1!A:A,1,0)</f>
        <v>#N/A</v>
      </c>
    </row>
    <row r="1812" spans="10:11" hidden="1" x14ac:dyDescent="0.3">
      <c r="J1812" s="2" t="str">
        <f t="shared" si="28"/>
        <v>NO</v>
      </c>
      <c r="K1812" s="2" t="e">
        <f>VLOOKUP(F1812,Munka1!A:A,1,0)</f>
        <v>#N/A</v>
      </c>
    </row>
    <row r="1813" spans="10:11" hidden="1" x14ac:dyDescent="0.3">
      <c r="J1813" s="2" t="str">
        <f t="shared" si="28"/>
        <v>NO</v>
      </c>
      <c r="K1813" s="2" t="e">
        <f>VLOOKUP(F1813,Munka1!A:A,1,0)</f>
        <v>#N/A</v>
      </c>
    </row>
    <row r="1814" spans="10:11" hidden="1" x14ac:dyDescent="0.3">
      <c r="J1814" s="2" t="str">
        <f t="shared" si="28"/>
        <v>NO</v>
      </c>
      <c r="K1814" s="2" t="e">
        <f>VLOOKUP(F1814,Munka1!A:A,1,0)</f>
        <v>#N/A</v>
      </c>
    </row>
    <row r="1815" spans="10:11" hidden="1" x14ac:dyDescent="0.3">
      <c r="J1815" s="2" t="str">
        <f t="shared" si="28"/>
        <v>NO</v>
      </c>
      <c r="K1815" s="2" t="e">
        <f>VLOOKUP(F1815,Munka1!A:A,1,0)</f>
        <v>#N/A</v>
      </c>
    </row>
    <row r="1816" spans="10:11" hidden="1" x14ac:dyDescent="0.3">
      <c r="J1816" s="2" t="str">
        <f t="shared" si="28"/>
        <v>NO</v>
      </c>
      <c r="K1816" s="2" t="e">
        <f>VLOOKUP(F1816,Munka1!A:A,1,0)</f>
        <v>#N/A</v>
      </c>
    </row>
    <row r="1817" spans="10:11" hidden="1" x14ac:dyDescent="0.3">
      <c r="J1817" s="2" t="str">
        <f t="shared" si="28"/>
        <v>NO</v>
      </c>
      <c r="K1817" s="2" t="e">
        <f>VLOOKUP(F1817,Munka1!A:A,1,0)</f>
        <v>#N/A</v>
      </c>
    </row>
    <row r="1818" spans="10:11" hidden="1" x14ac:dyDescent="0.3">
      <c r="J1818" s="2" t="str">
        <f t="shared" si="28"/>
        <v>NO</v>
      </c>
      <c r="K1818" s="2" t="e">
        <f>VLOOKUP(F1818,Munka1!A:A,1,0)</f>
        <v>#N/A</v>
      </c>
    </row>
    <row r="1819" spans="10:11" hidden="1" x14ac:dyDescent="0.3">
      <c r="J1819" s="2" t="str">
        <f t="shared" si="28"/>
        <v>NO</v>
      </c>
      <c r="K1819" s="2" t="e">
        <f>VLOOKUP(F1819,Munka1!A:A,1,0)</f>
        <v>#N/A</v>
      </c>
    </row>
    <row r="1820" spans="10:11" hidden="1" x14ac:dyDescent="0.3">
      <c r="J1820" s="2" t="str">
        <f t="shared" si="28"/>
        <v>NO</v>
      </c>
      <c r="K1820" s="2" t="e">
        <f>VLOOKUP(F1820,Munka1!A:A,1,0)</f>
        <v>#N/A</v>
      </c>
    </row>
    <row r="1821" spans="10:11" hidden="1" x14ac:dyDescent="0.3">
      <c r="J1821" s="2" t="str">
        <f t="shared" si="28"/>
        <v>NO</v>
      </c>
      <c r="K1821" s="2" t="e">
        <f>VLOOKUP(F1821,Munka1!A:A,1,0)</f>
        <v>#N/A</v>
      </c>
    </row>
    <row r="1822" spans="10:11" hidden="1" x14ac:dyDescent="0.3">
      <c r="J1822" s="2" t="str">
        <f t="shared" si="28"/>
        <v>NO</v>
      </c>
      <c r="K1822" s="2" t="e">
        <f>VLOOKUP(F1822,Munka1!A:A,1,0)</f>
        <v>#N/A</v>
      </c>
    </row>
    <row r="1823" spans="10:11" hidden="1" x14ac:dyDescent="0.3">
      <c r="J1823" s="2" t="str">
        <f t="shared" si="28"/>
        <v>NO</v>
      </c>
      <c r="K1823" s="2" t="e">
        <f>VLOOKUP(F1823,Munka1!A:A,1,0)</f>
        <v>#N/A</v>
      </c>
    </row>
    <row r="1824" spans="10:11" hidden="1" x14ac:dyDescent="0.3">
      <c r="J1824" s="2" t="str">
        <f t="shared" si="28"/>
        <v>NO</v>
      </c>
      <c r="K1824" s="2" t="e">
        <f>VLOOKUP(F1824,Munka1!A:A,1,0)</f>
        <v>#N/A</v>
      </c>
    </row>
    <row r="1825" spans="10:11" hidden="1" x14ac:dyDescent="0.3">
      <c r="J1825" s="2" t="str">
        <f t="shared" si="28"/>
        <v>NO</v>
      </c>
      <c r="K1825" s="2" t="e">
        <f>VLOOKUP(F1825,Munka1!A:A,1,0)</f>
        <v>#N/A</v>
      </c>
    </row>
    <row r="1826" spans="10:11" hidden="1" x14ac:dyDescent="0.3">
      <c r="J1826" s="2" t="str">
        <f t="shared" si="28"/>
        <v>NO</v>
      </c>
      <c r="K1826" s="2" t="e">
        <f>VLOOKUP(F1826,Munka1!A:A,1,0)</f>
        <v>#N/A</v>
      </c>
    </row>
    <row r="1827" spans="10:11" hidden="1" x14ac:dyDescent="0.3">
      <c r="J1827" s="2" t="str">
        <f t="shared" si="28"/>
        <v>NO</v>
      </c>
      <c r="K1827" s="2" t="e">
        <f>VLOOKUP(F1827,Munka1!A:A,1,0)</f>
        <v>#N/A</v>
      </c>
    </row>
    <row r="1828" spans="10:11" hidden="1" x14ac:dyDescent="0.3">
      <c r="J1828" s="2" t="str">
        <f t="shared" si="28"/>
        <v>NO</v>
      </c>
      <c r="K1828" s="2" t="e">
        <f>VLOOKUP(F1828,Munka1!A:A,1,0)</f>
        <v>#N/A</v>
      </c>
    </row>
    <row r="1829" spans="10:11" hidden="1" x14ac:dyDescent="0.3">
      <c r="J1829" s="2" t="str">
        <f t="shared" si="28"/>
        <v>NO</v>
      </c>
      <c r="K1829" s="2" t="e">
        <f>VLOOKUP(F1829,Munka1!A:A,1,0)</f>
        <v>#N/A</v>
      </c>
    </row>
    <row r="1830" spans="10:11" hidden="1" x14ac:dyDescent="0.3">
      <c r="J1830" s="2" t="str">
        <f t="shared" si="28"/>
        <v>NO</v>
      </c>
      <c r="K1830" s="2" t="e">
        <f>VLOOKUP(F1830,Munka1!A:A,1,0)</f>
        <v>#N/A</v>
      </c>
    </row>
    <row r="1831" spans="10:11" hidden="1" x14ac:dyDescent="0.3">
      <c r="J1831" s="2" t="str">
        <f t="shared" si="28"/>
        <v>NO</v>
      </c>
      <c r="K1831" s="2" t="e">
        <f>VLOOKUP(F1831,Munka1!A:A,1,0)</f>
        <v>#N/A</v>
      </c>
    </row>
    <row r="1832" spans="10:11" hidden="1" x14ac:dyDescent="0.3">
      <c r="J1832" s="2" t="str">
        <f t="shared" si="28"/>
        <v>NO</v>
      </c>
      <c r="K1832" s="2" t="e">
        <f>VLOOKUP(F1832,Munka1!A:A,1,0)</f>
        <v>#N/A</v>
      </c>
    </row>
    <row r="1833" spans="10:11" hidden="1" x14ac:dyDescent="0.3">
      <c r="J1833" s="2" t="str">
        <f t="shared" si="28"/>
        <v>NO</v>
      </c>
      <c r="K1833" s="2" t="e">
        <f>VLOOKUP(F1833,Munka1!A:A,1,0)</f>
        <v>#N/A</v>
      </c>
    </row>
    <row r="1834" spans="10:11" hidden="1" x14ac:dyDescent="0.3">
      <c r="J1834" s="2" t="str">
        <f t="shared" si="28"/>
        <v>NO</v>
      </c>
      <c r="K1834" s="2" t="e">
        <f>VLOOKUP(F1834,Munka1!A:A,1,0)</f>
        <v>#N/A</v>
      </c>
    </row>
    <row r="1835" spans="10:11" hidden="1" x14ac:dyDescent="0.3">
      <c r="J1835" s="2" t="str">
        <f t="shared" si="28"/>
        <v>NO</v>
      </c>
      <c r="K1835" s="2" t="e">
        <f>VLOOKUP(F1835,Munka1!A:A,1,0)</f>
        <v>#N/A</v>
      </c>
    </row>
    <row r="1836" spans="10:11" hidden="1" x14ac:dyDescent="0.3">
      <c r="J1836" s="2" t="str">
        <f t="shared" si="28"/>
        <v>NO</v>
      </c>
      <c r="K1836" s="2" t="e">
        <f>VLOOKUP(F1836,Munka1!A:A,1,0)</f>
        <v>#N/A</v>
      </c>
    </row>
    <row r="1837" spans="10:11" hidden="1" x14ac:dyDescent="0.3">
      <c r="J1837" s="2" t="str">
        <f t="shared" si="28"/>
        <v>NO</v>
      </c>
      <c r="K1837" s="2" t="e">
        <f>VLOOKUP(F1837,Munka1!A:A,1,0)</f>
        <v>#N/A</v>
      </c>
    </row>
    <row r="1838" spans="10:11" hidden="1" x14ac:dyDescent="0.3">
      <c r="J1838" s="2" t="str">
        <f t="shared" si="28"/>
        <v>NO</v>
      </c>
      <c r="K1838" s="2" t="e">
        <f>VLOOKUP(F1838,Munka1!A:A,1,0)</f>
        <v>#N/A</v>
      </c>
    </row>
    <row r="1839" spans="10:11" hidden="1" x14ac:dyDescent="0.3">
      <c r="J1839" s="2" t="str">
        <f t="shared" si="28"/>
        <v>NO</v>
      </c>
      <c r="K1839" s="2" t="e">
        <f>VLOOKUP(F1839,Munka1!A:A,1,0)</f>
        <v>#N/A</v>
      </c>
    </row>
    <row r="1840" spans="10:11" hidden="1" x14ac:dyDescent="0.3">
      <c r="J1840" s="2" t="str">
        <f t="shared" si="28"/>
        <v>NO</v>
      </c>
      <c r="K1840" s="2" t="e">
        <f>VLOOKUP(F1840,Munka1!A:A,1,0)</f>
        <v>#N/A</v>
      </c>
    </row>
    <row r="1841" spans="10:11" hidden="1" x14ac:dyDescent="0.3">
      <c r="J1841" s="2" t="str">
        <f t="shared" si="28"/>
        <v>NO</v>
      </c>
      <c r="K1841" s="2" t="e">
        <f>VLOOKUP(F1841,Munka1!A:A,1,0)</f>
        <v>#N/A</v>
      </c>
    </row>
    <row r="1842" spans="10:11" hidden="1" x14ac:dyDescent="0.3">
      <c r="J1842" s="2" t="str">
        <f t="shared" si="28"/>
        <v>NO</v>
      </c>
      <c r="K1842" s="2" t="e">
        <f>VLOOKUP(F1842,Munka1!A:A,1,0)</f>
        <v>#N/A</v>
      </c>
    </row>
    <row r="1843" spans="10:11" hidden="1" x14ac:dyDescent="0.3">
      <c r="J1843" s="2" t="str">
        <f t="shared" si="28"/>
        <v>NO</v>
      </c>
      <c r="K1843" s="2" t="e">
        <f>VLOOKUP(F1843,Munka1!A:A,1,0)</f>
        <v>#N/A</v>
      </c>
    </row>
    <row r="1844" spans="10:11" hidden="1" x14ac:dyDescent="0.3">
      <c r="J1844" s="2" t="str">
        <f t="shared" si="28"/>
        <v>NO</v>
      </c>
      <c r="K1844" s="2" t="e">
        <f>VLOOKUP(F1844,Munka1!A:A,1,0)</f>
        <v>#N/A</v>
      </c>
    </row>
    <row r="1845" spans="10:11" hidden="1" x14ac:dyDescent="0.3">
      <c r="J1845" s="2" t="str">
        <f t="shared" si="28"/>
        <v>NO</v>
      </c>
      <c r="K1845" s="2" t="e">
        <f>VLOOKUP(F1845,Munka1!A:A,1,0)</f>
        <v>#N/A</v>
      </c>
    </row>
    <row r="1846" spans="10:11" hidden="1" x14ac:dyDescent="0.3">
      <c r="J1846" s="2" t="str">
        <f t="shared" si="28"/>
        <v>NO</v>
      </c>
      <c r="K1846" s="2" t="e">
        <f>VLOOKUP(F1846,Munka1!A:A,1,0)</f>
        <v>#N/A</v>
      </c>
    </row>
    <row r="1847" spans="10:11" hidden="1" x14ac:dyDescent="0.3">
      <c r="J1847" s="2" t="str">
        <f t="shared" si="28"/>
        <v>NO</v>
      </c>
      <c r="K1847" s="2" t="e">
        <f>VLOOKUP(F1847,Munka1!A:A,1,0)</f>
        <v>#N/A</v>
      </c>
    </row>
    <row r="1848" spans="10:11" hidden="1" x14ac:dyDescent="0.3">
      <c r="J1848" s="2" t="str">
        <f t="shared" si="28"/>
        <v>NO</v>
      </c>
      <c r="K1848" s="2" t="e">
        <f>VLOOKUP(F1848,Munka1!A:A,1,0)</f>
        <v>#N/A</v>
      </c>
    </row>
    <row r="1849" spans="10:11" hidden="1" x14ac:dyDescent="0.3">
      <c r="J1849" s="2" t="str">
        <f t="shared" si="28"/>
        <v>NO</v>
      </c>
      <c r="K1849" s="2" t="e">
        <f>VLOOKUP(F1849,Munka1!A:A,1,0)</f>
        <v>#N/A</v>
      </c>
    </row>
    <row r="1850" spans="10:11" hidden="1" x14ac:dyDescent="0.3">
      <c r="J1850" s="2" t="str">
        <f t="shared" si="28"/>
        <v>NO</v>
      </c>
      <c r="K1850" s="2" t="e">
        <f>VLOOKUP(F1850,Munka1!A:A,1,0)</f>
        <v>#N/A</v>
      </c>
    </row>
    <row r="1851" spans="10:11" hidden="1" x14ac:dyDescent="0.3">
      <c r="J1851" s="2" t="str">
        <f t="shared" si="28"/>
        <v>NO</v>
      </c>
      <c r="K1851" s="2" t="e">
        <f>VLOOKUP(F1851,Munka1!A:A,1,0)</f>
        <v>#N/A</v>
      </c>
    </row>
    <row r="1852" spans="10:11" hidden="1" x14ac:dyDescent="0.3">
      <c r="J1852" s="2" t="str">
        <f t="shared" si="28"/>
        <v>NO</v>
      </c>
      <c r="K1852" s="2" t="e">
        <f>VLOOKUP(F1852,Munka1!A:A,1,0)</f>
        <v>#N/A</v>
      </c>
    </row>
    <row r="1853" spans="10:11" hidden="1" x14ac:dyDescent="0.3">
      <c r="J1853" s="2" t="str">
        <f t="shared" si="28"/>
        <v>NO</v>
      </c>
      <c r="K1853" s="2" t="e">
        <f>VLOOKUP(F1853,Munka1!A:A,1,0)</f>
        <v>#N/A</v>
      </c>
    </row>
    <row r="1854" spans="10:11" hidden="1" x14ac:dyDescent="0.3">
      <c r="J1854" s="2" t="str">
        <f t="shared" si="28"/>
        <v>NO</v>
      </c>
      <c r="K1854" s="2" t="e">
        <f>VLOOKUP(F1854,Munka1!A:A,1,0)</f>
        <v>#N/A</v>
      </c>
    </row>
    <row r="1855" spans="10:11" hidden="1" x14ac:dyDescent="0.3">
      <c r="J1855" s="2" t="str">
        <f t="shared" si="28"/>
        <v>NO</v>
      </c>
      <c r="K1855" s="2" t="e">
        <f>VLOOKUP(F1855,Munka1!A:A,1,0)</f>
        <v>#N/A</v>
      </c>
    </row>
    <row r="1856" spans="10:11" hidden="1" x14ac:dyDescent="0.3">
      <c r="J1856" s="2" t="str">
        <f t="shared" si="28"/>
        <v>NO</v>
      </c>
      <c r="K1856" s="2" t="e">
        <f>VLOOKUP(F1856,Munka1!A:A,1,0)</f>
        <v>#N/A</v>
      </c>
    </row>
    <row r="1857" spans="10:11" hidden="1" x14ac:dyDescent="0.3">
      <c r="J1857" s="2" t="str">
        <f t="shared" si="28"/>
        <v>NO</v>
      </c>
      <c r="K1857" s="2" t="e">
        <f>VLOOKUP(F1857,Munka1!A:A,1,0)</f>
        <v>#N/A</v>
      </c>
    </row>
    <row r="1858" spans="10:11" hidden="1" x14ac:dyDescent="0.3">
      <c r="J1858" s="2" t="str">
        <f t="shared" si="28"/>
        <v>NO</v>
      </c>
      <c r="K1858" s="2" t="e">
        <f>VLOOKUP(F1858,Munka1!A:A,1,0)</f>
        <v>#N/A</v>
      </c>
    </row>
    <row r="1859" spans="10:11" hidden="1" x14ac:dyDescent="0.3">
      <c r="J1859" s="2" t="str">
        <f t="shared" ref="J1859:J1922" si="29">IF(OR(F1859="",F1859="_",LEFT(F1859,5)="SPARE",F1859="N/A"),"NO","YES")</f>
        <v>NO</v>
      </c>
      <c r="K1859" s="2" t="e">
        <f>VLOOKUP(F1859,Munka1!A:A,1,0)</f>
        <v>#N/A</v>
      </c>
    </row>
    <row r="1860" spans="10:11" hidden="1" x14ac:dyDescent="0.3">
      <c r="J1860" s="2" t="str">
        <f t="shared" si="29"/>
        <v>NO</v>
      </c>
      <c r="K1860" s="2" t="e">
        <f>VLOOKUP(F1860,Munka1!A:A,1,0)</f>
        <v>#N/A</v>
      </c>
    </row>
    <row r="1861" spans="10:11" hidden="1" x14ac:dyDescent="0.3">
      <c r="J1861" s="2" t="str">
        <f t="shared" si="29"/>
        <v>NO</v>
      </c>
      <c r="K1861" s="2" t="e">
        <f>VLOOKUP(F1861,Munka1!A:A,1,0)</f>
        <v>#N/A</v>
      </c>
    </row>
    <row r="1862" spans="10:11" hidden="1" x14ac:dyDescent="0.3">
      <c r="J1862" s="2" t="str">
        <f t="shared" si="29"/>
        <v>NO</v>
      </c>
      <c r="K1862" s="2" t="e">
        <f>VLOOKUP(F1862,Munka1!A:A,1,0)</f>
        <v>#N/A</v>
      </c>
    </row>
    <row r="1863" spans="10:11" hidden="1" x14ac:dyDescent="0.3">
      <c r="J1863" s="2" t="str">
        <f t="shared" si="29"/>
        <v>NO</v>
      </c>
      <c r="K1863" s="2" t="e">
        <f>VLOOKUP(F1863,Munka1!A:A,1,0)</f>
        <v>#N/A</v>
      </c>
    </row>
    <row r="1864" spans="10:11" hidden="1" x14ac:dyDescent="0.3">
      <c r="J1864" s="2" t="str">
        <f t="shared" si="29"/>
        <v>NO</v>
      </c>
      <c r="K1864" s="2" t="e">
        <f>VLOOKUP(F1864,Munka1!A:A,1,0)</f>
        <v>#N/A</v>
      </c>
    </row>
    <row r="1865" spans="10:11" hidden="1" x14ac:dyDescent="0.3">
      <c r="J1865" s="2" t="str">
        <f t="shared" si="29"/>
        <v>NO</v>
      </c>
      <c r="K1865" s="2" t="e">
        <f>VLOOKUP(F1865,Munka1!A:A,1,0)</f>
        <v>#N/A</v>
      </c>
    </row>
    <row r="1866" spans="10:11" hidden="1" x14ac:dyDescent="0.3">
      <c r="J1866" s="2" t="str">
        <f t="shared" si="29"/>
        <v>NO</v>
      </c>
      <c r="K1866" s="2" t="e">
        <f>VLOOKUP(F1866,Munka1!A:A,1,0)</f>
        <v>#N/A</v>
      </c>
    </row>
    <row r="1867" spans="10:11" hidden="1" x14ac:dyDescent="0.3">
      <c r="J1867" s="2" t="str">
        <f t="shared" si="29"/>
        <v>NO</v>
      </c>
      <c r="K1867" s="2" t="e">
        <f>VLOOKUP(F1867,Munka1!A:A,1,0)</f>
        <v>#N/A</v>
      </c>
    </row>
    <row r="1868" spans="10:11" hidden="1" x14ac:dyDescent="0.3">
      <c r="J1868" s="2" t="str">
        <f t="shared" si="29"/>
        <v>NO</v>
      </c>
      <c r="K1868" s="2" t="e">
        <f>VLOOKUP(F1868,Munka1!A:A,1,0)</f>
        <v>#N/A</v>
      </c>
    </row>
    <row r="1869" spans="10:11" hidden="1" x14ac:dyDescent="0.3">
      <c r="J1869" s="2" t="str">
        <f t="shared" si="29"/>
        <v>NO</v>
      </c>
      <c r="K1869" s="2" t="e">
        <f>VLOOKUP(F1869,Munka1!A:A,1,0)</f>
        <v>#N/A</v>
      </c>
    </row>
    <row r="1870" spans="10:11" hidden="1" x14ac:dyDescent="0.3">
      <c r="J1870" s="2" t="str">
        <f t="shared" si="29"/>
        <v>NO</v>
      </c>
      <c r="K1870" s="2" t="e">
        <f>VLOOKUP(F1870,Munka1!A:A,1,0)</f>
        <v>#N/A</v>
      </c>
    </row>
    <row r="1871" spans="10:11" hidden="1" x14ac:dyDescent="0.3">
      <c r="J1871" s="2" t="str">
        <f t="shared" si="29"/>
        <v>NO</v>
      </c>
      <c r="K1871" s="2" t="e">
        <f>VLOOKUP(F1871,Munka1!A:A,1,0)</f>
        <v>#N/A</v>
      </c>
    </row>
    <row r="1872" spans="10:11" hidden="1" x14ac:dyDescent="0.3">
      <c r="J1872" s="2" t="str">
        <f t="shared" si="29"/>
        <v>NO</v>
      </c>
      <c r="K1872" s="2" t="e">
        <f>VLOOKUP(F1872,Munka1!A:A,1,0)</f>
        <v>#N/A</v>
      </c>
    </row>
    <row r="1873" spans="10:11" hidden="1" x14ac:dyDescent="0.3">
      <c r="J1873" s="2" t="str">
        <f t="shared" si="29"/>
        <v>NO</v>
      </c>
      <c r="K1873" s="2" t="e">
        <f>VLOOKUP(F1873,Munka1!A:A,1,0)</f>
        <v>#N/A</v>
      </c>
    </row>
    <row r="1874" spans="10:11" hidden="1" x14ac:dyDescent="0.3">
      <c r="J1874" s="2" t="str">
        <f t="shared" si="29"/>
        <v>NO</v>
      </c>
      <c r="K1874" s="2" t="e">
        <f>VLOOKUP(F1874,Munka1!A:A,1,0)</f>
        <v>#N/A</v>
      </c>
    </row>
    <row r="1875" spans="10:11" hidden="1" x14ac:dyDescent="0.3">
      <c r="J1875" s="2" t="str">
        <f t="shared" si="29"/>
        <v>NO</v>
      </c>
      <c r="K1875" s="2" t="e">
        <f>VLOOKUP(F1875,Munka1!A:A,1,0)</f>
        <v>#N/A</v>
      </c>
    </row>
    <row r="1876" spans="10:11" hidden="1" x14ac:dyDescent="0.3">
      <c r="J1876" s="2" t="str">
        <f t="shared" si="29"/>
        <v>NO</v>
      </c>
      <c r="K1876" s="2" t="e">
        <f>VLOOKUP(F1876,Munka1!A:A,1,0)</f>
        <v>#N/A</v>
      </c>
    </row>
    <row r="1877" spans="10:11" hidden="1" x14ac:dyDescent="0.3">
      <c r="J1877" s="2" t="str">
        <f t="shared" si="29"/>
        <v>NO</v>
      </c>
      <c r="K1877" s="2" t="e">
        <f>VLOOKUP(F1877,Munka1!A:A,1,0)</f>
        <v>#N/A</v>
      </c>
    </row>
    <row r="1878" spans="10:11" hidden="1" x14ac:dyDescent="0.3">
      <c r="J1878" s="2" t="str">
        <f t="shared" si="29"/>
        <v>NO</v>
      </c>
      <c r="K1878" s="2" t="e">
        <f>VLOOKUP(F1878,Munka1!A:A,1,0)</f>
        <v>#N/A</v>
      </c>
    </row>
    <row r="1879" spans="10:11" hidden="1" x14ac:dyDescent="0.3">
      <c r="J1879" s="2" t="str">
        <f t="shared" si="29"/>
        <v>NO</v>
      </c>
      <c r="K1879" s="2" t="e">
        <f>VLOOKUP(F1879,Munka1!A:A,1,0)</f>
        <v>#N/A</v>
      </c>
    </row>
    <row r="1880" spans="10:11" hidden="1" x14ac:dyDescent="0.3">
      <c r="J1880" s="2" t="str">
        <f t="shared" si="29"/>
        <v>NO</v>
      </c>
      <c r="K1880" s="2" t="e">
        <f>VLOOKUP(F1880,Munka1!A:A,1,0)</f>
        <v>#N/A</v>
      </c>
    </row>
    <row r="1881" spans="10:11" hidden="1" x14ac:dyDescent="0.3">
      <c r="J1881" s="2" t="str">
        <f t="shared" si="29"/>
        <v>NO</v>
      </c>
      <c r="K1881" s="2" t="e">
        <f>VLOOKUP(F1881,Munka1!A:A,1,0)</f>
        <v>#N/A</v>
      </c>
    </row>
    <row r="1882" spans="10:11" hidden="1" x14ac:dyDescent="0.3">
      <c r="J1882" s="2" t="str">
        <f t="shared" si="29"/>
        <v>NO</v>
      </c>
      <c r="K1882" s="2" t="e">
        <f>VLOOKUP(F1882,Munka1!A:A,1,0)</f>
        <v>#N/A</v>
      </c>
    </row>
    <row r="1883" spans="10:11" hidden="1" x14ac:dyDescent="0.3">
      <c r="J1883" s="2" t="str">
        <f t="shared" si="29"/>
        <v>NO</v>
      </c>
      <c r="K1883" s="2" t="e">
        <f>VLOOKUP(F1883,Munka1!A:A,1,0)</f>
        <v>#N/A</v>
      </c>
    </row>
    <row r="1884" spans="10:11" hidden="1" x14ac:dyDescent="0.3">
      <c r="J1884" s="2" t="str">
        <f t="shared" si="29"/>
        <v>NO</v>
      </c>
      <c r="K1884" s="2" t="e">
        <f>VLOOKUP(F1884,Munka1!A:A,1,0)</f>
        <v>#N/A</v>
      </c>
    </row>
    <row r="1885" spans="10:11" hidden="1" x14ac:dyDescent="0.3">
      <c r="J1885" s="2" t="str">
        <f t="shared" si="29"/>
        <v>NO</v>
      </c>
      <c r="K1885" s="2" t="e">
        <f>VLOOKUP(F1885,Munka1!A:A,1,0)</f>
        <v>#N/A</v>
      </c>
    </row>
    <row r="1886" spans="10:11" hidden="1" x14ac:dyDescent="0.3">
      <c r="J1886" s="2" t="str">
        <f t="shared" si="29"/>
        <v>NO</v>
      </c>
      <c r="K1886" s="2" t="e">
        <f>VLOOKUP(F1886,Munka1!A:A,1,0)</f>
        <v>#N/A</v>
      </c>
    </row>
    <row r="1887" spans="10:11" hidden="1" x14ac:dyDescent="0.3">
      <c r="J1887" s="2" t="str">
        <f t="shared" si="29"/>
        <v>NO</v>
      </c>
      <c r="K1887" s="2" t="e">
        <f>VLOOKUP(F1887,Munka1!A:A,1,0)</f>
        <v>#N/A</v>
      </c>
    </row>
    <row r="1888" spans="10:11" hidden="1" x14ac:dyDescent="0.3">
      <c r="J1888" s="2" t="str">
        <f t="shared" si="29"/>
        <v>NO</v>
      </c>
      <c r="K1888" s="2" t="e">
        <f>VLOOKUP(F1888,Munka1!A:A,1,0)</f>
        <v>#N/A</v>
      </c>
    </row>
    <row r="1889" spans="10:11" hidden="1" x14ac:dyDescent="0.3">
      <c r="J1889" s="2" t="str">
        <f t="shared" si="29"/>
        <v>NO</v>
      </c>
      <c r="K1889" s="2" t="e">
        <f>VLOOKUP(F1889,Munka1!A:A,1,0)</f>
        <v>#N/A</v>
      </c>
    </row>
    <row r="1890" spans="10:11" hidden="1" x14ac:dyDescent="0.3">
      <c r="J1890" s="2" t="str">
        <f t="shared" si="29"/>
        <v>NO</v>
      </c>
      <c r="K1890" s="2" t="e">
        <f>VLOOKUP(F1890,Munka1!A:A,1,0)</f>
        <v>#N/A</v>
      </c>
    </row>
    <row r="1891" spans="10:11" hidden="1" x14ac:dyDescent="0.3">
      <c r="J1891" s="2" t="str">
        <f t="shared" si="29"/>
        <v>NO</v>
      </c>
      <c r="K1891" s="2" t="e">
        <f>VLOOKUP(F1891,Munka1!A:A,1,0)</f>
        <v>#N/A</v>
      </c>
    </row>
    <row r="1892" spans="10:11" hidden="1" x14ac:dyDescent="0.3">
      <c r="J1892" s="2" t="str">
        <f t="shared" si="29"/>
        <v>NO</v>
      </c>
      <c r="K1892" s="2" t="e">
        <f>VLOOKUP(F1892,Munka1!A:A,1,0)</f>
        <v>#N/A</v>
      </c>
    </row>
    <row r="1893" spans="10:11" hidden="1" x14ac:dyDescent="0.3">
      <c r="J1893" s="2" t="str">
        <f t="shared" si="29"/>
        <v>NO</v>
      </c>
      <c r="K1893" s="2" t="e">
        <f>VLOOKUP(F1893,Munka1!A:A,1,0)</f>
        <v>#N/A</v>
      </c>
    </row>
    <row r="1894" spans="10:11" hidden="1" x14ac:dyDescent="0.3">
      <c r="J1894" s="2" t="str">
        <f t="shared" si="29"/>
        <v>NO</v>
      </c>
      <c r="K1894" s="2" t="e">
        <f>VLOOKUP(F1894,Munka1!A:A,1,0)</f>
        <v>#N/A</v>
      </c>
    </row>
    <row r="1895" spans="10:11" hidden="1" x14ac:dyDescent="0.3">
      <c r="J1895" s="2" t="str">
        <f t="shared" si="29"/>
        <v>NO</v>
      </c>
      <c r="K1895" s="2" t="e">
        <f>VLOOKUP(F1895,Munka1!A:A,1,0)</f>
        <v>#N/A</v>
      </c>
    </row>
    <row r="1896" spans="10:11" hidden="1" x14ac:dyDescent="0.3">
      <c r="J1896" s="2" t="str">
        <f t="shared" si="29"/>
        <v>NO</v>
      </c>
      <c r="K1896" s="2" t="e">
        <f>VLOOKUP(F1896,Munka1!A:A,1,0)</f>
        <v>#N/A</v>
      </c>
    </row>
    <row r="1897" spans="10:11" hidden="1" x14ac:dyDescent="0.3">
      <c r="J1897" s="2" t="str">
        <f t="shared" si="29"/>
        <v>NO</v>
      </c>
      <c r="K1897" s="2" t="e">
        <f>VLOOKUP(F1897,Munka1!A:A,1,0)</f>
        <v>#N/A</v>
      </c>
    </row>
    <row r="1898" spans="10:11" hidden="1" x14ac:dyDescent="0.3">
      <c r="J1898" s="2" t="str">
        <f t="shared" si="29"/>
        <v>NO</v>
      </c>
      <c r="K1898" s="2" t="e">
        <f>VLOOKUP(F1898,Munka1!A:A,1,0)</f>
        <v>#N/A</v>
      </c>
    </row>
    <row r="1899" spans="10:11" hidden="1" x14ac:dyDescent="0.3">
      <c r="J1899" s="2" t="str">
        <f t="shared" si="29"/>
        <v>NO</v>
      </c>
      <c r="K1899" s="2" t="e">
        <f>VLOOKUP(F1899,Munka1!A:A,1,0)</f>
        <v>#N/A</v>
      </c>
    </row>
    <row r="1900" spans="10:11" hidden="1" x14ac:dyDescent="0.3">
      <c r="J1900" s="2" t="str">
        <f t="shared" si="29"/>
        <v>NO</v>
      </c>
      <c r="K1900" s="2" t="e">
        <f>VLOOKUP(F1900,Munka1!A:A,1,0)</f>
        <v>#N/A</v>
      </c>
    </row>
    <row r="1901" spans="10:11" hidden="1" x14ac:dyDescent="0.3">
      <c r="J1901" s="2" t="str">
        <f t="shared" si="29"/>
        <v>NO</v>
      </c>
      <c r="K1901" s="2" t="e">
        <f>VLOOKUP(F1901,Munka1!A:A,1,0)</f>
        <v>#N/A</v>
      </c>
    </row>
    <row r="1902" spans="10:11" hidden="1" x14ac:dyDescent="0.3">
      <c r="J1902" s="2" t="str">
        <f t="shared" si="29"/>
        <v>NO</v>
      </c>
      <c r="K1902" s="2" t="e">
        <f>VLOOKUP(F1902,Munka1!A:A,1,0)</f>
        <v>#N/A</v>
      </c>
    </row>
    <row r="1903" spans="10:11" hidden="1" x14ac:dyDescent="0.3">
      <c r="J1903" s="2" t="str">
        <f t="shared" si="29"/>
        <v>NO</v>
      </c>
      <c r="K1903" s="2" t="e">
        <f>VLOOKUP(F1903,Munka1!A:A,1,0)</f>
        <v>#N/A</v>
      </c>
    </row>
    <row r="1904" spans="10:11" hidden="1" x14ac:dyDescent="0.3">
      <c r="J1904" s="2" t="str">
        <f t="shared" si="29"/>
        <v>NO</v>
      </c>
      <c r="K1904" s="2" t="e">
        <f>VLOOKUP(F1904,Munka1!A:A,1,0)</f>
        <v>#N/A</v>
      </c>
    </row>
    <row r="1905" spans="10:11" hidden="1" x14ac:dyDescent="0.3">
      <c r="J1905" s="2" t="str">
        <f t="shared" si="29"/>
        <v>NO</v>
      </c>
      <c r="K1905" s="2" t="e">
        <f>VLOOKUP(F1905,Munka1!A:A,1,0)</f>
        <v>#N/A</v>
      </c>
    </row>
    <row r="1906" spans="10:11" hidden="1" x14ac:dyDescent="0.3">
      <c r="J1906" s="2" t="str">
        <f t="shared" si="29"/>
        <v>NO</v>
      </c>
      <c r="K1906" s="2" t="e">
        <f>VLOOKUP(F1906,Munka1!A:A,1,0)</f>
        <v>#N/A</v>
      </c>
    </row>
    <row r="1907" spans="10:11" hidden="1" x14ac:dyDescent="0.3">
      <c r="J1907" s="2" t="str">
        <f t="shared" si="29"/>
        <v>NO</v>
      </c>
      <c r="K1907" s="2" t="e">
        <f>VLOOKUP(F1907,Munka1!A:A,1,0)</f>
        <v>#N/A</v>
      </c>
    </row>
    <row r="1908" spans="10:11" hidden="1" x14ac:dyDescent="0.3">
      <c r="J1908" s="2" t="str">
        <f t="shared" si="29"/>
        <v>NO</v>
      </c>
      <c r="K1908" s="2" t="e">
        <f>VLOOKUP(F1908,Munka1!A:A,1,0)</f>
        <v>#N/A</v>
      </c>
    </row>
    <row r="1909" spans="10:11" hidden="1" x14ac:dyDescent="0.3">
      <c r="J1909" s="2" t="str">
        <f t="shared" si="29"/>
        <v>NO</v>
      </c>
      <c r="K1909" s="2" t="e">
        <f>VLOOKUP(F1909,Munka1!A:A,1,0)</f>
        <v>#N/A</v>
      </c>
    </row>
    <row r="1910" spans="10:11" hidden="1" x14ac:dyDescent="0.3">
      <c r="J1910" s="2" t="str">
        <f t="shared" si="29"/>
        <v>NO</v>
      </c>
      <c r="K1910" s="2" t="e">
        <f>VLOOKUP(F1910,Munka1!A:A,1,0)</f>
        <v>#N/A</v>
      </c>
    </row>
    <row r="1911" spans="10:11" hidden="1" x14ac:dyDescent="0.3">
      <c r="J1911" s="2" t="str">
        <f t="shared" si="29"/>
        <v>NO</v>
      </c>
      <c r="K1911" s="2" t="e">
        <f>VLOOKUP(F1911,Munka1!A:A,1,0)</f>
        <v>#N/A</v>
      </c>
    </row>
    <row r="1912" spans="10:11" hidden="1" x14ac:dyDescent="0.3">
      <c r="J1912" s="2" t="str">
        <f t="shared" si="29"/>
        <v>NO</v>
      </c>
      <c r="K1912" s="2" t="e">
        <f>VLOOKUP(F1912,Munka1!A:A,1,0)</f>
        <v>#N/A</v>
      </c>
    </row>
    <row r="1913" spans="10:11" hidden="1" x14ac:dyDescent="0.3">
      <c r="J1913" s="2" t="str">
        <f t="shared" si="29"/>
        <v>NO</v>
      </c>
      <c r="K1913" s="2" t="e">
        <f>VLOOKUP(F1913,Munka1!A:A,1,0)</f>
        <v>#N/A</v>
      </c>
    </row>
    <row r="1914" spans="10:11" hidden="1" x14ac:dyDescent="0.3">
      <c r="J1914" s="2" t="str">
        <f t="shared" si="29"/>
        <v>NO</v>
      </c>
      <c r="K1914" s="2" t="e">
        <f>VLOOKUP(F1914,Munka1!A:A,1,0)</f>
        <v>#N/A</v>
      </c>
    </row>
    <row r="1915" spans="10:11" hidden="1" x14ac:dyDescent="0.3">
      <c r="J1915" s="2" t="str">
        <f t="shared" si="29"/>
        <v>NO</v>
      </c>
      <c r="K1915" s="2" t="e">
        <f>VLOOKUP(F1915,Munka1!A:A,1,0)</f>
        <v>#N/A</v>
      </c>
    </row>
    <row r="1916" spans="10:11" hidden="1" x14ac:dyDescent="0.3">
      <c r="J1916" s="2" t="str">
        <f t="shared" si="29"/>
        <v>NO</v>
      </c>
      <c r="K1916" s="2" t="e">
        <f>VLOOKUP(F1916,Munka1!A:A,1,0)</f>
        <v>#N/A</v>
      </c>
    </row>
    <row r="1917" spans="10:11" hidden="1" x14ac:dyDescent="0.3">
      <c r="J1917" s="2" t="str">
        <f t="shared" si="29"/>
        <v>NO</v>
      </c>
      <c r="K1917" s="2" t="e">
        <f>VLOOKUP(F1917,Munka1!A:A,1,0)</f>
        <v>#N/A</v>
      </c>
    </row>
    <row r="1918" spans="10:11" hidden="1" x14ac:dyDescent="0.3">
      <c r="J1918" s="2" t="str">
        <f t="shared" si="29"/>
        <v>NO</v>
      </c>
      <c r="K1918" s="2" t="e">
        <f>VLOOKUP(F1918,Munka1!A:A,1,0)</f>
        <v>#N/A</v>
      </c>
    </row>
    <row r="1919" spans="10:11" hidden="1" x14ac:dyDescent="0.3">
      <c r="J1919" s="2" t="str">
        <f t="shared" si="29"/>
        <v>NO</v>
      </c>
      <c r="K1919" s="2" t="e">
        <f>VLOOKUP(F1919,Munka1!A:A,1,0)</f>
        <v>#N/A</v>
      </c>
    </row>
    <row r="1920" spans="10:11" hidden="1" x14ac:dyDescent="0.3">
      <c r="J1920" s="2" t="str">
        <f t="shared" si="29"/>
        <v>NO</v>
      </c>
      <c r="K1920" s="2" t="e">
        <f>VLOOKUP(F1920,Munka1!A:A,1,0)</f>
        <v>#N/A</v>
      </c>
    </row>
    <row r="1921" spans="10:11" hidden="1" x14ac:dyDescent="0.3">
      <c r="J1921" s="2" t="str">
        <f t="shared" si="29"/>
        <v>NO</v>
      </c>
      <c r="K1921" s="2" t="e">
        <f>VLOOKUP(F1921,Munka1!A:A,1,0)</f>
        <v>#N/A</v>
      </c>
    </row>
    <row r="1922" spans="10:11" hidden="1" x14ac:dyDescent="0.3">
      <c r="J1922" s="2" t="str">
        <f t="shared" si="29"/>
        <v>NO</v>
      </c>
      <c r="K1922" s="2" t="e">
        <f>VLOOKUP(F1922,Munka1!A:A,1,0)</f>
        <v>#N/A</v>
      </c>
    </row>
    <row r="1923" spans="10:11" hidden="1" x14ac:dyDescent="0.3">
      <c r="J1923" s="2" t="str">
        <f t="shared" ref="J1923:J1986" si="30">IF(OR(F1923="",F1923="_",LEFT(F1923,5)="SPARE",F1923="N/A"),"NO","YES")</f>
        <v>NO</v>
      </c>
      <c r="K1923" s="2" t="e">
        <f>VLOOKUP(F1923,Munka1!A:A,1,0)</f>
        <v>#N/A</v>
      </c>
    </row>
    <row r="1924" spans="10:11" hidden="1" x14ac:dyDescent="0.3">
      <c r="J1924" s="2" t="str">
        <f t="shared" si="30"/>
        <v>NO</v>
      </c>
      <c r="K1924" s="2" t="e">
        <f>VLOOKUP(F1924,Munka1!A:A,1,0)</f>
        <v>#N/A</v>
      </c>
    </row>
    <row r="1925" spans="10:11" hidden="1" x14ac:dyDescent="0.3">
      <c r="J1925" s="2" t="str">
        <f t="shared" si="30"/>
        <v>NO</v>
      </c>
      <c r="K1925" s="2" t="e">
        <f>VLOOKUP(F1925,Munka1!A:A,1,0)</f>
        <v>#N/A</v>
      </c>
    </row>
    <row r="1926" spans="10:11" hidden="1" x14ac:dyDescent="0.3">
      <c r="J1926" s="2" t="str">
        <f t="shared" si="30"/>
        <v>NO</v>
      </c>
      <c r="K1926" s="2" t="e">
        <f>VLOOKUP(F1926,Munka1!A:A,1,0)</f>
        <v>#N/A</v>
      </c>
    </row>
    <row r="1927" spans="10:11" hidden="1" x14ac:dyDescent="0.3">
      <c r="J1927" s="2" t="str">
        <f t="shared" si="30"/>
        <v>NO</v>
      </c>
      <c r="K1927" s="2" t="e">
        <f>VLOOKUP(F1927,Munka1!A:A,1,0)</f>
        <v>#N/A</v>
      </c>
    </row>
    <row r="1928" spans="10:11" hidden="1" x14ac:dyDescent="0.3">
      <c r="J1928" s="2" t="str">
        <f t="shared" si="30"/>
        <v>NO</v>
      </c>
      <c r="K1928" s="2" t="e">
        <f>VLOOKUP(F1928,Munka1!A:A,1,0)</f>
        <v>#N/A</v>
      </c>
    </row>
    <row r="1929" spans="10:11" hidden="1" x14ac:dyDescent="0.3">
      <c r="J1929" s="2" t="str">
        <f t="shared" si="30"/>
        <v>NO</v>
      </c>
      <c r="K1929" s="2" t="e">
        <f>VLOOKUP(F1929,Munka1!A:A,1,0)</f>
        <v>#N/A</v>
      </c>
    </row>
    <row r="1930" spans="10:11" hidden="1" x14ac:dyDescent="0.3">
      <c r="J1930" s="2" t="str">
        <f t="shared" si="30"/>
        <v>NO</v>
      </c>
      <c r="K1930" s="2" t="e">
        <f>VLOOKUP(F1930,Munka1!A:A,1,0)</f>
        <v>#N/A</v>
      </c>
    </row>
    <row r="1931" spans="10:11" hidden="1" x14ac:dyDescent="0.3">
      <c r="J1931" s="2" t="str">
        <f t="shared" si="30"/>
        <v>NO</v>
      </c>
      <c r="K1931" s="2" t="e">
        <f>VLOOKUP(F1931,Munka1!A:A,1,0)</f>
        <v>#N/A</v>
      </c>
    </row>
    <row r="1932" spans="10:11" hidden="1" x14ac:dyDescent="0.3">
      <c r="J1932" s="2" t="str">
        <f t="shared" si="30"/>
        <v>NO</v>
      </c>
      <c r="K1932" s="2" t="e">
        <f>VLOOKUP(F1932,Munka1!A:A,1,0)</f>
        <v>#N/A</v>
      </c>
    </row>
    <row r="1933" spans="10:11" hidden="1" x14ac:dyDescent="0.3">
      <c r="J1933" s="2" t="str">
        <f t="shared" si="30"/>
        <v>NO</v>
      </c>
      <c r="K1933" s="2" t="e">
        <f>VLOOKUP(F1933,Munka1!A:A,1,0)</f>
        <v>#N/A</v>
      </c>
    </row>
    <row r="1934" spans="10:11" hidden="1" x14ac:dyDescent="0.3">
      <c r="J1934" s="2" t="str">
        <f t="shared" si="30"/>
        <v>NO</v>
      </c>
      <c r="K1934" s="2" t="e">
        <f>VLOOKUP(F1934,Munka1!A:A,1,0)</f>
        <v>#N/A</v>
      </c>
    </row>
    <row r="1935" spans="10:11" hidden="1" x14ac:dyDescent="0.3">
      <c r="J1935" s="2" t="str">
        <f t="shared" si="30"/>
        <v>NO</v>
      </c>
      <c r="K1935" s="2" t="e">
        <f>VLOOKUP(F1935,Munka1!A:A,1,0)</f>
        <v>#N/A</v>
      </c>
    </row>
    <row r="1936" spans="10:11" hidden="1" x14ac:dyDescent="0.3">
      <c r="J1936" s="2" t="str">
        <f t="shared" si="30"/>
        <v>NO</v>
      </c>
      <c r="K1936" s="2" t="e">
        <f>VLOOKUP(F1936,Munka1!A:A,1,0)</f>
        <v>#N/A</v>
      </c>
    </row>
    <row r="1937" spans="10:11" hidden="1" x14ac:dyDescent="0.3">
      <c r="J1937" s="2" t="str">
        <f t="shared" si="30"/>
        <v>NO</v>
      </c>
      <c r="K1937" s="2" t="e">
        <f>VLOOKUP(F1937,Munka1!A:A,1,0)</f>
        <v>#N/A</v>
      </c>
    </row>
    <row r="1938" spans="10:11" hidden="1" x14ac:dyDescent="0.3">
      <c r="J1938" s="2" t="str">
        <f t="shared" si="30"/>
        <v>NO</v>
      </c>
      <c r="K1938" s="2" t="e">
        <f>VLOOKUP(F1938,Munka1!A:A,1,0)</f>
        <v>#N/A</v>
      </c>
    </row>
    <row r="1939" spans="10:11" hidden="1" x14ac:dyDescent="0.3">
      <c r="J1939" s="2" t="str">
        <f t="shared" si="30"/>
        <v>NO</v>
      </c>
      <c r="K1939" s="2" t="e">
        <f>VLOOKUP(F1939,Munka1!A:A,1,0)</f>
        <v>#N/A</v>
      </c>
    </row>
    <row r="1940" spans="10:11" hidden="1" x14ac:dyDescent="0.3">
      <c r="J1940" s="2" t="str">
        <f t="shared" si="30"/>
        <v>NO</v>
      </c>
      <c r="K1940" s="2" t="e">
        <f>VLOOKUP(F1940,Munka1!A:A,1,0)</f>
        <v>#N/A</v>
      </c>
    </row>
    <row r="1941" spans="10:11" hidden="1" x14ac:dyDescent="0.3">
      <c r="J1941" s="2" t="str">
        <f t="shared" si="30"/>
        <v>NO</v>
      </c>
      <c r="K1941" s="2" t="e">
        <f>VLOOKUP(F1941,Munka1!A:A,1,0)</f>
        <v>#N/A</v>
      </c>
    </row>
    <row r="1942" spans="10:11" hidden="1" x14ac:dyDescent="0.3">
      <c r="J1942" s="2" t="str">
        <f t="shared" si="30"/>
        <v>NO</v>
      </c>
      <c r="K1942" s="2" t="e">
        <f>VLOOKUP(F1942,Munka1!A:A,1,0)</f>
        <v>#N/A</v>
      </c>
    </row>
    <row r="1943" spans="10:11" hidden="1" x14ac:dyDescent="0.3">
      <c r="J1943" s="2" t="str">
        <f t="shared" si="30"/>
        <v>NO</v>
      </c>
      <c r="K1943" s="2" t="e">
        <f>VLOOKUP(F1943,Munka1!A:A,1,0)</f>
        <v>#N/A</v>
      </c>
    </row>
    <row r="1944" spans="10:11" hidden="1" x14ac:dyDescent="0.3">
      <c r="J1944" s="2" t="str">
        <f t="shared" si="30"/>
        <v>NO</v>
      </c>
      <c r="K1944" s="2" t="e">
        <f>VLOOKUP(F1944,Munka1!A:A,1,0)</f>
        <v>#N/A</v>
      </c>
    </row>
    <row r="1945" spans="10:11" hidden="1" x14ac:dyDescent="0.3">
      <c r="J1945" s="2" t="str">
        <f t="shared" si="30"/>
        <v>NO</v>
      </c>
      <c r="K1945" s="2" t="e">
        <f>VLOOKUP(F1945,Munka1!A:A,1,0)</f>
        <v>#N/A</v>
      </c>
    </row>
    <row r="1946" spans="10:11" hidden="1" x14ac:dyDescent="0.3">
      <c r="J1946" s="2" t="str">
        <f t="shared" si="30"/>
        <v>NO</v>
      </c>
      <c r="K1946" s="2" t="e">
        <f>VLOOKUP(F1946,Munka1!A:A,1,0)</f>
        <v>#N/A</v>
      </c>
    </row>
    <row r="1947" spans="10:11" hidden="1" x14ac:dyDescent="0.3">
      <c r="J1947" s="2" t="str">
        <f t="shared" si="30"/>
        <v>NO</v>
      </c>
      <c r="K1947" s="2" t="e">
        <f>VLOOKUP(F1947,Munka1!A:A,1,0)</f>
        <v>#N/A</v>
      </c>
    </row>
    <row r="1948" spans="10:11" hidden="1" x14ac:dyDescent="0.3">
      <c r="J1948" s="2" t="str">
        <f t="shared" si="30"/>
        <v>NO</v>
      </c>
      <c r="K1948" s="2" t="e">
        <f>VLOOKUP(F1948,Munka1!A:A,1,0)</f>
        <v>#N/A</v>
      </c>
    </row>
    <row r="1949" spans="10:11" hidden="1" x14ac:dyDescent="0.3">
      <c r="J1949" s="2" t="str">
        <f t="shared" si="30"/>
        <v>NO</v>
      </c>
      <c r="K1949" s="2" t="e">
        <f>VLOOKUP(F1949,Munka1!A:A,1,0)</f>
        <v>#N/A</v>
      </c>
    </row>
    <row r="1950" spans="10:11" hidden="1" x14ac:dyDescent="0.3">
      <c r="J1950" s="2" t="str">
        <f t="shared" si="30"/>
        <v>NO</v>
      </c>
      <c r="K1950" s="2" t="e">
        <f>VLOOKUP(F1950,Munka1!A:A,1,0)</f>
        <v>#N/A</v>
      </c>
    </row>
    <row r="1951" spans="10:11" hidden="1" x14ac:dyDescent="0.3">
      <c r="J1951" s="2" t="str">
        <f t="shared" si="30"/>
        <v>NO</v>
      </c>
      <c r="K1951" s="2" t="e">
        <f>VLOOKUP(F1951,Munka1!A:A,1,0)</f>
        <v>#N/A</v>
      </c>
    </row>
    <row r="1952" spans="10:11" hidden="1" x14ac:dyDescent="0.3">
      <c r="J1952" s="2" t="str">
        <f t="shared" si="30"/>
        <v>NO</v>
      </c>
      <c r="K1952" s="2" t="e">
        <f>VLOOKUP(F1952,Munka1!A:A,1,0)</f>
        <v>#N/A</v>
      </c>
    </row>
    <row r="1953" spans="10:11" hidden="1" x14ac:dyDescent="0.3">
      <c r="J1953" s="2" t="str">
        <f t="shared" si="30"/>
        <v>NO</v>
      </c>
      <c r="K1953" s="2" t="e">
        <f>VLOOKUP(F1953,Munka1!A:A,1,0)</f>
        <v>#N/A</v>
      </c>
    </row>
    <row r="1954" spans="10:11" hidden="1" x14ac:dyDescent="0.3">
      <c r="J1954" s="2" t="str">
        <f t="shared" si="30"/>
        <v>NO</v>
      </c>
      <c r="K1954" s="2" t="e">
        <f>VLOOKUP(F1954,Munka1!A:A,1,0)</f>
        <v>#N/A</v>
      </c>
    </row>
    <row r="1955" spans="10:11" hidden="1" x14ac:dyDescent="0.3">
      <c r="J1955" s="2" t="str">
        <f t="shared" si="30"/>
        <v>NO</v>
      </c>
      <c r="K1955" s="2" t="e">
        <f>VLOOKUP(F1955,Munka1!A:A,1,0)</f>
        <v>#N/A</v>
      </c>
    </row>
    <row r="1956" spans="10:11" hidden="1" x14ac:dyDescent="0.3">
      <c r="J1956" s="2" t="str">
        <f t="shared" si="30"/>
        <v>NO</v>
      </c>
      <c r="K1956" s="2" t="e">
        <f>VLOOKUP(F1956,Munka1!A:A,1,0)</f>
        <v>#N/A</v>
      </c>
    </row>
    <row r="1957" spans="10:11" hidden="1" x14ac:dyDescent="0.3">
      <c r="J1957" s="2" t="str">
        <f t="shared" si="30"/>
        <v>NO</v>
      </c>
      <c r="K1957" s="2" t="e">
        <f>VLOOKUP(F1957,Munka1!A:A,1,0)</f>
        <v>#N/A</v>
      </c>
    </row>
    <row r="1958" spans="10:11" hidden="1" x14ac:dyDescent="0.3">
      <c r="J1958" s="2" t="str">
        <f t="shared" si="30"/>
        <v>NO</v>
      </c>
      <c r="K1958" s="2" t="e">
        <f>VLOOKUP(F1958,Munka1!A:A,1,0)</f>
        <v>#N/A</v>
      </c>
    </row>
    <row r="1959" spans="10:11" hidden="1" x14ac:dyDescent="0.3">
      <c r="J1959" s="2" t="str">
        <f t="shared" si="30"/>
        <v>NO</v>
      </c>
      <c r="K1959" s="2" t="e">
        <f>VLOOKUP(F1959,Munka1!A:A,1,0)</f>
        <v>#N/A</v>
      </c>
    </row>
    <row r="1960" spans="10:11" hidden="1" x14ac:dyDescent="0.3">
      <c r="J1960" s="2" t="str">
        <f t="shared" si="30"/>
        <v>NO</v>
      </c>
      <c r="K1960" s="2" t="e">
        <f>VLOOKUP(F1960,Munka1!A:A,1,0)</f>
        <v>#N/A</v>
      </c>
    </row>
    <row r="1961" spans="10:11" hidden="1" x14ac:dyDescent="0.3">
      <c r="J1961" s="2" t="str">
        <f t="shared" si="30"/>
        <v>NO</v>
      </c>
      <c r="K1961" s="2" t="e">
        <f>VLOOKUP(F1961,Munka1!A:A,1,0)</f>
        <v>#N/A</v>
      </c>
    </row>
    <row r="1962" spans="10:11" hidden="1" x14ac:dyDescent="0.3">
      <c r="J1962" s="2" t="str">
        <f t="shared" si="30"/>
        <v>NO</v>
      </c>
      <c r="K1962" s="2" t="e">
        <f>VLOOKUP(F1962,Munka1!A:A,1,0)</f>
        <v>#N/A</v>
      </c>
    </row>
    <row r="1963" spans="10:11" hidden="1" x14ac:dyDescent="0.3">
      <c r="J1963" s="2" t="str">
        <f t="shared" si="30"/>
        <v>NO</v>
      </c>
      <c r="K1963" s="2" t="e">
        <f>VLOOKUP(F1963,Munka1!A:A,1,0)</f>
        <v>#N/A</v>
      </c>
    </row>
    <row r="1964" spans="10:11" hidden="1" x14ac:dyDescent="0.3">
      <c r="J1964" s="2" t="str">
        <f t="shared" si="30"/>
        <v>NO</v>
      </c>
      <c r="K1964" s="2" t="e">
        <f>VLOOKUP(F1964,Munka1!A:A,1,0)</f>
        <v>#N/A</v>
      </c>
    </row>
    <row r="1965" spans="10:11" hidden="1" x14ac:dyDescent="0.3">
      <c r="J1965" s="2" t="str">
        <f t="shared" si="30"/>
        <v>NO</v>
      </c>
      <c r="K1965" s="2" t="e">
        <f>VLOOKUP(F1965,Munka1!A:A,1,0)</f>
        <v>#N/A</v>
      </c>
    </row>
    <row r="1966" spans="10:11" hidden="1" x14ac:dyDescent="0.3">
      <c r="J1966" s="2" t="str">
        <f t="shared" si="30"/>
        <v>NO</v>
      </c>
      <c r="K1966" s="2" t="e">
        <f>VLOOKUP(F1966,Munka1!A:A,1,0)</f>
        <v>#N/A</v>
      </c>
    </row>
    <row r="1967" spans="10:11" hidden="1" x14ac:dyDescent="0.3">
      <c r="J1967" s="2" t="str">
        <f t="shared" si="30"/>
        <v>NO</v>
      </c>
      <c r="K1967" s="2" t="e">
        <f>VLOOKUP(F1967,Munka1!A:A,1,0)</f>
        <v>#N/A</v>
      </c>
    </row>
    <row r="1968" spans="10:11" hidden="1" x14ac:dyDescent="0.3">
      <c r="J1968" s="2" t="str">
        <f t="shared" si="30"/>
        <v>NO</v>
      </c>
      <c r="K1968" s="2" t="e">
        <f>VLOOKUP(F1968,Munka1!A:A,1,0)</f>
        <v>#N/A</v>
      </c>
    </row>
    <row r="1969" spans="10:11" hidden="1" x14ac:dyDescent="0.3">
      <c r="J1969" s="2" t="str">
        <f t="shared" si="30"/>
        <v>NO</v>
      </c>
      <c r="K1969" s="2" t="e">
        <f>VLOOKUP(F1969,Munka1!A:A,1,0)</f>
        <v>#N/A</v>
      </c>
    </row>
    <row r="1970" spans="10:11" hidden="1" x14ac:dyDescent="0.3">
      <c r="J1970" s="2" t="str">
        <f t="shared" si="30"/>
        <v>NO</v>
      </c>
      <c r="K1970" s="2" t="e">
        <f>VLOOKUP(F1970,Munka1!A:A,1,0)</f>
        <v>#N/A</v>
      </c>
    </row>
    <row r="1971" spans="10:11" hidden="1" x14ac:dyDescent="0.3">
      <c r="J1971" s="2" t="str">
        <f t="shared" si="30"/>
        <v>NO</v>
      </c>
      <c r="K1971" s="2" t="e">
        <f>VLOOKUP(F1971,Munka1!A:A,1,0)</f>
        <v>#N/A</v>
      </c>
    </row>
    <row r="1972" spans="10:11" hidden="1" x14ac:dyDescent="0.3">
      <c r="J1972" s="2" t="str">
        <f t="shared" si="30"/>
        <v>NO</v>
      </c>
      <c r="K1972" s="2" t="e">
        <f>VLOOKUP(F1972,Munka1!A:A,1,0)</f>
        <v>#N/A</v>
      </c>
    </row>
    <row r="1973" spans="10:11" hidden="1" x14ac:dyDescent="0.3">
      <c r="J1973" s="2" t="str">
        <f t="shared" si="30"/>
        <v>NO</v>
      </c>
      <c r="K1973" s="2" t="e">
        <f>VLOOKUP(F1973,Munka1!A:A,1,0)</f>
        <v>#N/A</v>
      </c>
    </row>
    <row r="1974" spans="10:11" hidden="1" x14ac:dyDescent="0.3">
      <c r="J1974" s="2" t="str">
        <f t="shared" si="30"/>
        <v>NO</v>
      </c>
      <c r="K1974" s="2" t="e">
        <f>VLOOKUP(F1974,Munka1!A:A,1,0)</f>
        <v>#N/A</v>
      </c>
    </row>
    <row r="1975" spans="10:11" hidden="1" x14ac:dyDescent="0.3">
      <c r="J1975" s="2" t="str">
        <f t="shared" si="30"/>
        <v>NO</v>
      </c>
      <c r="K1975" s="2" t="e">
        <f>VLOOKUP(F1975,Munka1!A:A,1,0)</f>
        <v>#N/A</v>
      </c>
    </row>
    <row r="1976" spans="10:11" hidden="1" x14ac:dyDescent="0.3">
      <c r="J1976" s="2" t="str">
        <f t="shared" si="30"/>
        <v>NO</v>
      </c>
      <c r="K1976" s="2" t="e">
        <f>VLOOKUP(F1976,Munka1!A:A,1,0)</f>
        <v>#N/A</v>
      </c>
    </row>
    <row r="1977" spans="10:11" hidden="1" x14ac:dyDescent="0.3">
      <c r="J1977" s="2" t="str">
        <f t="shared" si="30"/>
        <v>NO</v>
      </c>
      <c r="K1977" s="2" t="e">
        <f>VLOOKUP(F1977,Munka1!A:A,1,0)</f>
        <v>#N/A</v>
      </c>
    </row>
    <row r="1978" spans="10:11" hidden="1" x14ac:dyDescent="0.3">
      <c r="J1978" s="2" t="str">
        <f t="shared" si="30"/>
        <v>NO</v>
      </c>
      <c r="K1978" s="2" t="e">
        <f>VLOOKUP(F1978,Munka1!A:A,1,0)</f>
        <v>#N/A</v>
      </c>
    </row>
    <row r="1979" spans="10:11" hidden="1" x14ac:dyDescent="0.3">
      <c r="J1979" s="2" t="str">
        <f t="shared" si="30"/>
        <v>NO</v>
      </c>
      <c r="K1979" s="2" t="e">
        <f>VLOOKUP(F1979,Munka1!A:A,1,0)</f>
        <v>#N/A</v>
      </c>
    </row>
    <row r="1980" spans="10:11" hidden="1" x14ac:dyDescent="0.3">
      <c r="J1980" s="2" t="str">
        <f t="shared" si="30"/>
        <v>NO</v>
      </c>
      <c r="K1980" s="2" t="e">
        <f>VLOOKUP(F1980,Munka1!A:A,1,0)</f>
        <v>#N/A</v>
      </c>
    </row>
    <row r="1981" spans="10:11" hidden="1" x14ac:dyDescent="0.3">
      <c r="J1981" s="2" t="str">
        <f t="shared" si="30"/>
        <v>NO</v>
      </c>
      <c r="K1981" s="2" t="e">
        <f>VLOOKUP(F1981,Munka1!A:A,1,0)</f>
        <v>#N/A</v>
      </c>
    </row>
    <row r="1982" spans="10:11" hidden="1" x14ac:dyDescent="0.3">
      <c r="J1982" s="2" t="str">
        <f t="shared" si="30"/>
        <v>NO</v>
      </c>
      <c r="K1982" s="2" t="e">
        <f>VLOOKUP(F1982,Munka1!A:A,1,0)</f>
        <v>#N/A</v>
      </c>
    </row>
    <row r="1983" spans="10:11" hidden="1" x14ac:dyDescent="0.3">
      <c r="J1983" s="2" t="str">
        <f t="shared" si="30"/>
        <v>NO</v>
      </c>
      <c r="K1983" s="2" t="e">
        <f>VLOOKUP(F1983,Munka1!A:A,1,0)</f>
        <v>#N/A</v>
      </c>
    </row>
    <row r="1984" spans="10:11" hidden="1" x14ac:dyDescent="0.3">
      <c r="J1984" s="2" t="str">
        <f t="shared" si="30"/>
        <v>NO</v>
      </c>
      <c r="K1984" s="2" t="e">
        <f>VLOOKUP(F1984,Munka1!A:A,1,0)</f>
        <v>#N/A</v>
      </c>
    </row>
    <row r="1985" spans="10:11" hidden="1" x14ac:dyDescent="0.3">
      <c r="J1985" s="2" t="str">
        <f t="shared" si="30"/>
        <v>NO</v>
      </c>
      <c r="K1985" s="2" t="e">
        <f>VLOOKUP(F1985,Munka1!A:A,1,0)</f>
        <v>#N/A</v>
      </c>
    </row>
    <row r="1986" spans="10:11" hidden="1" x14ac:dyDescent="0.3">
      <c r="J1986" s="2" t="str">
        <f t="shared" si="30"/>
        <v>NO</v>
      </c>
      <c r="K1986" s="2" t="e">
        <f>VLOOKUP(F1986,Munka1!A:A,1,0)</f>
        <v>#N/A</v>
      </c>
    </row>
    <row r="1987" spans="10:11" hidden="1" x14ac:dyDescent="0.3">
      <c r="J1987" s="2" t="str">
        <f t="shared" ref="J1987:J2050" si="31">IF(OR(F1987="",F1987="_",LEFT(F1987,5)="SPARE",F1987="N/A"),"NO","YES")</f>
        <v>NO</v>
      </c>
      <c r="K1987" s="2" t="e">
        <f>VLOOKUP(F1987,Munka1!A:A,1,0)</f>
        <v>#N/A</v>
      </c>
    </row>
    <row r="1988" spans="10:11" hidden="1" x14ac:dyDescent="0.3">
      <c r="J1988" s="2" t="str">
        <f t="shared" si="31"/>
        <v>NO</v>
      </c>
      <c r="K1988" s="2" t="e">
        <f>VLOOKUP(F1988,Munka1!A:A,1,0)</f>
        <v>#N/A</v>
      </c>
    </row>
    <row r="1989" spans="10:11" hidden="1" x14ac:dyDescent="0.3">
      <c r="J1989" s="2" t="str">
        <f t="shared" si="31"/>
        <v>NO</v>
      </c>
      <c r="K1989" s="2" t="e">
        <f>VLOOKUP(F1989,Munka1!A:A,1,0)</f>
        <v>#N/A</v>
      </c>
    </row>
    <row r="1990" spans="10:11" hidden="1" x14ac:dyDescent="0.3">
      <c r="J1990" s="2" t="str">
        <f t="shared" si="31"/>
        <v>NO</v>
      </c>
      <c r="K1990" s="2" t="e">
        <f>VLOOKUP(F1990,Munka1!A:A,1,0)</f>
        <v>#N/A</v>
      </c>
    </row>
    <row r="1991" spans="10:11" hidden="1" x14ac:dyDescent="0.3">
      <c r="J1991" s="2" t="str">
        <f t="shared" si="31"/>
        <v>NO</v>
      </c>
      <c r="K1991" s="2" t="e">
        <f>VLOOKUP(F1991,Munka1!A:A,1,0)</f>
        <v>#N/A</v>
      </c>
    </row>
    <row r="1992" spans="10:11" hidden="1" x14ac:dyDescent="0.3">
      <c r="J1992" s="2" t="str">
        <f t="shared" si="31"/>
        <v>NO</v>
      </c>
      <c r="K1992" s="2" t="e">
        <f>VLOOKUP(F1992,Munka1!A:A,1,0)</f>
        <v>#N/A</v>
      </c>
    </row>
    <row r="1993" spans="10:11" hidden="1" x14ac:dyDescent="0.3">
      <c r="J1993" s="2" t="str">
        <f t="shared" si="31"/>
        <v>NO</v>
      </c>
      <c r="K1993" s="2" t="e">
        <f>VLOOKUP(F1993,Munka1!A:A,1,0)</f>
        <v>#N/A</v>
      </c>
    </row>
    <row r="1994" spans="10:11" hidden="1" x14ac:dyDescent="0.3">
      <c r="J1994" s="2" t="str">
        <f t="shared" si="31"/>
        <v>NO</v>
      </c>
      <c r="K1994" s="2" t="e">
        <f>VLOOKUP(F1994,Munka1!A:A,1,0)</f>
        <v>#N/A</v>
      </c>
    </row>
    <row r="1995" spans="10:11" hidden="1" x14ac:dyDescent="0.3">
      <c r="J1995" s="2" t="str">
        <f t="shared" si="31"/>
        <v>NO</v>
      </c>
      <c r="K1995" s="2" t="e">
        <f>VLOOKUP(F1995,Munka1!A:A,1,0)</f>
        <v>#N/A</v>
      </c>
    </row>
    <row r="1996" spans="10:11" hidden="1" x14ac:dyDescent="0.3">
      <c r="J1996" s="2" t="str">
        <f t="shared" si="31"/>
        <v>NO</v>
      </c>
      <c r="K1996" s="2" t="e">
        <f>VLOOKUP(F1996,Munka1!A:A,1,0)</f>
        <v>#N/A</v>
      </c>
    </row>
    <row r="1997" spans="10:11" hidden="1" x14ac:dyDescent="0.3">
      <c r="J1997" s="2" t="str">
        <f t="shared" si="31"/>
        <v>NO</v>
      </c>
      <c r="K1997" s="2" t="e">
        <f>VLOOKUP(F1997,Munka1!A:A,1,0)</f>
        <v>#N/A</v>
      </c>
    </row>
    <row r="1998" spans="10:11" hidden="1" x14ac:dyDescent="0.3">
      <c r="J1998" s="2" t="str">
        <f t="shared" si="31"/>
        <v>NO</v>
      </c>
      <c r="K1998" s="2" t="e">
        <f>VLOOKUP(F1998,Munka1!A:A,1,0)</f>
        <v>#N/A</v>
      </c>
    </row>
    <row r="1999" spans="10:11" hidden="1" x14ac:dyDescent="0.3">
      <c r="J1999" s="2" t="str">
        <f t="shared" si="31"/>
        <v>NO</v>
      </c>
      <c r="K1999" s="2" t="e">
        <f>VLOOKUP(F1999,Munka1!A:A,1,0)</f>
        <v>#N/A</v>
      </c>
    </row>
    <row r="2000" spans="10:11" hidden="1" x14ac:dyDescent="0.3">
      <c r="J2000" s="2" t="str">
        <f t="shared" si="31"/>
        <v>NO</v>
      </c>
      <c r="K2000" s="2" t="e">
        <f>VLOOKUP(F2000,Munka1!A:A,1,0)</f>
        <v>#N/A</v>
      </c>
    </row>
    <row r="2001" spans="10:11" hidden="1" x14ac:dyDescent="0.3">
      <c r="J2001" s="2" t="str">
        <f t="shared" si="31"/>
        <v>NO</v>
      </c>
      <c r="K2001" s="2" t="e">
        <f>VLOOKUP(F2001,Munka1!A:A,1,0)</f>
        <v>#N/A</v>
      </c>
    </row>
    <row r="2002" spans="10:11" hidden="1" x14ac:dyDescent="0.3">
      <c r="J2002" s="2" t="str">
        <f t="shared" si="31"/>
        <v>NO</v>
      </c>
      <c r="K2002" s="2" t="e">
        <f>VLOOKUP(F2002,Munka1!A:A,1,0)</f>
        <v>#N/A</v>
      </c>
    </row>
    <row r="2003" spans="10:11" hidden="1" x14ac:dyDescent="0.3">
      <c r="J2003" s="2" t="str">
        <f t="shared" si="31"/>
        <v>NO</v>
      </c>
      <c r="K2003" s="2" t="e">
        <f>VLOOKUP(F2003,Munka1!A:A,1,0)</f>
        <v>#N/A</v>
      </c>
    </row>
    <row r="2004" spans="10:11" hidden="1" x14ac:dyDescent="0.3">
      <c r="J2004" s="2" t="str">
        <f t="shared" si="31"/>
        <v>NO</v>
      </c>
      <c r="K2004" s="2" t="e">
        <f>VLOOKUP(F2004,Munka1!A:A,1,0)</f>
        <v>#N/A</v>
      </c>
    </row>
    <row r="2005" spans="10:11" hidden="1" x14ac:dyDescent="0.3">
      <c r="J2005" s="2" t="str">
        <f t="shared" si="31"/>
        <v>NO</v>
      </c>
      <c r="K2005" s="2" t="e">
        <f>VLOOKUP(F2005,Munka1!A:A,1,0)</f>
        <v>#N/A</v>
      </c>
    </row>
    <row r="2006" spans="10:11" hidden="1" x14ac:dyDescent="0.3">
      <c r="J2006" s="2" t="str">
        <f t="shared" si="31"/>
        <v>NO</v>
      </c>
      <c r="K2006" s="2" t="e">
        <f>VLOOKUP(F2006,Munka1!A:A,1,0)</f>
        <v>#N/A</v>
      </c>
    </row>
    <row r="2007" spans="10:11" hidden="1" x14ac:dyDescent="0.3">
      <c r="J2007" s="2" t="str">
        <f t="shared" si="31"/>
        <v>NO</v>
      </c>
      <c r="K2007" s="2" t="e">
        <f>VLOOKUP(F2007,Munka1!A:A,1,0)</f>
        <v>#N/A</v>
      </c>
    </row>
    <row r="2008" spans="10:11" hidden="1" x14ac:dyDescent="0.3">
      <c r="J2008" s="2" t="str">
        <f t="shared" si="31"/>
        <v>NO</v>
      </c>
      <c r="K2008" s="2" t="e">
        <f>VLOOKUP(F2008,Munka1!A:A,1,0)</f>
        <v>#N/A</v>
      </c>
    </row>
    <row r="2009" spans="10:11" hidden="1" x14ac:dyDescent="0.3">
      <c r="J2009" s="2" t="str">
        <f t="shared" si="31"/>
        <v>NO</v>
      </c>
      <c r="K2009" s="2" t="e">
        <f>VLOOKUP(F2009,Munka1!A:A,1,0)</f>
        <v>#N/A</v>
      </c>
    </row>
    <row r="2010" spans="10:11" hidden="1" x14ac:dyDescent="0.3">
      <c r="J2010" s="2" t="str">
        <f t="shared" si="31"/>
        <v>NO</v>
      </c>
      <c r="K2010" s="2" t="e">
        <f>VLOOKUP(F2010,Munka1!A:A,1,0)</f>
        <v>#N/A</v>
      </c>
    </row>
    <row r="2011" spans="10:11" hidden="1" x14ac:dyDescent="0.3">
      <c r="J2011" s="2" t="str">
        <f t="shared" si="31"/>
        <v>NO</v>
      </c>
      <c r="K2011" s="2" t="e">
        <f>VLOOKUP(F2011,Munka1!A:A,1,0)</f>
        <v>#N/A</v>
      </c>
    </row>
    <row r="2012" spans="10:11" hidden="1" x14ac:dyDescent="0.3">
      <c r="J2012" s="2" t="str">
        <f t="shared" si="31"/>
        <v>NO</v>
      </c>
      <c r="K2012" s="2" t="e">
        <f>VLOOKUP(F2012,Munka1!A:A,1,0)</f>
        <v>#N/A</v>
      </c>
    </row>
    <row r="2013" spans="10:11" hidden="1" x14ac:dyDescent="0.3">
      <c r="J2013" s="2" t="str">
        <f t="shared" si="31"/>
        <v>NO</v>
      </c>
      <c r="K2013" s="2" t="e">
        <f>VLOOKUP(F2013,Munka1!A:A,1,0)</f>
        <v>#N/A</v>
      </c>
    </row>
    <row r="2014" spans="10:11" hidden="1" x14ac:dyDescent="0.3">
      <c r="J2014" s="2" t="str">
        <f t="shared" si="31"/>
        <v>NO</v>
      </c>
      <c r="K2014" s="2" t="e">
        <f>VLOOKUP(F2014,Munka1!A:A,1,0)</f>
        <v>#N/A</v>
      </c>
    </row>
    <row r="2015" spans="10:11" hidden="1" x14ac:dyDescent="0.3">
      <c r="J2015" s="2" t="str">
        <f t="shared" si="31"/>
        <v>NO</v>
      </c>
      <c r="K2015" s="2" t="e">
        <f>VLOOKUP(F2015,Munka1!A:A,1,0)</f>
        <v>#N/A</v>
      </c>
    </row>
    <row r="2016" spans="10:11" hidden="1" x14ac:dyDescent="0.3">
      <c r="J2016" s="2" t="str">
        <f t="shared" si="31"/>
        <v>NO</v>
      </c>
      <c r="K2016" s="2" t="e">
        <f>VLOOKUP(F2016,Munka1!A:A,1,0)</f>
        <v>#N/A</v>
      </c>
    </row>
    <row r="2017" spans="10:11" hidden="1" x14ac:dyDescent="0.3">
      <c r="J2017" s="2" t="str">
        <f t="shared" si="31"/>
        <v>NO</v>
      </c>
      <c r="K2017" s="2" t="e">
        <f>VLOOKUP(F2017,Munka1!A:A,1,0)</f>
        <v>#N/A</v>
      </c>
    </row>
    <row r="2018" spans="10:11" hidden="1" x14ac:dyDescent="0.3">
      <c r="J2018" s="2" t="str">
        <f t="shared" si="31"/>
        <v>NO</v>
      </c>
      <c r="K2018" s="2" t="e">
        <f>VLOOKUP(F2018,Munka1!A:A,1,0)</f>
        <v>#N/A</v>
      </c>
    </row>
    <row r="2019" spans="10:11" hidden="1" x14ac:dyDescent="0.3">
      <c r="J2019" s="2" t="str">
        <f t="shared" si="31"/>
        <v>NO</v>
      </c>
      <c r="K2019" s="2" t="e">
        <f>VLOOKUP(F2019,Munka1!A:A,1,0)</f>
        <v>#N/A</v>
      </c>
    </row>
    <row r="2020" spans="10:11" hidden="1" x14ac:dyDescent="0.3">
      <c r="J2020" s="2" t="str">
        <f t="shared" si="31"/>
        <v>NO</v>
      </c>
      <c r="K2020" s="2" t="e">
        <f>VLOOKUP(F2020,Munka1!A:A,1,0)</f>
        <v>#N/A</v>
      </c>
    </row>
    <row r="2021" spans="10:11" hidden="1" x14ac:dyDescent="0.3">
      <c r="J2021" s="2" t="str">
        <f t="shared" si="31"/>
        <v>NO</v>
      </c>
      <c r="K2021" s="2" t="e">
        <f>VLOOKUP(F2021,Munka1!A:A,1,0)</f>
        <v>#N/A</v>
      </c>
    </row>
    <row r="2022" spans="10:11" hidden="1" x14ac:dyDescent="0.3">
      <c r="J2022" s="2" t="str">
        <f t="shared" si="31"/>
        <v>NO</v>
      </c>
      <c r="K2022" s="2" t="e">
        <f>VLOOKUP(F2022,Munka1!A:A,1,0)</f>
        <v>#N/A</v>
      </c>
    </row>
    <row r="2023" spans="10:11" hidden="1" x14ac:dyDescent="0.3">
      <c r="J2023" s="2" t="str">
        <f t="shared" si="31"/>
        <v>NO</v>
      </c>
      <c r="K2023" s="2" t="e">
        <f>VLOOKUP(F2023,Munka1!A:A,1,0)</f>
        <v>#N/A</v>
      </c>
    </row>
    <row r="2024" spans="10:11" hidden="1" x14ac:dyDescent="0.3">
      <c r="J2024" s="2" t="str">
        <f t="shared" si="31"/>
        <v>NO</v>
      </c>
      <c r="K2024" s="2" t="e">
        <f>VLOOKUP(F2024,Munka1!A:A,1,0)</f>
        <v>#N/A</v>
      </c>
    </row>
    <row r="2025" spans="10:11" hidden="1" x14ac:dyDescent="0.3">
      <c r="J2025" s="2" t="str">
        <f t="shared" si="31"/>
        <v>NO</v>
      </c>
      <c r="K2025" s="2" t="e">
        <f>VLOOKUP(F2025,Munka1!A:A,1,0)</f>
        <v>#N/A</v>
      </c>
    </row>
    <row r="2026" spans="10:11" hidden="1" x14ac:dyDescent="0.3">
      <c r="J2026" s="2" t="str">
        <f t="shared" si="31"/>
        <v>NO</v>
      </c>
      <c r="K2026" s="2" t="e">
        <f>VLOOKUP(F2026,Munka1!A:A,1,0)</f>
        <v>#N/A</v>
      </c>
    </row>
    <row r="2027" spans="10:11" hidden="1" x14ac:dyDescent="0.3">
      <c r="J2027" s="2" t="str">
        <f t="shared" si="31"/>
        <v>NO</v>
      </c>
      <c r="K2027" s="2" t="e">
        <f>VLOOKUP(F2027,Munka1!A:A,1,0)</f>
        <v>#N/A</v>
      </c>
    </row>
    <row r="2028" spans="10:11" hidden="1" x14ac:dyDescent="0.3">
      <c r="J2028" s="2" t="str">
        <f t="shared" si="31"/>
        <v>NO</v>
      </c>
      <c r="K2028" s="2" t="e">
        <f>VLOOKUP(F2028,Munka1!A:A,1,0)</f>
        <v>#N/A</v>
      </c>
    </row>
    <row r="2029" spans="10:11" hidden="1" x14ac:dyDescent="0.3">
      <c r="J2029" s="2" t="str">
        <f t="shared" si="31"/>
        <v>NO</v>
      </c>
      <c r="K2029" s="2" t="e">
        <f>VLOOKUP(F2029,Munka1!A:A,1,0)</f>
        <v>#N/A</v>
      </c>
    </row>
    <row r="2030" spans="10:11" hidden="1" x14ac:dyDescent="0.3">
      <c r="J2030" s="2" t="str">
        <f t="shared" si="31"/>
        <v>NO</v>
      </c>
      <c r="K2030" s="2" t="e">
        <f>VLOOKUP(F2030,Munka1!A:A,1,0)</f>
        <v>#N/A</v>
      </c>
    </row>
    <row r="2031" spans="10:11" hidden="1" x14ac:dyDescent="0.3">
      <c r="J2031" s="2" t="str">
        <f t="shared" si="31"/>
        <v>NO</v>
      </c>
      <c r="K2031" s="2" t="e">
        <f>VLOOKUP(F2031,Munka1!A:A,1,0)</f>
        <v>#N/A</v>
      </c>
    </row>
    <row r="2032" spans="10:11" hidden="1" x14ac:dyDescent="0.3">
      <c r="J2032" s="2" t="str">
        <f t="shared" si="31"/>
        <v>NO</v>
      </c>
      <c r="K2032" s="2" t="e">
        <f>VLOOKUP(F2032,Munka1!A:A,1,0)</f>
        <v>#N/A</v>
      </c>
    </row>
    <row r="2033" spans="10:11" hidden="1" x14ac:dyDescent="0.3">
      <c r="J2033" s="2" t="str">
        <f t="shared" si="31"/>
        <v>NO</v>
      </c>
      <c r="K2033" s="2" t="e">
        <f>VLOOKUP(F2033,Munka1!A:A,1,0)</f>
        <v>#N/A</v>
      </c>
    </row>
    <row r="2034" spans="10:11" hidden="1" x14ac:dyDescent="0.3">
      <c r="J2034" s="2" t="str">
        <f t="shared" si="31"/>
        <v>NO</v>
      </c>
      <c r="K2034" s="2" t="e">
        <f>VLOOKUP(F2034,Munka1!A:A,1,0)</f>
        <v>#N/A</v>
      </c>
    </row>
    <row r="2035" spans="10:11" hidden="1" x14ac:dyDescent="0.3">
      <c r="J2035" s="2" t="str">
        <f t="shared" si="31"/>
        <v>NO</v>
      </c>
      <c r="K2035" s="2" t="e">
        <f>VLOOKUP(F2035,Munka1!A:A,1,0)</f>
        <v>#N/A</v>
      </c>
    </row>
    <row r="2036" spans="10:11" hidden="1" x14ac:dyDescent="0.3">
      <c r="J2036" s="2" t="str">
        <f t="shared" si="31"/>
        <v>NO</v>
      </c>
      <c r="K2036" s="2" t="e">
        <f>VLOOKUP(F2036,Munka1!A:A,1,0)</f>
        <v>#N/A</v>
      </c>
    </row>
    <row r="2037" spans="10:11" hidden="1" x14ac:dyDescent="0.3">
      <c r="J2037" s="2" t="str">
        <f t="shared" si="31"/>
        <v>NO</v>
      </c>
      <c r="K2037" s="2" t="e">
        <f>VLOOKUP(F2037,Munka1!A:A,1,0)</f>
        <v>#N/A</v>
      </c>
    </row>
    <row r="2038" spans="10:11" hidden="1" x14ac:dyDescent="0.3">
      <c r="J2038" s="2" t="str">
        <f t="shared" si="31"/>
        <v>NO</v>
      </c>
      <c r="K2038" s="2" t="e">
        <f>VLOOKUP(F2038,Munka1!A:A,1,0)</f>
        <v>#N/A</v>
      </c>
    </row>
    <row r="2039" spans="10:11" hidden="1" x14ac:dyDescent="0.3">
      <c r="J2039" s="2" t="str">
        <f t="shared" si="31"/>
        <v>NO</v>
      </c>
      <c r="K2039" s="2" t="e">
        <f>VLOOKUP(F2039,Munka1!A:A,1,0)</f>
        <v>#N/A</v>
      </c>
    </row>
    <row r="2040" spans="10:11" hidden="1" x14ac:dyDescent="0.3">
      <c r="J2040" s="2" t="str">
        <f t="shared" si="31"/>
        <v>NO</v>
      </c>
      <c r="K2040" s="2" t="e">
        <f>VLOOKUP(F2040,Munka1!A:A,1,0)</f>
        <v>#N/A</v>
      </c>
    </row>
    <row r="2041" spans="10:11" hidden="1" x14ac:dyDescent="0.3">
      <c r="J2041" s="2" t="str">
        <f t="shared" si="31"/>
        <v>NO</v>
      </c>
      <c r="K2041" s="2" t="e">
        <f>VLOOKUP(F2041,Munka1!A:A,1,0)</f>
        <v>#N/A</v>
      </c>
    </row>
    <row r="2042" spans="10:11" hidden="1" x14ac:dyDescent="0.3">
      <c r="J2042" s="2" t="str">
        <f t="shared" si="31"/>
        <v>NO</v>
      </c>
      <c r="K2042" s="2" t="e">
        <f>VLOOKUP(F2042,Munka1!A:A,1,0)</f>
        <v>#N/A</v>
      </c>
    </row>
    <row r="2043" spans="10:11" hidden="1" x14ac:dyDescent="0.3">
      <c r="J2043" s="2" t="str">
        <f t="shared" si="31"/>
        <v>NO</v>
      </c>
      <c r="K2043" s="2" t="e">
        <f>VLOOKUP(F2043,Munka1!A:A,1,0)</f>
        <v>#N/A</v>
      </c>
    </row>
    <row r="2044" spans="10:11" hidden="1" x14ac:dyDescent="0.3">
      <c r="J2044" s="2" t="str">
        <f t="shared" si="31"/>
        <v>NO</v>
      </c>
      <c r="K2044" s="2" t="e">
        <f>VLOOKUP(F2044,Munka1!A:A,1,0)</f>
        <v>#N/A</v>
      </c>
    </row>
    <row r="2045" spans="10:11" hidden="1" x14ac:dyDescent="0.3">
      <c r="J2045" s="2" t="str">
        <f t="shared" si="31"/>
        <v>NO</v>
      </c>
      <c r="K2045" s="2" t="e">
        <f>VLOOKUP(F2045,Munka1!A:A,1,0)</f>
        <v>#N/A</v>
      </c>
    </row>
    <row r="2046" spans="10:11" hidden="1" x14ac:dyDescent="0.3">
      <c r="J2046" s="2" t="str">
        <f t="shared" si="31"/>
        <v>NO</v>
      </c>
      <c r="K2046" s="2" t="e">
        <f>VLOOKUP(F2046,Munka1!A:A,1,0)</f>
        <v>#N/A</v>
      </c>
    </row>
    <row r="2047" spans="10:11" hidden="1" x14ac:dyDescent="0.3">
      <c r="J2047" s="2" t="str">
        <f t="shared" si="31"/>
        <v>NO</v>
      </c>
      <c r="K2047" s="2" t="e">
        <f>VLOOKUP(F2047,Munka1!A:A,1,0)</f>
        <v>#N/A</v>
      </c>
    </row>
    <row r="2048" spans="10:11" hidden="1" x14ac:dyDescent="0.3">
      <c r="J2048" s="2" t="str">
        <f t="shared" si="31"/>
        <v>NO</v>
      </c>
      <c r="K2048" s="2" t="e">
        <f>VLOOKUP(F2048,Munka1!A:A,1,0)</f>
        <v>#N/A</v>
      </c>
    </row>
    <row r="2049" spans="10:11" hidden="1" x14ac:dyDescent="0.3">
      <c r="J2049" s="2" t="str">
        <f t="shared" si="31"/>
        <v>NO</v>
      </c>
      <c r="K2049" s="2" t="e">
        <f>VLOOKUP(F2049,Munka1!A:A,1,0)</f>
        <v>#N/A</v>
      </c>
    </row>
    <row r="2050" spans="10:11" hidden="1" x14ac:dyDescent="0.3">
      <c r="J2050" s="2" t="str">
        <f t="shared" si="31"/>
        <v>NO</v>
      </c>
      <c r="K2050" s="2" t="e">
        <f>VLOOKUP(F2050,Munka1!A:A,1,0)</f>
        <v>#N/A</v>
      </c>
    </row>
    <row r="2051" spans="10:11" hidden="1" x14ac:dyDescent="0.3">
      <c r="J2051" s="2" t="str">
        <f t="shared" ref="J2051:J2114" si="32">IF(OR(F2051="",F2051="_",LEFT(F2051,5)="SPARE",F2051="N/A"),"NO","YES")</f>
        <v>NO</v>
      </c>
      <c r="K2051" s="2" t="e">
        <f>VLOOKUP(F2051,Munka1!A:A,1,0)</f>
        <v>#N/A</v>
      </c>
    </row>
    <row r="2052" spans="10:11" hidden="1" x14ac:dyDescent="0.3">
      <c r="J2052" s="2" t="str">
        <f t="shared" si="32"/>
        <v>NO</v>
      </c>
      <c r="K2052" s="2" t="e">
        <f>VLOOKUP(F2052,Munka1!A:A,1,0)</f>
        <v>#N/A</v>
      </c>
    </row>
    <row r="2053" spans="10:11" hidden="1" x14ac:dyDescent="0.3">
      <c r="J2053" s="2" t="str">
        <f t="shared" si="32"/>
        <v>NO</v>
      </c>
      <c r="K2053" s="2" t="e">
        <f>VLOOKUP(F2053,Munka1!A:A,1,0)</f>
        <v>#N/A</v>
      </c>
    </row>
    <row r="2054" spans="10:11" hidden="1" x14ac:dyDescent="0.3">
      <c r="J2054" s="2" t="str">
        <f t="shared" si="32"/>
        <v>NO</v>
      </c>
      <c r="K2054" s="2" t="e">
        <f>VLOOKUP(F2054,Munka1!A:A,1,0)</f>
        <v>#N/A</v>
      </c>
    </row>
    <row r="2055" spans="10:11" hidden="1" x14ac:dyDescent="0.3">
      <c r="J2055" s="2" t="str">
        <f t="shared" si="32"/>
        <v>NO</v>
      </c>
      <c r="K2055" s="2" t="e">
        <f>VLOOKUP(F2055,Munka1!A:A,1,0)</f>
        <v>#N/A</v>
      </c>
    </row>
    <row r="2056" spans="10:11" hidden="1" x14ac:dyDescent="0.3">
      <c r="J2056" s="2" t="str">
        <f t="shared" si="32"/>
        <v>NO</v>
      </c>
      <c r="K2056" s="2" t="e">
        <f>VLOOKUP(F2056,Munka1!A:A,1,0)</f>
        <v>#N/A</v>
      </c>
    </row>
    <row r="2057" spans="10:11" hidden="1" x14ac:dyDescent="0.3">
      <c r="J2057" s="2" t="str">
        <f t="shared" si="32"/>
        <v>NO</v>
      </c>
      <c r="K2057" s="2" t="e">
        <f>VLOOKUP(F2057,Munka1!A:A,1,0)</f>
        <v>#N/A</v>
      </c>
    </row>
    <row r="2058" spans="10:11" hidden="1" x14ac:dyDescent="0.3">
      <c r="J2058" s="2" t="str">
        <f t="shared" si="32"/>
        <v>NO</v>
      </c>
      <c r="K2058" s="2" t="e">
        <f>VLOOKUP(F2058,Munka1!A:A,1,0)</f>
        <v>#N/A</v>
      </c>
    </row>
    <row r="2059" spans="10:11" hidden="1" x14ac:dyDescent="0.3">
      <c r="J2059" s="2" t="str">
        <f t="shared" si="32"/>
        <v>NO</v>
      </c>
      <c r="K2059" s="2" t="e">
        <f>VLOOKUP(F2059,Munka1!A:A,1,0)</f>
        <v>#N/A</v>
      </c>
    </row>
    <row r="2060" spans="10:11" hidden="1" x14ac:dyDescent="0.3">
      <c r="J2060" s="2" t="str">
        <f t="shared" si="32"/>
        <v>NO</v>
      </c>
      <c r="K2060" s="2" t="e">
        <f>VLOOKUP(F2060,Munka1!A:A,1,0)</f>
        <v>#N/A</v>
      </c>
    </row>
    <row r="2061" spans="10:11" hidden="1" x14ac:dyDescent="0.3">
      <c r="J2061" s="2" t="str">
        <f t="shared" si="32"/>
        <v>NO</v>
      </c>
      <c r="K2061" s="2" t="e">
        <f>VLOOKUP(F2061,Munka1!A:A,1,0)</f>
        <v>#N/A</v>
      </c>
    </row>
    <row r="2062" spans="10:11" hidden="1" x14ac:dyDescent="0.3">
      <c r="J2062" s="2" t="str">
        <f t="shared" si="32"/>
        <v>NO</v>
      </c>
      <c r="K2062" s="2" t="e">
        <f>VLOOKUP(F2062,Munka1!A:A,1,0)</f>
        <v>#N/A</v>
      </c>
    </row>
    <row r="2063" spans="10:11" hidden="1" x14ac:dyDescent="0.3">
      <c r="J2063" s="2" t="str">
        <f t="shared" si="32"/>
        <v>NO</v>
      </c>
      <c r="K2063" s="2" t="e">
        <f>VLOOKUP(F2063,Munka1!A:A,1,0)</f>
        <v>#N/A</v>
      </c>
    </row>
    <row r="2064" spans="10:11" hidden="1" x14ac:dyDescent="0.3">
      <c r="J2064" s="2" t="str">
        <f t="shared" si="32"/>
        <v>NO</v>
      </c>
      <c r="K2064" s="2" t="e">
        <f>VLOOKUP(F2064,Munka1!A:A,1,0)</f>
        <v>#N/A</v>
      </c>
    </row>
    <row r="2065" spans="10:11" hidden="1" x14ac:dyDescent="0.3">
      <c r="J2065" s="2" t="str">
        <f t="shared" si="32"/>
        <v>NO</v>
      </c>
      <c r="K2065" s="2" t="e">
        <f>VLOOKUP(F2065,Munka1!A:A,1,0)</f>
        <v>#N/A</v>
      </c>
    </row>
    <row r="2066" spans="10:11" hidden="1" x14ac:dyDescent="0.3">
      <c r="J2066" s="2" t="str">
        <f t="shared" si="32"/>
        <v>NO</v>
      </c>
      <c r="K2066" s="2" t="e">
        <f>VLOOKUP(F2066,Munka1!A:A,1,0)</f>
        <v>#N/A</v>
      </c>
    </row>
    <row r="2067" spans="10:11" hidden="1" x14ac:dyDescent="0.3">
      <c r="J2067" s="2" t="str">
        <f t="shared" si="32"/>
        <v>NO</v>
      </c>
      <c r="K2067" s="2" t="e">
        <f>VLOOKUP(F2067,Munka1!A:A,1,0)</f>
        <v>#N/A</v>
      </c>
    </row>
    <row r="2068" spans="10:11" hidden="1" x14ac:dyDescent="0.3">
      <c r="J2068" s="2" t="str">
        <f t="shared" si="32"/>
        <v>NO</v>
      </c>
      <c r="K2068" s="2" t="e">
        <f>VLOOKUP(F2068,Munka1!A:A,1,0)</f>
        <v>#N/A</v>
      </c>
    </row>
    <row r="2069" spans="10:11" hidden="1" x14ac:dyDescent="0.3">
      <c r="J2069" s="2" t="str">
        <f t="shared" si="32"/>
        <v>NO</v>
      </c>
      <c r="K2069" s="2" t="e">
        <f>VLOOKUP(F2069,Munka1!A:A,1,0)</f>
        <v>#N/A</v>
      </c>
    </row>
    <row r="2070" spans="10:11" hidden="1" x14ac:dyDescent="0.3">
      <c r="J2070" s="2" t="str">
        <f t="shared" si="32"/>
        <v>NO</v>
      </c>
      <c r="K2070" s="2" t="e">
        <f>VLOOKUP(F2070,Munka1!A:A,1,0)</f>
        <v>#N/A</v>
      </c>
    </row>
    <row r="2071" spans="10:11" hidden="1" x14ac:dyDescent="0.3">
      <c r="J2071" s="2" t="str">
        <f t="shared" si="32"/>
        <v>NO</v>
      </c>
      <c r="K2071" s="2" t="e">
        <f>VLOOKUP(F2071,Munka1!A:A,1,0)</f>
        <v>#N/A</v>
      </c>
    </row>
    <row r="2072" spans="10:11" hidden="1" x14ac:dyDescent="0.3">
      <c r="J2072" s="2" t="str">
        <f t="shared" si="32"/>
        <v>NO</v>
      </c>
      <c r="K2072" s="2" t="e">
        <f>VLOOKUP(F2072,Munka1!A:A,1,0)</f>
        <v>#N/A</v>
      </c>
    </row>
    <row r="2073" spans="10:11" hidden="1" x14ac:dyDescent="0.3">
      <c r="J2073" s="2" t="str">
        <f t="shared" si="32"/>
        <v>NO</v>
      </c>
      <c r="K2073" s="2" t="e">
        <f>VLOOKUP(F2073,Munka1!A:A,1,0)</f>
        <v>#N/A</v>
      </c>
    </row>
    <row r="2074" spans="10:11" hidden="1" x14ac:dyDescent="0.3">
      <c r="J2074" s="2" t="str">
        <f t="shared" si="32"/>
        <v>NO</v>
      </c>
      <c r="K2074" s="2" t="e">
        <f>VLOOKUP(F2074,Munka1!A:A,1,0)</f>
        <v>#N/A</v>
      </c>
    </row>
    <row r="2075" spans="10:11" hidden="1" x14ac:dyDescent="0.3">
      <c r="J2075" s="2" t="str">
        <f t="shared" si="32"/>
        <v>NO</v>
      </c>
      <c r="K2075" s="2" t="e">
        <f>VLOOKUP(F2075,Munka1!A:A,1,0)</f>
        <v>#N/A</v>
      </c>
    </row>
    <row r="2076" spans="10:11" hidden="1" x14ac:dyDescent="0.3">
      <c r="J2076" s="2" t="str">
        <f t="shared" si="32"/>
        <v>NO</v>
      </c>
      <c r="K2076" s="2" t="e">
        <f>VLOOKUP(F2076,Munka1!A:A,1,0)</f>
        <v>#N/A</v>
      </c>
    </row>
    <row r="2077" spans="10:11" hidden="1" x14ac:dyDescent="0.3">
      <c r="J2077" s="2" t="str">
        <f t="shared" si="32"/>
        <v>NO</v>
      </c>
      <c r="K2077" s="2" t="e">
        <f>VLOOKUP(F2077,Munka1!A:A,1,0)</f>
        <v>#N/A</v>
      </c>
    </row>
    <row r="2078" spans="10:11" hidden="1" x14ac:dyDescent="0.3">
      <c r="J2078" s="2" t="str">
        <f t="shared" si="32"/>
        <v>NO</v>
      </c>
      <c r="K2078" s="2" t="e">
        <f>VLOOKUP(F2078,Munka1!A:A,1,0)</f>
        <v>#N/A</v>
      </c>
    </row>
    <row r="2079" spans="10:11" hidden="1" x14ac:dyDescent="0.3">
      <c r="J2079" s="2" t="str">
        <f t="shared" si="32"/>
        <v>NO</v>
      </c>
      <c r="K2079" s="2" t="e">
        <f>VLOOKUP(F2079,Munka1!A:A,1,0)</f>
        <v>#N/A</v>
      </c>
    </row>
    <row r="2080" spans="10:11" hidden="1" x14ac:dyDescent="0.3">
      <c r="J2080" s="2" t="str">
        <f t="shared" si="32"/>
        <v>NO</v>
      </c>
      <c r="K2080" s="2" t="e">
        <f>VLOOKUP(F2080,Munka1!A:A,1,0)</f>
        <v>#N/A</v>
      </c>
    </row>
    <row r="2081" spans="10:11" hidden="1" x14ac:dyDescent="0.3">
      <c r="J2081" s="2" t="str">
        <f t="shared" si="32"/>
        <v>NO</v>
      </c>
      <c r="K2081" s="2" t="e">
        <f>VLOOKUP(F2081,Munka1!A:A,1,0)</f>
        <v>#N/A</v>
      </c>
    </row>
    <row r="2082" spans="10:11" hidden="1" x14ac:dyDescent="0.3">
      <c r="J2082" s="2" t="str">
        <f t="shared" si="32"/>
        <v>NO</v>
      </c>
      <c r="K2082" s="2" t="e">
        <f>VLOOKUP(F2082,Munka1!A:A,1,0)</f>
        <v>#N/A</v>
      </c>
    </row>
    <row r="2083" spans="10:11" hidden="1" x14ac:dyDescent="0.3">
      <c r="J2083" s="2" t="str">
        <f t="shared" si="32"/>
        <v>NO</v>
      </c>
      <c r="K2083" s="2" t="e">
        <f>VLOOKUP(F2083,Munka1!A:A,1,0)</f>
        <v>#N/A</v>
      </c>
    </row>
    <row r="2084" spans="10:11" hidden="1" x14ac:dyDescent="0.3">
      <c r="J2084" s="2" t="str">
        <f t="shared" si="32"/>
        <v>NO</v>
      </c>
      <c r="K2084" s="2" t="e">
        <f>VLOOKUP(F2084,Munka1!A:A,1,0)</f>
        <v>#N/A</v>
      </c>
    </row>
    <row r="2085" spans="10:11" hidden="1" x14ac:dyDescent="0.3">
      <c r="J2085" s="2" t="str">
        <f t="shared" si="32"/>
        <v>NO</v>
      </c>
      <c r="K2085" s="2" t="e">
        <f>VLOOKUP(F2085,Munka1!A:A,1,0)</f>
        <v>#N/A</v>
      </c>
    </row>
    <row r="2086" spans="10:11" hidden="1" x14ac:dyDescent="0.3">
      <c r="J2086" s="2" t="str">
        <f t="shared" si="32"/>
        <v>NO</v>
      </c>
      <c r="K2086" s="2" t="e">
        <f>VLOOKUP(F2086,Munka1!A:A,1,0)</f>
        <v>#N/A</v>
      </c>
    </row>
    <row r="2087" spans="10:11" hidden="1" x14ac:dyDescent="0.3">
      <c r="J2087" s="2" t="str">
        <f t="shared" si="32"/>
        <v>NO</v>
      </c>
      <c r="K2087" s="2" t="e">
        <f>VLOOKUP(F2087,Munka1!A:A,1,0)</f>
        <v>#N/A</v>
      </c>
    </row>
    <row r="2088" spans="10:11" hidden="1" x14ac:dyDescent="0.3">
      <c r="J2088" s="2" t="str">
        <f t="shared" si="32"/>
        <v>NO</v>
      </c>
      <c r="K2088" s="2" t="e">
        <f>VLOOKUP(F2088,Munka1!A:A,1,0)</f>
        <v>#N/A</v>
      </c>
    </row>
    <row r="2089" spans="10:11" hidden="1" x14ac:dyDescent="0.3">
      <c r="J2089" s="2" t="str">
        <f t="shared" si="32"/>
        <v>NO</v>
      </c>
      <c r="K2089" s="2" t="e">
        <f>VLOOKUP(F2089,Munka1!A:A,1,0)</f>
        <v>#N/A</v>
      </c>
    </row>
    <row r="2090" spans="10:11" hidden="1" x14ac:dyDescent="0.3">
      <c r="J2090" s="2" t="str">
        <f t="shared" si="32"/>
        <v>NO</v>
      </c>
      <c r="K2090" s="2" t="e">
        <f>VLOOKUP(F2090,Munka1!A:A,1,0)</f>
        <v>#N/A</v>
      </c>
    </row>
    <row r="2091" spans="10:11" hidden="1" x14ac:dyDescent="0.3">
      <c r="J2091" s="2" t="str">
        <f t="shared" si="32"/>
        <v>NO</v>
      </c>
      <c r="K2091" s="2" t="e">
        <f>VLOOKUP(F2091,Munka1!A:A,1,0)</f>
        <v>#N/A</v>
      </c>
    </row>
    <row r="2092" spans="10:11" hidden="1" x14ac:dyDescent="0.3">
      <c r="J2092" s="2" t="str">
        <f t="shared" si="32"/>
        <v>NO</v>
      </c>
      <c r="K2092" s="2" t="e">
        <f>VLOOKUP(F2092,Munka1!A:A,1,0)</f>
        <v>#N/A</v>
      </c>
    </row>
    <row r="2093" spans="10:11" hidden="1" x14ac:dyDescent="0.3">
      <c r="J2093" s="2" t="str">
        <f t="shared" si="32"/>
        <v>NO</v>
      </c>
      <c r="K2093" s="2" t="e">
        <f>VLOOKUP(F2093,Munka1!A:A,1,0)</f>
        <v>#N/A</v>
      </c>
    </row>
    <row r="2094" spans="10:11" hidden="1" x14ac:dyDescent="0.3">
      <c r="J2094" s="2" t="str">
        <f t="shared" si="32"/>
        <v>NO</v>
      </c>
      <c r="K2094" s="2" t="e">
        <f>VLOOKUP(F2094,Munka1!A:A,1,0)</f>
        <v>#N/A</v>
      </c>
    </row>
    <row r="2095" spans="10:11" hidden="1" x14ac:dyDescent="0.3">
      <c r="J2095" s="2" t="str">
        <f t="shared" si="32"/>
        <v>NO</v>
      </c>
      <c r="K2095" s="2" t="e">
        <f>VLOOKUP(F2095,Munka1!A:A,1,0)</f>
        <v>#N/A</v>
      </c>
    </row>
    <row r="2096" spans="10:11" hidden="1" x14ac:dyDescent="0.3">
      <c r="J2096" s="2" t="str">
        <f t="shared" si="32"/>
        <v>NO</v>
      </c>
      <c r="K2096" s="2" t="e">
        <f>VLOOKUP(F2096,Munka1!A:A,1,0)</f>
        <v>#N/A</v>
      </c>
    </row>
    <row r="2097" spans="10:11" hidden="1" x14ac:dyDescent="0.3">
      <c r="J2097" s="2" t="str">
        <f t="shared" si="32"/>
        <v>NO</v>
      </c>
      <c r="K2097" s="2" t="e">
        <f>VLOOKUP(F2097,Munka1!A:A,1,0)</f>
        <v>#N/A</v>
      </c>
    </row>
    <row r="2098" spans="10:11" hidden="1" x14ac:dyDescent="0.3">
      <c r="J2098" s="2" t="str">
        <f t="shared" si="32"/>
        <v>NO</v>
      </c>
      <c r="K2098" s="2" t="e">
        <f>VLOOKUP(F2098,Munka1!A:A,1,0)</f>
        <v>#N/A</v>
      </c>
    </row>
    <row r="2099" spans="10:11" hidden="1" x14ac:dyDescent="0.3">
      <c r="J2099" s="2" t="str">
        <f t="shared" si="32"/>
        <v>NO</v>
      </c>
      <c r="K2099" s="2" t="e">
        <f>VLOOKUP(F2099,Munka1!A:A,1,0)</f>
        <v>#N/A</v>
      </c>
    </row>
    <row r="2100" spans="10:11" hidden="1" x14ac:dyDescent="0.3">
      <c r="J2100" s="2" t="str">
        <f t="shared" si="32"/>
        <v>NO</v>
      </c>
      <c r="K2100" s="2" t="e">
        <f>VLOOKUP(F2100,Munka1!A:A,1,0)</f>
        <v>#N/A</v>
      </c>
    </row>
    <row r="2101" spans="10:11" hidden="1" x14ac:dyDescent="0.3">
      <c r="J2101" s="2" t="str">
        <f t="shared" si="32"/>
        <v>NO</v>
      </c>
      <c r="K2101" s="2" t="e">
        <f>VLOOKUP(F2101,Munka1!A:A,1,0)</f>
        <v>#N/A</v>
      </c>
    </row>
    <row r="2102" spans="10:11" hidden="1" x14ac:dyDescent="0.3">
      <c r="J2102" s="2" t="str">
        <f t="shared" si="32"/>
        <v>NO</v>
      </c>
      <c r="K2102" s="2" t="e">
        <f>VLOOKUP(F2102,Munka1!A:A,1,0)</f>
        <v>#N/A</v>
      </c>
    </row>
    <row r="2103" spans="10:11" hidden="1" x14ac:dyDescent="0.3">
      <c r="J2103" s="2" t="str">
        <f t="shared" si="32"/>
        <v>NO</v>
      </c>
      <c r="K2103" s="2" t="e">
        <f>VLOOKUP(F2103,Munka1!A:A,1,0)</f>
        <v>#N/A</v>
      </c>
    </row>
    <row r="2104" spans="10:11" hidden="1" x14ac:dyDescent="0.3">
      <c r="J2104" s="2" t="str">
        <f t="shared" si="32"/>
        <v>NO</v>
      </c>
      <c r="K2104" s="2" t="e">
        <f>VLOOKUP(F2104,Munka1!A:A,1,0)</f>
        <v>#N/A</v>
      </c>
    </row>
    <row r="2105" spans="10:11" hidden="1" x14ac:dyDescent="0.3">
      <c r="J2105" s="2" t="str">
        <f t="shared" si="32"/>
        <v>NO</v>
      </c>
      <c r="K2105" s="2" t="e">
        <f>VLOOKUP(F2105,Munka1!A:A,1,0)</f>
        <v>#N/A</v>
      </c>
    </row>
    <row r="2106" spans="10:11" hidden="1" x14ac:dyDescent="0.3">
      <c r="J2106" s="2" t="str">
        <f t="shared" si="32"/>
        <v>NO</v>
      </c>
      <c r="K2106" s="2" t="e">
        <f>VLOOKUP(F2106,Munka1!A:A,1,0)</f>
        <v>#N/A</v>
      </c>
    </row>
    <row r="2107" spans="10:11" hidden="1" x14ac:dyDescent="0.3">
      <c r="J2107" s="2" t="str">
        <f t="shared" si="32"/>
        <v>NO</v>
      </c>
      <c r="K2107" s="2" t="e">
        <f>VLOOKUP(F2107,Munka1!A:A,1,0)</f>
        <v>#N/A</v>
      </c>
    </row>
    <row r="2108" spans="10:11" hidden="1" x14ac:dyDescent="0.3">
      <c r="J2108" s="2" t="str">
        <f t="shared" si="32"/>
        <v>NO</v>
      </c>
      <c r="K2108" s="2" t="e">
        <f>VLOOKUP(F2108,Munka1!A:A,1,0)</f>
        <v>#N/A</v>
      </c>
    </row>
    <row r="2109" spans="10:11" hidden="1" x14ac:dyDescent="0.3">
      <c r="J2109" s="2" t="str">
        <f t="shared" si="32"/>
        <v>NO</v>
      </c>
      <c r="K2109" s="2" t="e">
        <f>VLOOKUP(F2109,Munka1!A:A,1,0)</f>
        <v>#N/A</v>
      </c>
    </row>
    <row r="2110" spans="10:11" hidden="1" x14ac:dyDescent="0.3">
      <c r="J2110" s="2" t="str">
        <f t="shared" si="32"/>
        <v>NO</v>
      </c>
      <c r="K2110" s="2" t="e">
        <f>VLOOKUP(F2110,Munka1!A:A,1,0)</f>
        <v>#N/A</v>
      </c>
    </row>
    <row r="2111" spans="10:11" hidden="1" x14ac:dyDescent="0.3">
      <c r="J2111" s="2" t="str">
        <f t="shared" si="32"/>
        <v>NO</v>
      </c>
      <c r="K2111" s="2" t="e">
        <f>VLOOKUP(F2111,Munka1!A:A,1,0)</f>
        <v>#N/A</v>
      </c>
    </row>
    <row r="2112" spans="10:11" hidden="1" x14ac:dyDescent="0.3">
      <c r="J2112" s="2" t="str">
        <f t="shared" si="32"/>
        <v>NO</v>
      </c>
      <c r="K2112" s="2" t="e">
        <f>VLOOKUP(F2112,Munka1!A:A,1,0)</f>
        <v>#N/A</v>
      </c>
    </row>
    <row r="2113" spans="1:11" hidden="1" x14ac:dyDescent="0.3">
      <c r="J2113" s="2" t="str">
        <f t="shared" si="32"/>
        <v>NO</v>
      </c>
      <c r="K2113" s="2" t="e">
        <f>VLOOKUP(F2113,Munka1!A:A,1,0)</f>
        <v>#N/A</v>
      </c>
    </row>
    <row r="2114" spans="1:11" hidden="1" x14ac:dyDescent="0.3">
      <c r="J2114" s="2" t="str">
        <f t="shared" si="32"/>
        <v>NO</v>
      </c>
      <c r="K2114" s="2" t="e">
        <f>VLOOKUP(F2114,Munka1!A:A,1,0)</f>
        <v>#N/A</v>
      </c>
    </row>
    <row r="2115" spans="1:11" hidden="1" x14ac:dyDescent="0.3">
      <c r="J2115" s="2" t="str">
        <f t="shared" ref="J2115:J2134" si="33">IF(OR(F2115="",F2115="_",LEFT(F2115,5)="SPARE",F2115="N/A"),"NO","YES")</f>
        <v>NO</v>
      </c>
      <c r="K2115" s="2" t="e">
        <f>VLOOKUP(F2115,Munka1!A:A,1,0)</f>
        <v>#N/A</v>
      </c>
    </row>
    <row r="2116" spans="1:11" hidden="1" x14ac:dyDescent="0.3">
      <c r="J2116" s="2" t="str">
        <f t="shared" si="33"/>
        <v>NO</v>
      </c>
      <c r="K2116" s="2" t="e">
        <f>VLOOKUP(F2116,Munka1!A:A,1,0)</f>
        <v>#N/A</v>
      </c>
    </row>
    <row r="2117" spans="1:11" hidden="1" x14ac:dyDescent="0.3">
      <c r="J2117" s="2" t="str">
        <f t="shared" si="33"/>
        <v>NO</v>
      </c>
      <c r="K2117" s="2" t="e">
        <f>VLOOKUP(F2117,Munka1!A:A,1,0)</f>
        <v>#N/A</v>
      </c>
    </row>
    <row r="2118" spans="1:11" hidden="1" x14ac:dyDescent="0.3">
      <c r="J2118" s="2" t="str">
        <f t="shared" si="33"/>
        <v>NO</v>
      </c>
      <c r="K2118" s="2" t="e">
        <f>VLOOKUP(F2118,Munka1!A:A,1,0)</f>
        <v>#N/A</v>
      </c>
    </row>
    <row r="2119" spans="1:11" hidden="1" x14ac:dyDescent="0.3">
      <c r="J2119" s="2" t="str">
        <f t="shared" si="33"/>
        <v>NO</v>
      </c>
      <c r="K2119" s="2" t="e">
        <f>VLOOKUP(F2119,Munka1!A:A,1,0)</f>
        <v>#N/A</v>
      </c>
    </row>
    <row r="2120" spans="1:11" hidden="1" x14ac:dyDescent="0.3">
      <c r="J2120" s="2" t="str">
        <f t="shared" si="33"/>
        <v>NO</v>
      </c>
      <c r="K2120" s="2" t="e">
        <f>VLOOKUP(F2120,Munka1!A:A,1,0)</f>
        <v>#N/A</v>
      </c>
    </row>
    <row r="2121" spans="1:11" hidden="1" x14ac:dyDescent="0.3">
      <c r="J2121" s="2" t="str">
        <f t="shared" si="33"/>
        <v>NO</v>
      </c>
      <c r="K2121" s="2" t="e">
        <f>VLOOKUP(F2121,Munka1!A:A,1,0)</f>
        <v>#N/A</v>
      </c>
    </row>
    <row r="2122" spans="1:11" hidden="1" x14ac:dyDescent="0.3">
      <c r="J2122" s="2" t="str">
        <f t="shared" si="33"/>
        <v>NO</v>
      </c>
      <c r="K2122" s="2" t="e">
        <f>VLOOKUP(F2122,Munka1!A:A,1,0)</f>
        <v>#N/A</v>
      </c>
    </row>
    <row r="2123" spans="1:11" hidden="1" x14ac:dyDescent="0.3">
      <c r="J2123" s="2" t="str">
        <f t="shared" si="33"/>
        <v>NO</v>
      </c>
      <c r="K2123" s="2" t="e">
        <f>VLOOKUP(F2123,Munka1!A:A,1,0)</f>
        <v>#N/A</v>
      </c>
    </row>
    <row r="2124" spans="1:11" hidden="1" x14ac:dyDescent="0.3">
      <c r="A2124" s="2" t="s">
        <v>242</v>
      </c>
      <c r="B2124" s="26" t="s">
        <v>1022</v>
      </c>
      <c r="C2124" t="s">
        <v>1023</v>
      </c>
      <c r="D2124" t="s">
        <v>64</v>
      </c>
      <c r="E2124" t="s">
        <v>11</v>
      </c>
      <c r="F2124" s="4" t="s">
        <v>1021</v>
      </c>
      <c r="G2124">
        <v>1</v>
      </c>
      <c r="H2124"/>
      <c r="I2124" t="s">
        <v>392</v>
      </c>
      <c r="J2124" s="2" t="str">
        <f t="shared" si="33"/>
        <v>YES</v>
      </c>
      <c r="K2124" s="2" t="s">
        <v>1021</v>
      </c>
    </row>
    <row r="2125" spans="1:11" hidden="1" x14ac:dyDescent="0.3">
      <c r="A2125" s="2" t="s">
        <v>242</v>
      </c>
      <c r="B2125" s="26" t="s">
        <v>1022</v>
      </c>
      <c r="C2125" t="s">
        <v>1023</v>
      </c>
      <c r="D2125" t="s">
        <v>64</v>
      </c>
      <c r="E2125" t="s">
        <v>11</v>
      </c>
      <c r="F2125" s="4" t="s">
        <v>1025</v>
      </c>
      <c r="G2125">
        <v>1</v>
      </c>
      <c r="H2125"/>
      <c r="I2125" t="s">
        <v>427</v>
      </c>
      <c r="J2125" s="2" t="str">
        <f t="shared" si="33"/>
        <v>YES</v>
      </c>
      <c r="K2125" s="2" t="s">
        <v>1025</v>
      </c>
    </row>
    <row r="2126" spans="1:11" hidden="1" x14ac:dyDescent="0.3">
      <c r="A2126" s="2" t="s">
        <v>242</v>
      </c>
      <c r="B2126" s="26" t="s">
        <v>1022</v>
      </c>
      <c r="C2126" t="s">
        <v>1023</v>
      </c>
      <c r="D2126" t="s">
        <v>64</v>
      </c>
      <c r="E2126" t="s">
        <v>11</v>
      </c>
      <c r="F2126" s="4" t="s">
        <v>1026</v>
      </c>
      <c r="G2126">
        <v>1</v>
      </c>
      <c r="H2126"/>
      <c r="I2126" t="s">
        <v>418</v>
      </c>
      <c r="J2126" s="2" t="str">
        <f t="shared" si="33"/>
        <v>YES</v>
      </c>
      <c r="K2126" s="2" t="s">
        <v>1026</v>
      </c>
    </row>
    <row r="2127" spans="1:11" hidden="1" x14ac:dyDescent="0.3">
      <c r="A2127" s="2" t="s">
        <v>242</v>
      </c>
      <c r="B2127" s="26" t="s">
        <v>1022</v>
      </c>
      <c r="C2127" t="s">
        <v>1023</v>
      </c>
      <c r="D2127" t="s">
        <v>64</v>
      </c>
      <c r="E2127" t="s">
        <v>11</v>
      </c>
      <c r="F2127" s="4" t="s">
        <v>1028</v>
      </c>
      <c r="G2127">
        <v>1</v>
      </c>
      <c r="H2127"/>
      <c r="I2127" t="s">
        <v>437</v>
      </c>
      <c r="J2127" s="2" t="str">
        <f t="shared" si="33"/>
        <v>YES</v>
      </c>
      <c r="K2127" s="2" t="s">
        <v>1028</v>
      </c>
    </row>
    <row r="2128" spans="1:11" hidden="1" x14ac:dyDescent="0.3">
      <c r="A2128" s="2" t="s">
        <v>242</v>
      </c>
      <c r="B2128" s="26" t="s">
        <v>1022</v>
      </c>
      <c r="C2128" t="s">
        <v>1023</v>
      </c>
      <c r="D2128" t="s">
        <v>64</v>
      </c>
      <c r="E2128" t="s">
        <v>11</v>
      </c>
      <c r="F2128" s="4" t="s">
        <v>1029</v>
      </c>
      <c r="G2128">
        <v>1</v>
      </c>
      <c r="H2128"/>
      <c r="I2128" t="s">
        <v>446</v>
      </c>
      <c r="J2128" s="2" t="str">
        <f t="shared" si="33"/>
        <v>YES</v>
      </c>
      <c r="K2128" s="2" t="s">
        <v>1029</v>
      </c>
    </row>
    <row r="2129" spans="1:11" hidden="1" x14ac:dyDescent="0.3">
      <c r="A2129" s="2" t="s">
        <v>242</v>
      </c>
      <c r="B2129" s="26" t="s">
        <v>1022</v>
      </c>
      <c r="C2129" t="s">
        <v>1023</v>
      </c>
      <c r="D2129" t="s">
        <v>64</v>
      </c>
      <c r="E2129" t="s">
        <v>11</v>
      </c>
      <c r="F2129" s="4" t="s">
        <v>1030</v>
      </c>
      <c r="G2129">
        <v>1</v>
      </c>
      <c r="H2129"/>
      <c r="I2129" t="s">
        <v>456</v>
      </c>
      <c r="J2129" s="2" t="str">
        <f t="shared" si="33"/>
        <v>YES</v>
      </c>
      <c r="K2129" s="2" t="s">
        <v>1030</v>
      </c>
    </row>
    <row r="2130" spans="1:11" hidden="1" x14ac:dyDescent="0.3">
      <c r="A2130" s="2" t="s">
        <v>242</v>
      </c>
      <c r="B2130" s="26" t="s">
        <v>1022</v>
      </c>
      <c r="C2130" t="s">
        <v>1023</v>
      </c>
      <c r="D2130" t="s">
        <v>64</v>
      </c>
      <c r="E2130" t="s">
        <v>11</v>
      </c>
      <c r="F2130" s="4" t="s">
        <v>1031</v>
      </c>
      <c r="G2130">
        <v>1</v>
      </c>
      <c r="H2130"/>
      <c r="I2130" t="s">
        <v>465</v>
      </c>
      <c r="J2130" s="2" t="str">
        <f t="shared" si="33"/>
        <v>YES</v>
      </c>
      <c r="K2130" s="2" t="s">
        <v>1031</v>
      </c>
    </row>
    <row r="2131" spans="1:11" hidden="1" x14ac:dyDescent="0.3">
      <c r="A2131" s="2" t="s">
        <v>242</v>
      </c>
      <c r="B2131" s="26" t="s">
        <v>1022</v>
      </c>
      <c r="C2131" t="s">
        <v>1023</v>
      </c>
      <c r="D2131" t="s">
        <v>64</v>
      </c>
      <c r="E2131" t="s">
        <v>11</v>
      </c>
      <c r="F2131" s="4" t="s">
        <v>1032</v>
      </c>
      <c r="G2131">
        <v>1</v>
      </c>
      <c r="H2131"/>
      <c r="I2131" t="s">
        <v>475</v>
      </c>
      <c r="J2131" s="2" t="str">
        <f t="shared" si="33"/>
        <v>YES</v>
      </c>
      <c r="K2131" s="2" t="s">
        <v>1032</v>
      </c>
    </row>
    <row r="2132" spans="1:11" hidden="1" x14ac:dyDescent="0.3">
      <c r="A2132" s="2" t="s">
        <v>242</v>
      </c>
      <c r="B2132" s="26" t="s">
        <v>1022</v>
      </c>
      <c r="C2132" t="s">
        <v>1023</v>
      </c>
      <c r="D2132" t="s">
        <v>64</v>
      </c>
      <c r="E2132" t="s">
        <v>11</v>
      </c>
      <c r="F2132" s="4" t="s">
        <v>1033</v>
      </c>
      <c r="G2132">
        <v>1</v>
      </c>
      <c r="H2132"/>
      <c r="I2132" t="s">
        <v>484</v>
      </c>
      <c r="J2132" s="2" t="str">
        <f t="shared" si="33"/>
        <v>YES</v>
      </c>
      <c r="K2132" s="2" t="s">
        <v>1033</v>
      </c>
    </row>
    <row r="2133" spans="1:11" hidden="1" x14ac:dyDescent="0.3">
      <c r="A2133" s="2" t="s">
        <v>242</v>
      </c>
      <c r="B2133" s="26" t="s">
        <v>1022</v>
      </c>
      <c r="C2133" t="s">
        <v>1023</v>
      </c>
      <c r="D2133" t="s">
        <v>64</v>
      </c>
      <c r="E2133" t="s">
        <v>11</v>
      </c>
      <c r="F2133" s="4" t="s">
        <v>1034</v>
      </c>
      <c r="G2133">
        <v>1</v>
      </c>
      <c r="H2133"/>
      <c r="I2133" t="s">
        <v>1035</v>
      </c>
      <c r="J2133" s="2" t="str">
        <f t="shared" si="33"/>
        <v>YES</v>
      </c>
      <c r="K2133" s="2" t="s">
        <v>1034</v>
      </c>
    </row>
    <row r="2134" spans="1:11" hidden="1" x14ac:dyDescent="0.3">
      <c r="A2134" s="2" t="s">
        <v>242</v>
      </c>
      <c r="B2134" s="26" t="s">
        <v>1022</v>
      </c>
      <c r="C2134" t="s">
        <v>1023</v>
      </c>
      <c r="D2134" t="s">
        <v>64</v>
      </c>
      <c r="E2134" t="s">
        <v>11</v>
      </c>
      <c r="F2134" s="4" t="s">
        <v>1036</v>
      </c>
      <c r="G2134">
        <v>1</v>
      </c>
      <c r="H2134"/>
      <c r="I2134" t="s">
        <v>1035</v>
      </c>
      <c r="J2134" s="2" t="str">
        <f t="shared" si="33"/>
        <v>YES</v>
      </c>
      <c r="K2134" s="2" t="s">
        <v>1036</v>
      </c>
    </row>
  </sheetData>
  <autoFilter ref="A1:K2134">
    <filterColumn colId="5">
      <filters>
        <filter val="UGXVT01J7B4R6Z"/>
      </filters>
    </filterColumn>
  </autoFilter>
  <conditionalFormatting sqref="F680">
    <cfRule type="duplicateValues" dxfId="42" priority="20"/>
  </conditionalFormatting>
  <conditionalFormatting sqref="F679">
    <cfRule type="duplicateValues" dxfId="41" priority="19"/>
  </conditionalFormatting>
  <conditionalFormatting sqref="F520">
    <cfRule type="duplicateValues" dxfId="40" priority="18"/>
  </conditionalFormatting>
  <conditionalFormatting sqref="F521">
    <cfRule type="duplicateValues" dxfId="39" priority="17"/>
  </conditionalFormatting>
  <conditionalFormatting sqref="F1:F2123 F2135:F1048576">
    <cfRule type="duplicateValues" dxfId="38" priority="16"/>
  </conditionalFormatting>
  <conditionalFormatting sqref="F2124">
    <cfRule type="duplicateValues" dxfId="37" priority="15"/>
  </conditionalFormatting>
  <conditionalFormatting sqref="F2125">
    <cfRule type="duplicateValues" dxfId="36" priority="14"/>
  </conditionalFormatting>
  <conditionalFormatting sqref="F2126">
    <cfRule type="duplicateValues" dxfId="35" priority="13"/>
  </conditionalFormatting>
  <conditionalFormatting sqref="F2127">
    <cfRule type="duplicateValues" dxfId="34" priority="12"/>
  </conditionalFormatting>
  <conditionalFormatting sqref="F2128">
    <cfRule type="duplicateValues" dxfId="33" priority="11"/>
  </conditionalFormatting>
  <conditionalFormatting sqref="F2129">
    <cfRule type="duplicateValues" dxfId="32" priority="10"/>
  </conditionalFormatting>
  <conditionalFormatting sqref="F2130">
    <cfRule type="duplicateValues" dxfId="31" priority="9"/>
  </conditionalFormatting>
  <conditionalFormatting sqref="F2131">
    <cfRule type="duplicateValues" dxfId="30" priority="8"/>
  </conditionalFormatting>
  <conditionalFormatting sqref="F2132">
    <cfRule type="duplicateValues" dxfId="29" priority="7"/>
  </conditionalFormatting>
  <conditionalFormatting sqref="F2133">
    <cfRule type="duplicateValues" dxfId="28" priority="6"/>
  </conditionalFormatting>
  <conditionalFormatting sqref="F2134">
    <cfRule type="duplicateValues" dxfId="27" priority="5"/>
  </conditionalFormatting>
  <conditionalFormatting sqref="K198:K199">
    <cfRule type="duplicateValues" dxfId="26" priority="4"/>
  </conditionalFormatting>
  <conditionalFormatting sqref="K98">
    <cfRule type="duplicateValues" dxfId="25" priority="3"/>
  </conditionalFormatting>
  <conditionalFormatting sqref="K242:K243">
    <cfRule type="duplicateValues" dxfId="24" priority="2"/>
  </conditionalFormatting>
  <conditionalFormatting sqref="K253">
    <cfRule type="duplicateValues" dxfId="2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L25"/>
  <sheetViews>
    <sheetView workbookViewId="0">
      <selection activeCell="D6" sqref="D6"/>
    </sheetView>
  </sheetViews>
  <sheetFormatPr defaultRowHeight="14.4" x14ac:dyDescent="0.3"/>
  <cols>
    <col min="1" max="1" width="12" customWidth="1"/>
    <col min="3" max="3" width="12.6640625" customWidth="1"/>
    <col min="4" max="4" width="24" customWidth="1"/>
    <col min="6" max="6" width="12" customWidth="1"/>
    <col min="7" max="7" width="24" customWidth="1"/>
  </cols>
  <sheetData>
    <row r="1" spans="1:7" x14ac:dyDescent="0.3">
      <c r="C1" s="14" t="s">
        <v>234</v>
      </c>
      <c r="D1" t="s">
        <v>238</v>
      </c>
      <c r="F1" s="14" t="s">
        <v>2</v>
      </c>
      <c r="G1" t="s">
        <v>64</v>
      </c>
    </row>
    <row r="2" spans="1:7" x14ac:dyDescent="0.3">
      <c r="A2" t="s">
        <v>237</v>
      </c>
    </row>
    <row r="3" spans="1:7" x14ac:dyDescent="0.3">
      <c r="A3" s="14" t="s">
        <v>235</v>
      </c>
      <c r="C3" s="14" t="s">
        <v>235</v>
      </c>
      <c r="D3" t="s">
        <v>239</v>
      </c>
      <c r="F3" s="14" t="s">
        <v>235</v>
      </c>
      <c r="G3" t="s">
        <v>239</v>
      </c>
    </row>
    <row r="4" spans="1:7" x14ac:dyDescent="0.3">
      <c r="A4" s="15" t="s">
        <v>108</v>
      </c>
      <c r="C4" s="15" t="s">
        <v>108</v>
      </c>
      <c r="D4" s="16">
        <v>149</v>
      </c>
      <c r="F4" s="15" t="s">
        <v>108</v>
      </c>
      <c r="G4" s="16">
        <v>59</v>
      </c>
    </row>
    <row r="5" spans="1:7" x14ac:dyDescent="0.3">
      <c r="A5" s="15" t="s">
        <v>241</v>
      </c>
      <c r="C5" s="15" t="s">
        <v>242</v>
      </c>
      <c r="D5" s="16">
        <v>184</v>
      </c>
      <c r="F5" s="15" t="s">
        <v>242</v>
      </c>
      <c r="G5" s="16">
        <v>81</v>
      </c>
    </row>
    <row r="6" spans="1:7" x14ac:dyDescent="0.3">
      <c r="A6" s="15" t="s">
        <v>242</v>
      </c>
      <c r="C6" s="15" t="s">
        <v>543</v>
      </c>
      <c r="D6" s="16">
        <v>137</v>
      </c>
      <c r="F6" s="15" t="s">
        <v>543</v>
      </c>
      <c r="G6" s="16">
        <v>49</v>
      </c>
    </row>
    <row r="7" spans="1:7" x14ac:dyDescent="0.3">
      <c r="A7" s="15" t="s">
        <v>543</v>
      </c>
      <c r="C7" s="15" t="s">
        <v>765</v>
      </c>
      <c r="D7" s="16">
        <v>148</v>
      </c>
      <c r="F7" s="15" t="s">
        <v>765</v>
      </c>
      <c r="G7" s="16">
        <v>59</v>
      </c>
    </row>
    <row r="8" spans="1:7" x14ac:dyDescent="0.3">
      <c r="A8" s="15" t="s">
        <v>765</v>
      </c>
      <c r="C8" s="15" t="s">
        <v>236</v>
      </c>
      <c r="D8" s="16">
        <v>618</v>
      </c>
      <c r="F8" s="15" t="s">
        <v>236</v>
      </c>
      <c r="G8" s="16">
        <v>248</v>
      </c>
    </row>
    <row r="25" spans="1:12" ht="15" thickBot="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D414"/>
  <sheetViews>
    <sheetView workbookViewId="0">
      <selection activeCell="A4" sqref="A4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856</v>
      </c>
      <c r="B2" t="str">
        <f>VLOOKUP(A2,'Full Inventory'!F:F,1,0)</f>
        <v>WXV1A881S44R</v>
      </c>
    </row>
    <row r="3" spans="1:2" x14ac:dyDescent="0.3">
      <c r="A3" s="4" t="s">
        <v>857</v>
      </c>
      <c r="B3" t="str">
        <f>VLOOKUP(A3,'Full Inventory'!F:F,1,0)</f>
        <v>WXW1EB83FM5L</v>
      </c>
    </row>
    <row r="4" spans="1:2" x14ac:dyDescent="0.3">
      <c r="B4" t="e">
        <f>VLOOKUP(A4,'Full Inventory'!F:F,1,0)</f>
        <v>#N/A</v>
      </c>
    </row>
    <row r="5" spans="1:2" x14ac:dyDescent="0.3">
      <c r="B5" t="e">
        <f>VLOOKUP(A5,'Full Inventory'!F:F,1,0)</f>
        <v>#N/A</v>
      </c>
    </row>
    <row r="6" spans="1:2" x14ac:dyDescent="0.3">
      <c r="B6" t="e">
        <f>VLOOKUP(A6,'Full Inventory'!F:F,1,0)</f>
        <v>#N/A</v>
      </c>
    </row>
    <row r="7" spans="1:2" x14ac:dyDescent="0.3">
      <c r="B7" t="e">
        <f>VLOOKUP(A7,'Full Inventory'!F:F,1,0)</f>
        <v>#N/A</v>
      </c>
    </row>
    <row r="8" spans="1:2" x14ac:dyDescent="0.3">
      <c r="B8" t="e">
        <f>VLOOKUP(A8,'Full Inventory'!F:F,1,0)</f>
        <v>#N/A</v>
      </c>
    </row>
    <row r="9" spans="1:2" x14ac:dyDescent="0.3">
      <c r="B9" t="e">
        <f>VLOOKUP(A9,'Full Inventory'!F:F,1,0)</f>
        <v>#N/A</v>
      </c>
    </row>
    <row r="10" spans="1:2" x14ac:dyDescent="0.3">
      <c r="B10" t="e">
        <f>VLOOKUP(A10,'Full Inventory'!F:F,1,0)</f>
        <v>#N/A</v>
      </c>
    </row>
    <row r="11" spans="1:2" x14ac:dyDescent="0.3">
      <c r="B11" t="e">
        <f>VLOOKUP(A11,'Full Inventory'!F:F,1,0)</f>
        <v>#N/A</v>
      </c>
    </row>
    <row r="12" spans="1:2" x14ac:dyDescent="0.3">
      <c r="B12" t="e">
        <f>VLOOKUP(A12,'Full Inventory'!F:F,1,0)</f>
        <v>#N/A</v>
      </c>
    </row>
    <row r="13" spans="1:2" x14ac:dyDescent="0.3">
      <c r="B13" t="e">
        <f>VLOOKUP(A13,'Full Inventory'!F:F,1,0)</f>
        <v>#N/A</v>
      </c>
    </row>
    <row r="14" spans="1:2" x14ac:dyDescent="0.3">
      <c r="B14" t="e">
        <f>VLOOKUP(A14,'Full Inventory'!F:F,1,0)</f>
        <v>#N/A</v>
      </c>
    </row>
    <row r="15" spans="1:2" x14ac:dyDescent="0.3">
      <c r="B15" t="e">
        <f>VLOOKUP(A15,'Full Inventory'!F:F,1,0)</f>
        <v>#N/A</v>
      </c>
    </row>
    <row r="16" spans="1:2" x14ac:dyDescent="0.3">
      <c r="B16" t="e">
        <f>VLOOKUP(A16,'Full Inventory'!F:F,1,0)</f>
        <v>#N/A</v>
      </c>
    </row>
    <row r="17" spans="2:3" x14ac:dyDescent="0.3">
      <c r="B17" t="e">
        <f>VLOOKUP(A17,'Full Inventory'!F:F,1,0)</f>
        <v>#N/A</v>
      </c>
    </row>
    <row r="18" spans="2:3" x14ac:dyDescent="0.3">
      <c r="B18" t="e">
        <f>VLOOKUP(A18,'Full Inventory'!F:F,1,0)</f>
        <v>#N/A</v>
      </c>
    </row>
    <row r="19" spans="2:3" x14ac:dyDescent="0.3">
      <c r="B19" t="e">
        <f>VLOOKUP(A19,'Full Inventory'!F:F,1,0)</f>
        <v>#N/A</v>
      </c>
    </row>
    <row r="20" spans="2:3" x14ac:dyDescent="0.3">
      <c r="B20" t="e">
        <f>VLOOKUP(A20,'Full Inventory'!F:F,1,0)</f>
        <v>#N/A</v>
      </c>
    </row>
    <row r="21" spans="2:3" x14ac:dyDescent="0.3">
      <c r="B21" t="e">
        <f>VLOOKUP(A21,'Full Inventory'!F:F,1,0)</f>
        <v>#N/A</v>
      </c>
    </row>
    <row r="22" spans="2:3" x14ac:dyDescent="0.3">
      <c r="B22" t="e">
        <f>VLOOKUP(A22,'Full Inventory'!F:F,1,0)</f>
        <v>#N/A</v>
      </c>
    </row>
    <row r="23" spans="2:3" x14ac:dyDescent="0.3">
      <c r="B23" t="e">
        <f>VLOOKUP(A23,'Full Inventory'!F:F,1,0)</f>
        <v>#N/A</v>
      </c>
    </row>
    <row r="24" spans="2:3" x14ac:dyDescent="0.3">
      <c r="B24" t="e">
        <f>VLOOKUP(A24,'Full Inventory'!F:F,1,0)</f>
        <v>#N/A</v>
      </c>
    </row>
    <row r="25" spans="2:3" x14ac:dyDescent="0.3">
      <c r="B25" t="e">
        <f>VLOOKUP(A25,'Full Inventory'!F:F,1,0)</f>
        <v>#N/A</v>
      </c>
    </row>
    <row r="26" spans="2:3" x14ac:dyDescent="0.3">
      <c r="B26" t="e">
        <f>VLOOKUP(A26,'Full Inventory'!F:F,1,0)</f>
        <v>#N/A</v>
      </c>
    </row>
    <row r="27" spans="2:3" x14ac:dyDescent="0.3">
      <c r="B27" t="e">
        <f>VLOOKUP(A27,'Full Inventory'!F:F,1,0)</f>
        <v>#N/A</v>
      </c>
    </row>
    <row r="28" spans="2:3" x14ac:dyDescent="0.3">
      <c r="B28" t="e">
        <f>VLOOKUP(A28,'Full Inventory'!F:F,1,0)</f>
        <v>#N/A</v>
      </c>
    </row>
    <row r="29" spans="2:3" x14ac:dyDescent="0.3">
      <c r="B29" t="e">
        <f>VLOOKUP(A29,'Full Inventory'!F:F,1,0)</f>
        <v>#N/A</v>
      </c>
    </row>
    <row r="30" spans="2:3" x14ac:dyDescent="0.3">
      <c r="B30" t="e">
        <f>VLOOKUP(A30,'Full Inventory'!F:F,1,0)</f>
        <v>#N/A</v>
      </c>
      <c r="C30" s="4" t="s">
        <v>780</v>
      </c>
    </row>
    <row r="31" spans="2:3" x14ac:dyDescent="0.3">
      <c r="B31" t="e">
        <f>VLOOKUP(A31,'Full Inventory'!F:F,1,0)</f>
        <v>#N/A</v>
      </c>
    </row>
    <row r="32" spans="2:3" x14ac:dyDescent="0.3">
      <c r="B32" t="e">
        <f>VLOOKUP(A32,'Full Inventory'!F:F,1,0)</f>
        <v>#N/A</v>
      </c>
    </row>
    <row r="33" spans="2:2" x14ac:dyDescent="0.3">
      <c r="B33" t="e">
        <f>VLOOKUP(A33,'Full Inventory'!F:F,1,0)</f>
        <v>#N/A</v>
      </c>
    </row>
    <row r="34" spans="2:2" x14ac:dyDescent="0.3">
      <c r="B34" t="e">
        <f>VLOOKUP(A34,'Full Inventory'!F:F,1,0)</f>
        <v>#N/A</v>
      </c>
    </row>
    <row r="35" spans="2:2" x14ac:dyDescent="0.3">
      <c r="B35" t="e">
        <f>VLOOKUP(A35,'Full Inventory'!F:F,1,0)</f>
        <v>#N/A</v>
      </c>
    </row>
    <row r="36" spans="2:2" x14ac:dyDescent="0.3">
      <c r="B36" t="e">
        <f>VLOOKUP(A36,'Full Inventory'!F:F,1,0)</f>
        <v>#N/A</v>
      </c>
    </row>
    <row r="37" spans="2:2" x14ac:dyDescent="0.3">
      <c r="B37" t="e">
        <f>VLOOKUP(A37,'Full Inventory'!F:F,1,0)</f>
        <v>#N/A</v>
      </c>
    </row>
    <row r="38" spans="2:2" x14ac:dyDescent="0.3">
      <c r="B38" t="e">
        <f>VLOOKUP(A38,'Full Inventory'!F:F,1,0)</f>
        <v>#N/A</v>
      </c>
    </row>
    <row r="39" spans="2:2" x14ac:dyDescent="0.3">
      <c r="B39" t="e">
        <f>VLOOKUP(A39,'Full Inventory'!F:F,1,0)</f>
        <v>#N/A</v>
      </c>
    </row>
    <row r="40" spans="2:2" x14ac:dyDescent="0.3">
      <c r="B40" t="e">
        <f>VLOOKUP(A40,'Full Inventory'!F:F,1,0)</f>
        <v>#N/A</v>
      </c>
    </row>
    <row r="41" spans="2:2" x14ac:dyDescent="0.3">
      <c r="B41" t="e">
        <f>VLOOKUP(A41,'Full Inventory'!F:F,1,0)</f>
        <v>#N/A</v>
      </c>
    </row>
    <row r="42" spans="2:2" x14ac:dyDescent="0.3">
      <c r="B42" t="e">
        <f>VLOOKUP(A42,'Full Inventory'!F:F,1,0)</f>
        <v>#N/A</v>
      </c>
    </row>
    <row r="43" spans="2:2" x14ac:dyDescent="0.3">
      <c r="B43" t="e">
        <f>VLOOKUP(A43,'Full Inventory'!F:F,1,0)</f>
        <v>#N/A</v>
      </c>
    </row>
    <row r="44" spans="2:2" x14ac:dyDescent="0.3">
      <c r="B44" t="e">
        <f>VLOOKUP(A44,'Full Inventory'!F:F,1,0)</f>
        <v>#N/A</v>
      </c>
    </row>
    <row r="45" spans="2:2" x14ac:dyDescent="0.3">
      <c r="B45" t="e">
        <f>VLOOKUP(A45,'Full Inventory'!F:F,1,0)</f>
        <v>#N/A</v>
      </c>
    </row>
    <row r="46" spans="2:2" x14ac:dyDescent="0.3">
      <c r="B46" t="e">
        <f>VLOOKUP(A46,'Full Inventory'!F:F,1,0)</f>
        <v>#N/A</v>
      </c>
    </row>
    <row r="47" spans="2:2" x14ac:dyDescent="0.3">
      <c r="B47" t="e">
        <f>VLOOKUP(A47,'Full Inventory'!F:F,1,0)</f>
        <v>#N/A</v>
      </c>
    </row>
    <row r="48" spans="2:2" x14ac:dyDescent="0.3">
      <c r="B48" t="e">
        <f>VLOOKUP(A48,'Full Inventory'!F:F,1,0)</f>
        <v>#N/A</v>
      </c>
    </row>
    <row r="49" spans="1:4" x14ac:dyDescent="0.3">
      <c r="B49" t="e">
        <f>VLOOKUP(A49,'Full Inventory'!F:F,1,0)</f>
        <v>#N/A</v>
      </c>
    </row>
    <row r="50" spans="1:4" x14ac:dyDescent="0.3">
      <c r="B50" t="e">
        <f>VLOOKUP(A50,'Full Inventory'!F:F,1,0)</f>
        <v>#N/A</v>
      </c>
    </row>
    <row r="51" spans="1:4" x14ac:dyDescent="0.3">
      <c r="B51" t="e">
        <f>VLOOKUP(A51,'Full Inventory'!F:F,1,0)</f>
        <v>#N/A</v>
      </c>
    </row>
    <row r="52" spans="1:4" x14ac:dyDescent="0.3">
      <c r="B52" t="e">
        <f>VLOOKUP(A52,'Full Inventory'!F:F,1,0)</f>
        <v>#N/A</v>
      </c>
    </row>
    <row r="53" spans="1:4" x14ac:dyDescent="0.3">
      <c r="A53" s="20"/>
      <c r="B53" t="e">
        <f>VLOOKUP(A53,'Full Inventory'!F:F,1,0)</f>
        <v>#N/A</v>
      </c>
      <c r="C53" t="s">
        <v>956</v>
      </c>
      <c r="D53" s="20" t="s">
        <v>250</v>
      </c>
    </row>
    <row r="54" spans="1:4" x14ac:dyDescent="0.3">
      <c r="B54" t="e">
        <f>VLOOKUP(A54,'Full Inventory'!F:F,1,0)</f>
        <v>#N/A</v>
      </c>
      <c r="C54" t="s">
        <v>956</v>
      </c>
      <c r="D54" s="4" t="s">
        <v>958</v>
      </c>
    </row>
    <row r="55" spans="1:4" x14ac:dyDescent="0.3">
      <c r="B55" t="e">
        <f>VLOOKUP(A55,'Full Inventory'!F:F,1,0)</f>
        <v>#N/A</v>
      </c>
    </row>
    <row r="56" spans="1:4" x14ac:dyDescent="0.3">
      <c r="B56" t="e">
        <f>VLOOKUP(A56,'Full Inventory'!F:F,1,0)</f>
        <v>#N/A</v>
      </c>
    </row>
    <row r="57" spans="1:4" x14ac:dyDescent="0.3">
      <c r="B57" t="e">
        <f>VLOOKUP(A57,'Full Inventory'!F:F,1,0)</f>
        <v>#N/A</v>
      </c>
    </row>
    <row r="58" spans="1:4" x14ac:dyDescent="0.3">
      <c r="B58" t="e">
        <f>VLOOKUP(A58,'Full Inventory'!F:F,1,0)</f>
        <v>#N/A</v>
      </c>
    </row>
    <row r="59" spans="1:4" x14ac:dyDescent="0.3">
      <c r="B59" t="e">
        <f>VLOOKUP(A59,'Full Inventory'!F:F,1,0)</f>
        <v>#N/A</v>
      </c>
    </row>
    <row r="60" spans="1:4" x14ac:dyDescent="0.3">
      <c r="B60" t="e">
        <f>VLOOKUP(A60,'Full Inventory'!F:F,1,0)</f>
        <v>#N/A</v>
      </c>
    </row>
    <row r="61" spans="1:4" x14ac:dyDescent="0.3">
      <c r="B61" t="e">
        <f>VLOOKUP(A61,'Full Inventory'!F:F,1,0)</f>
        <v>#N/A</v>
      </c>
    </row>
    <row r="62" spans="1:4" x14ac:dyDescent="0.3">
      <c r="B62" t="e">
        <f>VLOOKUP(A62,'Full Inventory'!F:F,1,0)</f>
        <v>#N/A</v>
      </c>
    </row>
    <row r="63" spans="1:4" x14ac:dyDescent="0.3">
      <c r="B63" t="e">
        <f>VLOOKUP(A63,'Full Inventory'!F:F,1,0)</f>
        <v>#N/A</v>
      </c>
    </row>
    <row r="64" spans="1:4" x14ac:dyDescent="0.3">
      <c r="B64" t="e">
        <f>VLOOKUP(A64,'Full Inventory'!F:F,1,0)</f>
        <v>#N/A</v>
      </c>
    </row>
    <row r="65" spans="2:2" x14ac:dyDescent="0.3">
      <c r="B65" t="e">
        <f>VLOOKUP(A65,'Full Inventory'!F:F,1,0)</f>
        <v>#N/A</v>
      </c>
    </row>
    <row r="66" spans="2:2" x14ac:dyDescent="0.3">
      <c r="B66" t="e">
        <f>VLOOKUP(A66,'Full Inventory'!F:F,1,0)</f>
        <v>#N/A</v>
      </c>
    </row>
    <row r="67" spans="2:2" x14ac:dyDescent="0.3">
      <c r="B67" t="e">
        <f>VLOOKUP(A67,'Full Inventory'!F:F,1,0)</f>
        <v>#N/A</v>
      </c>
    </row>
    <row r="68" spans="2:2" x14ac:dyDescent="0.3">
      <c r="B68" t="e">
        <f>VLOOKUP(A68,'Full Inventory'!F:F,1,0)</f>
        <v>#N/A</v>
      </c>
    </row>
    <row r="69" spans="2:2" x14ac:dyDescent="0.3">
      <c r="B69" t="e">
        <f>VLOOKUP(A69,'Full Inventory'!F:F,1,0)</f>
        <v>#N/A</v>
      </c>
    </row>
    <row r="70" spans="2:2" x14ac:dyDescent="0.3">
      <c r="B70" t="e">
        <f>VLOOKUP(A70,'Full Inventory'!F:F,1,0)</f>
        <v>#N/A</v>
      </c>
    </row>
    <row r="71" spans="2:2" x14ac:dyDescent="0.3">
      <c r="B71" t="e">
        <f>VLOOKUP(A71,'Full Inventory'!F:F,1,0)</f>
        <v>#N/A</v>
      </c>
    </row>
    <row r="72" spans="2:2" x14ac:dyDescent="0.3">
      <c r="B72" t="e">
        <f>VLOOKUP(A72,'Full Inventory'!F:F,1,0)</f>
        <v>#N/A</v>
      </c>
    </row>
    <row r="73" spans="2:2" x14ac:dyDescent="0.3">
      <c r="B73" t="e">
        <f>VLOOKUP(A73,'Full Inventory'!F:F,1,0)</f>
        <v>#N/A</v>
      </c>
    </row>
    <row r="74" spans="2:2" x14ac:dyDescent="0.3">
      <c r="B74" t="e">
        <f>VLOOKUP(A74,'Full Inventory'!F:F,1,0)</f>
        <v>#N/A</v>
      </c>
    </row>
    <row r="75" spans="2:2" x14ac:dyDescent="0.3">
      <c r="B75" t="e">
        <f>VLOOKUP(A75,'Full Inventory'!F:F,1,0)</f>
        <v>#N/A</v>
      </c>
    </row>
    <row r="76" spans="2:2" x14ac:dyDescent="0.3">
      <c r="B76" t="e">
        <f>VLOOKUP(A76,'Full Inventory'!F:F,1,0)</f>
        <v>#N/A</v>
      </c>
    </row>
    <row r="77" spans="2:2" x14ac:dyDescent="0.3">
      <c r="B77" t="e">
        <f>VLOOKUP(A77,'Full Inventory'!F:F,1,0)</f>
        <v>#N/A</v>
      </c>
    </row>
    <row r="78" spans="2:2" x14ac:dyDescent="0.3">
      <c r="B78" t="e">
        <f>VLOOKUP(A78,'Full Inventory'!F:F,1,0)</f>
        <v>#N/A</v>
      </c>
    </row>
    <row r="79" spans="2:2" x14ac:dyDescent="0.3">
      <c r="B79" t="e">
        <f>VLOOKUP(A79,'Full Inventory'!F:F,1,0)</f>
        <v>#N/A</v>
      </c>
    </row>
    <row r="80" spans="2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22" priority="8"/>
  </conditionalFormatting>
  <conditionalFormatting sqref="A1 A20:A1048576">
    <cfRule type="duplicateValues" dxfId="21" priority="7"/>
  </conditionalFormatting>
  <conditionalFormatting sqref="A2:A19">
    <cfRule type="duplicateValues" dxfId="20" priority="6"/>
  </conditionalFormatting>
  <conditionalFormatting sqref="D53">
    <cfRule type="duplicateValues" dxfId="19" priority="3"/>
  </conditionalFormatting>
  <conditionalFormatting sqref="D54">
    <cfRule type="duplicateValues" dxfId="18" priority="2"/>
  </conditionalFormatting>
  <conditionalFormatting sqref="C30">
    <cfRule type="duplicateValues" dxfId="17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:D414"/>
  <sheetViews>
    <sheetView workbookViewId="0">
      <selection activeCell="A9" sqref="A9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3" x14ac:dyDescent="0.3">
      <c r="A1" s="18" t="s">
        <v>101</v>
      </c>
    </row>
    <row r="2" spans="1:3" x14ac:dyDescent="0.3">
      <c r="A2" s="4" t="s">
        <v>970</v>
      </c>
      <c r="B2" t="str">
        <f>VLOOKUP(A2,'Full Inventory'!F:F,1,0)</f>
        <v>MTC22380BHC</v>
      </c>
      <c r="C2" t="s">
        <v>953</v>
      </c>
    </row>
    <row r="3" spans="1:3" x14ac:dyDescent="0.3">
      <c r="A3" s="4" t="s">
        <v>947</v>
      </c>
      <c r="B3" t="str">
        <f>VLOOKUP(A3,'Full Inventory'!F:F,1,0)</f>
        <v>AVD2305D7EG</v>
      </c>
    </row>
    <row r="4" spans="1:3" x14ac:dyDescent="0.3">
      <c r="A4" s="4" t="s">
        <v>945</v>
      </c>
      <c r="B4" t="str">
        <f>VLOOKUP(A4,'Full Inventory'!F:F,1,0)</f>
        <v>AVD2305D7EE</v>
      </c>
    </row>
    <row r="5" spans="1:3" x14ac:dyDescent="0.3">
      <c r="A5" s="4" t="s">
        <v>951</v>
      </c>
      <c r="B5" t="str">
        <f>VLOOKUP(A5,'Full Inventory'!F:F,1,0)</f>
        <v>ACW23040Z2R</v>
      </c>
    </row>
    <row r="6" spans="1:3" x14ac:dyDescent="0.3">
      <c r="A6" s="4" t="s">
        <v>949</v>
      </c>
      <c r="B6" t="str">
        <f>VLOOKUP(A6,'Full Inventory'!F:F,1,0)</f>
        <v>ACW23040YUT</v>
      </c>
    </row>
    <row r="7" spans="1:3" x14ac:dyDescent="0.3">
      <c r="A7" s="4" t="s">
        <v>939</v>
      </c>
      <c r="B7" t="str">
        <f>VLOOKUP(A7,'Full Inventory'!F:F,1,0)</f>
        <v>S34CNX0K821452</v>
      </c>
    </row>
    <row r="8" spans="1:3" x14ac:dyDescent="0.3">
      <c r="A8" s="4" t="s">
        <v>971</v>
      </c>
      <c r="B8" t="str">
        <f>VLOOKUP(A8,'Full Inventory'!F:F,1,0)</f>
        <v>B118C300CD3</v>
      </c>
      <c r="C8" t="s">
        <v>943</v>
      </c>
    </row>
    <row r="9" spans="1:3" x14ac:dyDescent="0.3">
      <c r="A9" s="4" t="s">
        <v>972</v>
      </c>
      <c r="B9" t="str">
        <f>VLOOKUP(A9,'Full Inventory'!F:F,1,0)</f>
        <v>B118C300CCX</v>
      </c>
      <c r="C9" t="s">
        <v>941</v>
      </c>
    </row>
    <row r="10" spans="1:3" x14ac:dyDescent="0.3">
      <c r="B10" t="e">
        <f>VLOOKUP(A10,'Full Inventory'!F:F,1,0)</f>
        <v>#N/A</v>
      </c>
    </row>
    <row r="11" spans="1:3" x14ac:dyDescent="0.3">
      <c r="B11" t="e">
        <f>VLOOKUP(A11,'Full Inventory'!F:F,1,0)</f>
        <v>#N/A</v>
      </c>
    </row>
    <row r="12" spans="1:3" x14ac:dyDescent="0.3">
      <c r="B12" t="e">
        <f>VLOOKUP(A12,'Full Inventory'!F:F,1,0)</f>
        <v>#N/A</v>
      </c>
    </row>
    <row r="13" spans="1:3" x14ac:dyDescent="0.3">
      <c r="B13" t="e">
        <f>VLOOKUP(A13,'Full Inventory'!F:F,1,0)</f>
        <v>#N/A</v>
      </c>
    </row>
    <row r="14" spans="1:3" x14ac:dyDescent="0.3">
      <c r="B14" t="e">
        <f>VLOOKUP(A14,'Full Inventory'!F:F,1,0)</f>
        <v>#N/A</v>
      </c>
    </row>
    <row r="15" spans="1:3" x14ac:dyDescent="0.3">
      <c r="B15" t="e">
        <f>VLOOKUP(A15,'Full Inventory'!F:F,1,0)</f>
        <v>#N/A</v>
      </c>
    </row>
    <row r="16" spans="1:3" x14ac:dyDescent="0.3">
      <c r="B16" t="e">
        <f>VLOOKUP(A16,'Full Inventory'!F:F,1,0)</f>
        <v>#N/A</v>
      </c>
    </row>
    <row r="17" spans="2:3" x14ac:dyDescent="0.3">
      <c r="B17" t="e">
        <f>VLOOKUP(A17,'Full Inventory'!F:F,1,0)</f>
        <v>#N/A</v>
      </c>
    </row>
    <row r="18" spans="2:3" x14ac:dyDescent="0.3">
      <c r="B18" t="e">
        <f>VLOOKUP(A18,'Full Inventory'!F:F,1,0)</f>
        <v>#N/A</v>
      </c>
    </row>
    <row r="19" spans="2:3" x14ac:dyDescent="0.3">
      <c r="B19" t="e">
        <f>VLOOKUP(A19,'Full Inventory'!F:F,1,0)</f>
        <v>#N/A</v>
      </c>
    </row>
    <row r="20" spans="2:3" x14ac:dyDescent="0.3">
      <c r="B20" t="e">
        <f>VLOOKUP(A20,'Full Inventory'!F:F,1,0)</f>
        <v>#N/A</v>
      </c>
    </row>
    <row r="21" spans="2:3" x14ac:dyDescent="0.3">
      <c r="B21" t="e">
        <f>VLOOKUP(A21,'Full Inventory'!F:F,1,0)</f>
        <v>#N/A</v>
      </c>
    </row>
    <row r="22" spans="2:3" x14ac:dyDescent="0.3">
      <c r="B22" t="e">
        <f>VLOOKUP(A22,'Full Inventory'!F:F,1,0)</f>
        <v>#N/A</v>
      </c>
    </row>
    <row r="23" spans="2:3" x14ac:dyDescent="0.3">
      <c r="B23" t="e">
        <f>VLOOKUP(A23,'Full Inventory'!F:F,1,0)</f>
        <v>#N/A</v>
      </c>
    </row>
    <row r="24" spans="2:3" x14ac:dyDescent="0.3">
      <c r="B24" t="e">
        <f>VLOOKUP(A24,'Full Inventory'!F:F,1,0)</f>
        <v>#N/A</v>
      </c>
    </row>
    <row r="25" spans="2:3" x14ac:dyDescent="0.3">
      <c r="B25" t="e">
        <f>VLOOKUP(A25,'Full Inventory'!F:F,1,0)</f>
        <v>#N/A</v>
      </c>
    </row>
    <row r="26" spans="2:3" x14ac:dyDescent="0.3">
      <c r="B26" t="e">
        <f>VLOOKUP(A26,'Full Inventory'!F:F,1,0)</f>
        <v>#N/A</v>
      </c>
    </row>
    <row r="27" spans="2:3" x14ac:dyDescent="0.3">
      <c r="B27" t="e">
        <f>VLOOKUP(A27,'Full Inventory'!F:F,1,0)</f>
        <v>#N/A</v>
      </c>
    </row>
    <row r="28" spans="2:3" x14ac:dyDescent="0.3">
      <c r="B28" t="e">
        <f>VLOOKUP(A28,'Full Inventory'!F:F,1,0)</f>
        <v>#N/A</v>
      </c>
    </row>
    <row r="29" spans="2:3" x14ac:dyDescent="0.3">
      <c r="B29" t="e">
        <f>VLOOKUP(A29,'Full Inventory'!F:F,1,0)</f>
        <v>#N/A</v>
      </c>
    </row>
    <row r="30" spans="2:3" x14ac:dyDescent="0.3">
      <c r="B30" t="e">
        <f>VLOOKUP(A30,'Full Inventory'!F:F,1,0)</f>
        <v>#N/A</v>
      </c>
      <c r="C30" s="4" t="s">
        <v>780</v>
      </c>
    </row>
    <row r="31" spans="2:3" x14ac:dyDescent="0.3">
      <c r="B31" t="e">
        <f>VLOOKUP(A31,'Full Inventory'!F:F,1,0)</f>
        <v>#N/A</v>
      </c>
    </row>
    <row r="32" spans="2:3" x14ac:dyDescent="0.3">
      <c r="B32" t="e">
        <f>VLOOKUP(A32,'Full Inventory'!F:F,1,0)</f>
        <v>#N/A</v>
      </c>
    </row>
    <row r="33" spans="2:2" x14ac:dyDescent="0.3">
      <c r="B33" t="e">
        <f>VLOOKUP(A33,'Full Inventory'!F:F,1,0)</f>
        <v>#N/A</v>
      </c>
    </row>
    <row r="34" spans="2:2" x14ac:dyDescent="0.3">
      <c r="B34" t="e">
        <f>VLOOKUP(A34,'Full Inventory'!F:F,1,0)</f>
        <v>#N/A</v>
      </c>
    </row>
    <row r="35" spans="2:2" x14ac:dyDescent="0.3">
      <c r="B35" t="e">
        <f>VLOOKUP(A35,'Full Inventory'!F:F,1,0)</f>
        <v>#N/A</v>
      </c>
    </row>
    <row r="36" spans="2:2" x14ac:dyDescent="0.3">
      <c r="B36" t="e">
        <f>VLOOKUP(A36,'Full Inventory'!F:F,1,0)</f>
        <v>#N/A</v>
      </c>
    </row>
    <row r="37" spans="2:2" x14ac:dyDescent="0.3">
      <c r="B37" t="e">
        <f>VLOOKUP(A37,'Full Inventory'!F:F,1,0)</f>
        <v>#N/A</v>
      </c>
    </row>
    <row r="38" spans="2:2" x14ac:dyDescent="0.3">
      <c r="B38" t="e">
        <f>VLOOKUP(A38,'Full Inventory'!F:F,1,0)</f>
        <v>#N/A</v>
      </c>
    </row>
    <row r="39" spans="2:2" x14ac:dyDescent="0.3">
      <c r="B39" t="e">
        <f>VLOOKUP(A39,'Full Inventory'!F:F,1,0)</f>
        <v>#N/A</v>
      </c>
    </row>
    <row r="40" spans="2:2" x14ac:dyDescent="0.3">
      <c r="B40" t="e">
        <f>VLOOKUP(A40,'Full Inventory'!F:F,1,0)</f>
        <v>#N/A</v>
      </c>
    </row>
    <row r="41" spans="2:2" x14ac:dyDescent="0.3">
      <c r="B41" t="e">
        <f>VLOOKUP(A41,'Full Inventory'!F:F,1,0)</f>
        <v>#N/A</v>
      </c>
    </row>
    <row r="42" spans="2:2" x14ac:dyDescent="0.3">
      <c r="B42" t="e">
        <f>VLOOKUP(A42,'Full Inventory'!F:F,1,0)</f>
        <v>#N/A</v>
      </c>
    </row>
    <row r="43" spans="2:2" x14ac:dyDescent="0.3">
      <c r="B43" t="e">
        <f>VLOOKUP(A43,'Full Inventory'!F:F,1,0)</f>
        <v>#N/A</v>
      </c>
    </row>
    <row r="44" spans="2:2" x14ac:dyDescent="0.3">
      <c r="B44" t="e">
        <f>VLOOKUP(A44,'Full Inventory'!F:F,1,0)</f>
        <v>#N/A</v>
      </c>
    </row>
    <row r="45" spans="2:2" x14ac:dyDescent="0.3">
      <c r="B45" t="e">
        <f>VLOOKUP(A45,'Full Inventory'!F:F,1,0)</f>
        <v>#N/A</v>
      </c>
    </row>
    <row r="46" spans="2:2" x14ac:dyDescent="0.3">
      <c r="B46" t="e">
        <f>VLOOKUP(A46,'Full Inventory'!F:F,1,0)</f>
        <v>#N/A</v>
      </c>
    </row>
    <row r="47" spans="2:2" x14ac:dyDescent="0.3">
      <c r="B47" t="e">
        <f>VLOOKUP(A47,'Full Inventory'!F:F,1,0)</f>
        <v>#N/A</v>
      </c>
    </row>
    <row r="48" spans="2:2" x14ac:dyDescent="0.3">
      <c r="B48" t="e">
        <f>VLOOKUP(A48,'Full Inventory'!F:F,1,0)</f>
        <v>#N/A</v>
      </c>
    </row>
    <row r="49" spans="1:4" x14ac:dyDescent="0.3">
      <c r="B49" t="e">
        <f>VLOOKUP(A49,'Full Inventory'!F:F,1,0)</f>
        <v>#N/A</v>
      </c>
    </row>
    <row r="50" spans="1:4" x14ac:dyDescent="0.3">
      <c r="B50" t="e">
        <f>VLOOKUP(A50,'Full Inventory'!F:F,1,0)</f>
        <v>#N/A</v>
      </c>
    </row>
    <row r="51" spans="1:4" x14ac:dyDescent="0.3">
      <c r="B51" t="e">
        <f>VLOOKUP(A51,'Full Inventory'!F:F,1,0)</f>
        <v>#N/A</v>
      </c>
    </row>
    <row r="52" spans="1:4" x14ac:dyDescent="0.3">
      <c r="B52" t="e">
        <f>VLOOKUP(A52,'Full Inventory'!F:F,1,0)</f>
        <v>#N/A</v>
      </c>
    </row>
    <row r="53" spans="1:4" x14ac:dyDescent="0.3">
      <c r="A53" s="20"/>
      <c r="B53" t="e">
        <f>VLOOKUP(A53,'Full Inventory'!F:F,1,0)</f>
        <v>#N/A</v>
      </c>
      <c r="C53" t="s">
        <v>956</v>
      </c>
      <c r="D53" s="20" t="s">
        <v>250</v>
      </c>
    </row>
    <row r="54" spans="1:4" x14ac:dyDescent="0.3">
      <c r="B54" t="e">
        <f>VLOOKUP(A54,'Full Inventory'!F:F,1,0)</f>
        <v>#N/A</v>
      </c>
      <c r="C54" t="s">
        <v>956</v>
      </c>
      <c r="D54" s="4" t="s">
        <v>958</v>
      </c>
    </row>
    <row r="55" spans="1:4" x14ac:dyDescent="0.3">
      <c r="B55" t="e">
        <f>VLOOKUP(A55,'Full Inventory'!F:F,1,0)</f>
        <v>#N/A</v>
      </c>
    </row>
    <row r="56" spans="1:4" x14ac:dyDescent="0.3">
      <c r="B56" t="e">
        <f>VLOOKUP(A56,'Full Inventory'!F:F,1,0)</f>
        <v>#N/A</v>
      </c>
    </row>
    <row r="57" spans="1:4" x14ac:dyDescent="0.3">
      <c r="B57" t="e">
        <f>VLOOKUP(A57,'Full Inventory'!F:F,1,0)</f>
        <v>#N/A</v>
      </c>
    </row>
    <row r="58" spans="1:4" x14ac:dyDescent="0.3">
      <c r="B58" t="e">
        <f>VLOOKUP(A58,'Full Inventory'!F:F,1,0)</f>
        <v>#N/A</v>
      </c>
    </row>
    <row r="59" spans="1:4" x14ac:dyDescent="0.3">
      <c r="B59" t="e">
        <f>VLOOKUP(A59,'Full Inventory'!F:F,1,0)</f>
        <v>#N/A</v>
      </c>
    </row>
    <row r="60" spans="1:4" x14ac:dyDescent="0.3">
      <c r="B60" t="e">
        <f>VLOOKUP(A60,'Full Inventory'!F:F,1,0)</f>
        <v>#N/A</v>
      </c>
    </row>
    <row r="61" spans="1:4" x14ac:dyDescent="0.3">
      <c r="B61" t="e">
        <f>VLOOKUP(A61,'Full Inventory'!F:F,1,0)</f>
        <v>#N/A</v>
      </c>
    </row>
    <row r="62" spans="1:4" x14ac:dyDescent="0.3">
      <c r="B62" t="e">
        <f>VLOOKUP(A62,'Full Inventory'!F:F,1,0)</f>
        <v>#N/A</v>
      </c>
    </row>
    <row r="63" spans="1:4" x14ac:dyDescent="0.3">
      <c r="B63" t="e">
        <f>VLOOKUP(A63,'Full Inventory'!F:F,1,0)</f>
        <v>#N/A</v>
      </c>
    </row>
    <row r="64" spans="1:4" x14ac:dyDescent="0.3">
      <c r="B64" t="e">
        <f>VLOOKUP(A64,'Full Inventory'!F:F,1,0)</f>
        <v>#N/A</v>
      </c>
    </row>
    <row r="65" spans="2:2" x14ac:dyDescent="0.3">
      <c r="B65" t="e">
        <f>VLOOKUP(A65,'Full Inventory'!F:F,1,0)</f>
        <v>#N/A</v>
      </c>
    </row>
    <row r="66" spans="2:2" x14ac:dyDescent="0.3">
      <c r="B66" t="e">
        <f>VLOOKUP(A66,'Full Inventory'!F:F,1,0)</f>
        <v>#N/A</v>
      </c>
    </row>
    <row r="67" spans="2:2" x14ac:dyDescent="0.3">
      <c r="B67" t="e">
        <f>VLOOKUP(A67,'Full Inventory'!F:F,1,0)</f>
        <v>#N/A</v>
      </c>
    </row>
    <row r="68" spans="2:2" x14ac:dyDescent="0.3">
      <c r="B68" t="e">
        <f>VLOOKUP(A68,'Full Inventory'!F:F,1,0)</f>
        <v>#N/A</v>
      </c>
    </row>
    <row r="69" spans="2:2" x14ac:dyDescent="0.3">
      <c r="B69" t="e">
        <f>VLOOKUP(A69,'Full Inventory'!F:F,1,0)</f>
        <v>#N/A</v>
      </c>
    </row>
    <row r="70" spans="2:2" x14ac:dyDescent="0.3">
      <c r="B70" t="e">
        <f>VLOOKUP(A70,'Full Inventory'!F:F,1,0)</f>
        <v>#N/A</v>
      </c>
    </row>
    <row r="71" spans="2:2" x14ac:dyDescent="0.3">
      <c r="B71" t="e">
        <f>VLOOKUP(A71,'Full Inventory'!F:F,1,0)</f>
        <v>#N/A</v>
      </c>
    </row>
    <row r="72" spans="2:2" x14ac:dyDescent="0.3">
      <c r="B72" t="e">
        <f>VLOOKUP(A72,'Full Inventory'!F:F,1,0)</f>
        <v>#N/A</v>
      </c>
    </row>
    <row r="73" spans="2:2" x14ac:dyDescent="0.3">
      <c r="B73" t="e">
        <f>VLOOKUP(A73,'Full Inventory'!F:F,1,0)</f>
        <v>#N/A</v>
      </c>
    </row>
    <row r="74" spans="2:2" x14ac:dyDescent="0.3">
      <c r="B74" t="e">
        <f>VLOOKUP(A74,'Full Inventory'!F:F,1,0)</f>
        <v>#N/A</v>
      </c>
    </row>
    <row r="75" spans="2:2" x14ac:dyDescent="0.3">
      <c r="B75" t="e">
        <f>VLOOKUP(A75,'Full Inventory'!F:F,1,0)</f>
        <v>#N/A</v>
      </c>
    </row>
    <row r="76" spans="2:2" x14ac:dyDescent="0.3">
      <c r="B76" t="e">
        <f>VLOOKUP(A76,'Full Inventory'!F:F,1,0)</f>
        <v>#N/A</v>
      </c>
    </row>
    <row r="77" spans="2:2" x14ac:dyDescent="0.3">
      <c r="B77" t="e">
        <f>VLOOKUP(A77,'Full Inventory'!F:F,1,0)</f>
        <v>#N/A</v>
      </c>
    </row>
    <row r="78" spans="2:2" x14ac:dyDescent="0.3">
      <c r="B78" t="e">
        <f>VLOOKUP(A78,'Full Inventory'!F:F,1,0)</f>
        <v>#N/A</v>
      </c>
    </row>
    <row r="79" spans="2:2" x14ac:dyDescent="0.3">
      <c r="B79" t="e">
        <f>VLOOKUP(A79,'Full Inventory'!F:F,1,0)</f>
        <v>#N/A</v>
      </c>
    </row>
    <row r="80" spans="2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16" priority="6"/>
  </conditionalFormatting>
  <conditionalFormatting sqref="A1 A20:A1048576">
    <cfRule type="duplicateValues" dxfId="15" priority="5"/>
  </conditionalFormatting>
  <conditionalFormatting sqref="A2:A19">
    <cfRule type="duplicateValues" dxfId="14" priority="4"/>
  </conditionalFormatting>
  <conditionalFormatting sqref="D53">
    <cfRule type="duplicateValues" dxfId="13" priority="3"/>
  </conditionalFormatting>
  <conditionalFormatting sqref="D54">
    <cfRule type="duplicateValues" dxfId="12" priority="2"/>
  </conditionalFormatting>
  <conditionalFormatting sqref="C30">
    <cfRule type="duplicateValues" dxfId="11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D414"/>
  <sheetViews>
    <sheetView topLeftCell="A56" workbookViewId="0">
      <selection activeCell="A60" sqref="A60:A73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768</v>
      </c>
      <c r="B2" t="str">
        <f>VLOOKUP(A2,'Full Inventory'!F:F,1,0)</f>
        <v>7CR8394385</v>
      </c>
    </row>
    <row r="3" spans="1:2" x14ac:dyDescent="0.3">
      <c r="A3" s="4" t="s">
        <v>770</v>
      </c>
      <c r="B3" t="str">
        <f>VLOOKUP(A3,'Full Inventory'!F:F,1,0)</f>
        <v>MY891115AQ</v>
      </c>
    </row>
    <row r="4" spans="1:2" x14ac:dyDescent="0.3">
      <c r="A4" s="4" t="s">
        <v>771</v>
      </c>
      <c r="B4" t="str">
        <f>VLOOKUP(A4,'Full Inventory'!F:F,1,0)</f>
        <v>MY891115C5</v>
      </c>
    </row>
    <row r="5" spans="1:2" x14ac:dyDescent="0.3">
      <c r="A5" s="4" t="s">
        <v>774</v>
      </c>
      <c r="B5" t="str">
        <f>VLOOKUP(A5,'Full Inventory'!F:F,1,0)</f>
        <v>7CR839420P</v>
      </c>
    </row>
    <row r="6" spans="1:2" x14ac:dyDescent="0.3">
      <c r="A6" s="4" t="s">
        <v>775</v>
      </c>
      <c r="B6" t="str">
        <f>VLOOKUP(A6,'Full Inventory'!F:F,1,0)</f>
        <v>7CR839438G</v>
      </c>
    </row>
    <row r="7" spans="1:2" x14ac:dyDescent="0.3">
      <c r="A7" s="4" t="s">
        <v>776</v>
      </c>
      <c r="B7" t="str">
        <f>VLOOKUP(A7,'Full Inventory'!F:F,1,0)</f>
        <v>MY891115BG</v>
      </c>
    </row>
    <row r="8" spans="1:2" x14ac:dyDescent="0.3">
      <c r="A8" s="4" t="s">
        <v>777</v>
      </c>
      <c r="B8" t="str">
        <f>VLOOKUP(A8,'Full Inventory'!F:F,1,0)</f>
        <v>MY891114JH</v>
      </c>
    </row>
    <row r="9" spans="1:2" x14ac:dyDescent="0.3">
      <c r="A9" s="4" t="s">
        <v>807</v>
      </c>
      <c r="B9" t="str">
        <f>VLOOKUP(A9,'Full Inventory'!F:F,1,0)</f>
        <v>7CR839420U</v>
      </c>
    </row>
    <row r="10" spans="1:2" x14ac:dyDescent="0.3">
      <c r="A10" s="4" t="s">
        <v>808</v>
      </c>
      <c r="B10" t="str">
        <f>VLOOKUP(A10,'Full Inventory'!F:F,1,0)</f>
        <v>7CR839420R</v>
      </c>
    </row>
    <row r="11" spans="1:2" x14ac:dyDescent="0.3">
      <c r="A11" s="4" t="s">
        <v>810</v>
      </c>
      <c r="B11" t="str">
        <f>VLOOKUP(A11,'Full Inventory'!F:F,1,0)</f>
        <v>MY891119M0</v>
      </c>
    </row>
    <row r="12" spans="1:2" x14ac:dyDescent="0.3">
      <c r="A12" s="4" t="s">
        <v>809</v>
      </c>
      <c r="B12" t="str">
        <f>VLOOKUP(A12,'Full Inventory'!F:F,1,0)</f>
        <v>MY891119U2</v>
      </c>
    </row>
    <row r="13" spans="1:2" x14ac:dyDescent="0.3">
      <c r="A13" s="4" t="s">
        <v>801</v>
      </c>
      <c r="B13" t="str">
        <f>VLOOKUP(A13,'Full Inventory'!F:F,1,0)</f>
        <v>7CR839420F</v>
      </c>
    </row>
    <row r="14" spans="1:2" x14ac:dyDescent="0.3">
      <c r="A14" s="4" t="s">
        <v>802</v>
      </c>
      <c r="B14" t="str">
        <f>VLOOKUP(A14,'Full Inventory'!F:F,1,0)</f>
        <v>7CR839420H</v>
      </c>
    </row>
    <row r="15" spans="1:2" x14ac:dyDescent="0.3">
      <c r="A15" s="4" t="s">
        <v>803</v>
      </c>
      <c r="B15" t="str">
        <f>VLOOKUP(A15,'Full Inventory'!F:F,1,0)</f>
        <v>MY89111578</v>
      </c>
    </row>
    <row r="16" spans="1:2" x14ac:dyDescent="0.3">
      <c r="A16" s="4" t="s">
        <v>804</v>
      </c>
      <c r="B16" t="str">
        <f>VLOOKUP(A16,'Full Inventory'!F:F,1,0)</f>
        <v>MY891115AF</v>
      </c>
    </row>
    <row r="17" spans="1:3" x14ac:dyDescent="0.3">
      <c r="A17" s="4" t="s">
        <v>766</v>
      </c>
      <c r="B17" t="str">
        <f>VLOOKUP(A17,'Full Inventory'!F:F,1,0)</f>
        <v>CZJ91702JM</v>
      </c>
    </row>
    <row r="18" spans="1:3" x14ac:dyDescent="0.3">
      <c r="A18" s="4" t="s">
        <v>772</v>
      </c>
      <c r="B18" t="str">
        <f>VLOOKUP(A18,'Full Inventory'!F:F,1,0)</f>
        <v>CZJ91702JQ</v>
      </c>
    </row>
    <row r="19" spans="1:3" x14ac:dyDescent="0.3">
      <c r="A19" s="4" t="s">
        <v>805</v>
      </c>
      <c r="B19" t="str">
        <f>VLOOKUP(A19,'Full Inventory'!F:F,1,0)</f>
        <v>CZJ91702K3</v>
      </c>
    </row>
    <row r="20" spans="1:3" x14ac:dyDescent="0.3">
      <c r="A20" s="4" t="s">
        <v>799</v>
      </c>
      <c r="B20" t="str">
        <f>VLOOKUP(A20,'Full Inventory'!F:F,1,0)</f>
        <v>CZJ91702K0</v>
      </c>
    </row>
    <row r="21" spans="1:3" x14ac:dyDescent="0.3">
      <c r="A21" s="4" t="s">
        <v>843</v>
      </c>
      <c r="B21" t="str">
        <f>VLOOKUP(A21,'Full Inventory'!F:F,1,0)</f>
        <v>MY890510HH</v>
      </c>
    </row>
    <row r="22" spans="1:3" x14ac:dyDescent="0.3">
      <c r="A22" s="4" t="s">
        <v>844</v>
      </c>
      <c r="B22" t="str">
        <f>VLOOKUP(A22,'Full Inventory'!F:F,1,0)</f>
        <v>MY890510H7</v>
      </c>
    </row>
    <row r="23" spans="1:3" x14ac:dyDescent="0.3">
      <c r="A23" s="4" t="s">
        <v>845</v>
      </c>
      <c r="B23" t="str">
        <f>VLOOKUP(A23,'Full Inventory'!F:F,1,0)</f>
        <v>MY890510HB</v>
      </c>
    </row>
    <row r="24" spans="1:3" x14ac:dyDescent="0.3">
      <c r="A24" s="4" t="s">
        <v>846</v>
      </c>
      <c r="B24" t="str">
        <f>VLOOKUP(A24,'Full Inventory'!F:F,1,0)</f>
        <v>MY890510H9</v>
      </c>
    </row>
    <row r="25" spans="1:3" x14ac:dyDescent="0.3">
      <c r="A25" s="4" t="s">
        <v>850</v>
      </c>
      <c r="B25" t="str">
        <f>VLOOKUP(A25,'Full Inventory'!F:F,1,0)</f>
        <v>MY890511JW</v>
      </c>
    </row>
    <row r="26" spans="1:3" x14ac:dyDescent="0.3">
      <c r="A26" s="4" t="s">
        <v>849</v>
      </c>
      <c r="B26" t="str">
        <f>VLOOKUP(A26,'Full Inventory'!F:F,1,0)</f>
        <v>MY890511KM</v>
      </c>
    </row>
    <row r="27" spans="1:3" x14ac:dyDescent="0.3">
      <c r="A27" s="4" t="s">
        <v>848</v>
      </c>
      <c r="B27" t="str">
        <f>VLOOKUP(A27,'Full Inventory'!F:F,1,0)</f>
        <v>MY890511K1</v>
      </c>
    </row>
    <row r="28" spans="1:3" x14ac:dyDescent="0.3">
      <c r="A28" s="4" t="s">
        <v>847</v>
      </c>
      <c r="B28" t="str">
        <f>VLOOKUP(A28,'Full Inventory'!F:F,1,0)</f>
        <v>MY890511KG</v>
      </c>
    </row>
    <row r="29" spans="1:3" x14ac:dyDescent="0.3">
      <c r="A29" s="4" t="s">
        <v>815</v>
      </c>
      <c r="B29" t="str">
        <f>VLOOKUP(A29,'Full Inventory'!F:F,1,0)</f>
        <v>2S6910B091</v>
      </c>
    </row>
    <row r="30" spans="1:3" x14ac:dyDescent="0.3">
      <c r="A30" s="4" t="s">
        <v>961</v>
      </c>
      <c r="B30" t="str">
        <f>VLOOKUP(A30,'Full Inventory'!F:F,1,0)</f>
        <v>AVD2305D7FA</v>
      </c>
      <c r="C30" s="4" t="s">
        <v>780</v>
      </c>
    </row>
    <row r="31" spans="1:3" x14ac:dyDescent="0.3">
      <c r="A31" s="4" t="s">
        <v>960</v>
      </c>
      <c r="B31" t="str">
        <f>VLOOKUP(A31,'Full Inventory'!F:F,1,0)</f>
        <v>AVD2305D7F4</v>
      </c>
    </row>
    <row r="32" spans="1:3" x14ac:dyDescent="0.3">
      <c r="A32" s="4" t="s">
        <v>962</v>
      </c>
      <c r="B32" t="str">
        <f>VLOOKUP(A32,'Full Inventory'!F:F,1,0)</f>
        <v>AVD2305D7FK</v>
      </c>
    </row>
    <row r="33" spans="1:2" x14ac:dyDescent="0.3">
      <c r="A33" s="4" t="s">
        <v>963</v>
      </c>
      <c r="B33" t="str">
        <f>VLOOKUP(A33,'Full Inventory'!F:F,1,0)</f>
        <v>AVD2305D7FB</v>
      </c>
    </row>
    <row r="34" spans="1:2" x14ac:dyDescent="0.3">
      <c r="A34" s="4" t="s">
        <v>964</v>
      </c>
      <c r="B34" t="str">
        <f>VLOOKUP(A34,'Full Inventory'!F:F,1,0)</f>
        <v>AVD2305D7FL</v>
      </c>
    </row>
    <row r="35" spans="1:2" x14ac:dyDescent="0.3">
      <c r="A35" s="4" t="s">
        <v>781</v>
      </c>
      <c r="B35" t="str">
        <f>VLOOKUP(A35,'Full Inventory'!F:F,1,0)</f>
        <v>ACW23031NSD</v>
      </c>
    </row>
    <row r="36" spans="1:2" x14ac:dyDescent="0.3">
      <c r="A36" s="4" t="s">
        <v>783</v>
      </c>
      <c r="B36" t="str">
        <f>VLOOKUP(A36,'Full Inventory'!F:F,1,0)</f>
        <v>ACW2304168G</v>
      </c>
    </row>
    <row r="37" spans="1:2" x14ac:dyDescent="0.3">
      <c r="A37" s="4" t="s">
        <v>782</v>
      </c>
      <c r="B37" t="str">
        <f>VLOOKUP(A37,'Full Inventory'!F:F,1,0)</f>
        <v>ACW230415SV</v>
      </c>
    </row>
    <row r="38" spans="1:2" x14ac:dyDescent="0.3">
      <c r="A38" s="4" t="s">
        <v>784</v>
      </c>
      <c r="B38" t="str">
        <f>VLOOKUP(A38,'Full Inventory'!F:F,1,0)</f>
        <v>ACW230415T1</v>
      </c>
    </row>
    <row r="39" spans="1:2" x14ac:dyDescent="0.3">
      <c r="A39" s="4" t="s">
        <v>785</v>
      </c>
      <c r="B39" t="str">
        <f>VLOOKUP(A39,'Full Inventory'!F:F,1,0)</f>
        <v>AVC230721E6</v>
      </c>
    </row>
    <row r="40" spans="1:2" x14ac:dyDescent="0.3">
      <c r="A40" s="4" t="s">
        <v>786</v>
      </c>
      <c r="B40" t="str">
        <f>VLOOKUP(A40,'Full Inventory'!F:F,1,0)</f>
        <v>AVC230721E7</v>
      </c>
    </row>
    <row r="41" spans="1:2" x14ac:dyDescent="0.3">
      <c r="A41" s="4" t="s">
        <v>787</v>
      </c>
      <c r="B41" t="str">
        <f>VLOOKUP(A41,'Full Inventory'!F:F,1,0)</f>
        <v>AVC230721E4</v>
      </c>
    </row>
    <row r="42" spans="1:2" x14ac:dyDescent="0.3">
      <c r="A42" s="4" t="s">
        <v>788</v>
      </c>
      <c r="B42" t="str">
        <f>VLOOKUP(A42,'Full Inventory'!F:F,1,0)</f>
        <v>AVC230721E8</v>
      </c>
    </row>
    <row r="43" spans="1:2" x14ac:dyDescent="0.3">
      <c r="A43" s="4" t="s">
        <v>778</v>
      </c>
      <c r="B43" t="str">
        <f>VLOOKUP(A43,'Full Inventory'!F:F,1,0)</f>
        <v>FOC2247X09P</v>
      </c>
    </row>
    <row r="44" spans="1:2" x14ac:dyDescent="0.3">
      <c r="A44" s="4" t="s">
        <v>789</v>
      </c>
      <c r="B44" t="str">
        <f>VLOOKUP(A44,'Full Inventory'!F:F,1,0)</f>
        <v>FOC2247U0AS</v>
      </c>
    </row>
    <row r="45" spans="1:2" x14ac:dyDescent="0.3">
      <c r="A45" s="4" t="s">
        <v>798</v>
      </c>
      <c r="B45" t="str">
        <f>VLOOKUP(A45,'Full Inventory'!F:F,1,0)</f>
        <v>AVC230721FR</v>
      </c>
    </row>
    <row r="46" spans="1:2" x14ac:dyDescent="0.3">
      <c r="A46" s="4" t="s">
        <v>797</v>
      </c>
      <c r="B46" t="str">
        <f>VLOOKUP(A46,'Full Inventory'!F:F,1,0)</f>
        <v>AVC230720UW</v>
      </c>
    </row>
    <row r="47" spans="1:2" x14ac:dyDescent="0.3">
      <c r="A47" s="4" t="s">
        <v>796</v>
      </c>
      <c r="B47" t="str">
        <f>VLOOKUP(A47,'Full Inventory'!F:F,1,0)</f>
        <v>AVC230721ET</v>
      </c>
    </row>
    <row r="48" spans="1:2" x14ac:dyDescent="0.3">
      <c r="A48" s="4" t="s">
        <v>795</v>
      </c>
      <c r="B48" t="str">
        <f>VLOOKUP(A48,'Full Inventory'!F:F,1,0)</f>
        <v>AVC230721E5</v>
      </c>
    </row>
    <row r="49" spans="1:4" x14ac:dyDescent="0.3">
      <c r="A49" s="4" t="s">
        <v>794</v>
      </c>
      <c r="B49" t="str">
        <f>VLOOKUP(A49,'Full Inventory'!F:F,1,0)</f>
        <v>ACW230416K5</v>
      </c>
    </row>
    <row r="50" spans="1:4" x14ac:dyDescent="0.3">
      <c r="A50" s="4" t="s">
        <v>793</v>
      </c>
      <c r="B50" t="str">
        <f>VLOOKUP(A50,'Full Inventory'!F:F,1,0)</f>
        <v>ACW230416JA</v>
      </c>
    </row>
    <row r="51" spans="1:4" x14ac:dyDescent="0.3">
      <c r="A51" s="4" t="s">
        <v>792</v>
      </c>
      <c r="B51" t="str">
        <f>VLOOKUP(A51,'Full Inventory'!F:F,1,0)</f>
        <v>ACW230416HF</v>
      </c>
    </row>
    <row r="52" spans="1:4" x14ac:dyDescent="0.3">
      <c r="A52" s="4" t="s">
        <v>791</v>
      </c>
      <c r="B52" t="str">
        <f>VLOOKUP(A52,'Full Inventory'!F:F,1,0)</f>
        <v>ACW230416KX</v>
      </c>
    </row>
    <row r="53" spans="1:4" x14ac:dyDescent="0.3">
      <c r="A53" s="20" t="s">
        <v>965</v>
      </c>
      <c r="B53" t="str">
        <f>VLOOKUP(A53,'Full Inventory'!F:F,1,0)</f>
        <v>AVD2305D7GL</v>
      </c>
      <c r="C53" t="s">
        <v>956</v>
      </c>
      <c r="D53" s="20" t="s">
        <v>250</v>
      </c>
    </row>
    <row r="54" spans="1:4" x14ac:dyDescent="0.3">
      <c r="A54" s="4" t="s">
        <v>966</v>
      </c>
      <c r="B54" t="str">
        <f>VLOOKUP(A54,'Full Inventory'!F:F,1,0)</f>
        <v>AVD2305D7GB</v>
      </c>
      <c r="C54" t="s">
        <v>956</v>
      </c>
      <c r="D54" s="4" t="s">
        <v>958</v>
      </c>
    </row>
    <row r="55" spans="1:4" x14ac:dyDescent="0.3">
      <c r="A55" s="4" t="s">
        <v>967</v>
      </c>
      <c r="B55" t="str">
        <f>VLOOKUP(A55,'Full Inventory'!F:F,1,0)</f>
        <v>AVD2305D7GG</v>
      </c>
    </row>
    <row r="56" spans="1:4" x14ac:dyDescent="0.3">
      <c r="A56" s="4" t="s">
        <v>968</v>
      </c>
      <c r="B56" t="str">
        <f>VLOOKUP(A56,'Full Inventory'!F:F,1,0)</f>
        <v>AVD2305D7GY</v>
      </c>
    </row>
    <row r="57" spans="1:4" x14ac:dyDescent="0.3">
      <c r="A57" s="4" t="s">
        <v>969</v>
      </c>
      <c r="B57" t="str">
        <f>VLOOKUP(A57,'Full Inventory'!F:F,1,0)</f>
        <v>AVD2305D7H3</v>
      </c>
    </row>
    <row r="58" spans="1:4" x14ac:dyDescent="0.3">
      <c r="A58" s="4" t="s">
        <v>817</v>
      </c>
      <c r="B58" t="str">
        <f>VLOOKUP(A58,'Full Inventory'!F:F,1,0)</f>
        <v>7CE901M842</v>
      </c>
    </row>
    <row r="59" spans="1:4" x14ac:dyDescent="0.3">
      <c r="A59" s="4" t="s">
        <v>818</v>
      </c>
      <c r="B59" t="str">
        <f>VLOOKUP(A59,'Full Inventory'!F:F,1,0)</f>
        <v>7CE901M918</v>
      </c>
    </row>
    <row r="60" spans="1:4" x14ac:dyDescent="0.3">
      <c r="A60" s="4" t="s">
        <v>811</v>
      </c>
      <c r="B60" t="str">
        <f>VLOOKUP(A60,'Full Inventory'!F:F,1,0)</f>
        <v>5C3905J06T</v>
      </c>
    </row>
    <row r="61" spans="1:4" x14ac:dyDescent="0.3">
      <c r="A61" s="4" t="s">
        <v>813</v>
      </c>
      <c r="B61" t="str">
        <f>VLOOKUP(A61,'Full Inventory'!F:F,1,0)</f>
        <v>5C3905J06R</v>
      </c>
    </row>
    <row r="62" spans="1:4" x14ac:dyDescent="0.3">
      <c r="A62" s="4" t="s">
        <v>819</v>
      </c>
      <c r="B62" t="str">
        <f>VLOOKUP(A62,'Full Inventory'!F:F,1,0)</f>
        <v>THH917Z08N</v>
      </c>
    </row>
    <row r="63" spans="1:4" x14ac:dyDescent="0.3">
      <c r="A63" s="4" t="s">
        <v>821</v>
      </c>
      <c r="B63" t="str">
        <f>VLOOKUP(A63,'Full Inventory'!F:F,1,0)</f>
        <v>THH917Z07U</v>
      </c>
    </row>
    <row r="64" spans="1:4" x14ac:dyDescent="0.3">
      <c r="A64" s="4" t="s">
        <v>823</v>
      </c>
      <c r="B64" t="str">
        <f>VLOOKUP(A64,'Full Inventory'!F:F,1,0)</f>
        <v>THH917Z08G</v>
      </c>
    </row>
    <row r="65" spans="1:2" x14ac:dyDescent="0.3">
      <c r="A65" s="4" t="s">
        <v>829</v>
      </c>
      <c r="B65" t="str">
        <f>VLOOKUP(A65,'Full Inventory'!F:F,1,0)</f>
        <v>THH917Z08D</v>
      </c>
    </row>
    <row r="66" spans="1:2" x14ac:dyDescent="0.3">
      <c r="A66" s="4" t="s">
        <v>827</v>
      </c>
      <c r="B66" t="str">
        <f>VLOOKUP(A66,'Full Inventory'!F:F,1,0)</f>
        <v>THH917Z07F</v>
      </c>
    </row>
    <row r="67" spans="1:2" x14ac:dyDescent="0.3">
      <c r="A67" s="4" t="s">
        <v>825</v>
      </c>
      <c r="B67" t="str">
        <f>VLOOKUP(A67,'Full Inventory'!F:F,1,0)</f>
        <v>THH917Z082</v>
      </c>
    </row>
    <row r="68" spans="1:2" x14ac:dyDescent="0.3">
      <c r="A68" s="4" t="s">
        <v>831</v>
      </c>
      <c r="B68" t="str">
        <f>VLOOKUP(A68,'Full Inventory'!F:F,1,0)</f>
        <v>THH917Z07G</v>
      </c>
    </row>
    <row r="69" spans="1:2" x14ac:dyDescent="0.3">
      <c r="A69" s="4" t="s">
        <v>833</v>
      </c>
      <c r="B69" t="str">
        <f>VLOOKUP(A69,'Full Inventory'!F:F,1,0)</f>
        <v>THH917Z07P</v>
      </c>
    </row>
    <row r="70" spans="1:2" x14ac:dyDescent="0.3">
      <c r="A70" s="4" t="s">
        <v>835</v>
      </c>
      <c r="B70" t="str">
        <f>VLOOKUP(A70,'Full Inventory'!F:F,1,0)</f>
        <v>THH917Z08C</v>
      </c>
    </row>
    <row r="71" spans="1:2" x14ac:dyDescent="0.3">
      <c r="A71" s="4" t="s">
        <v>837</v>
      </c>
      <c r="B71" t="str">
        <f>VLOOKUP(A71,'Full Inventory'!F:F,1,0)</f>
        <v>THH917Z086</v>
      </c>
    </row>
    <row r="72" spans="1:2" x14ac:dyDescent="0.3">
      <c r="A72" s="4" t="s">
        <v>839</v>
      </c>
      <c r="B72" t="str">
        <f>VLOOKUP(A72,'Full Inventory'!F:F,1,0)</f>
        <v>THH917Z07E</v>
      </c>
    </row>
    <row r="73" spans="1:2" x14ac:dyDescent="0.3">
      <c r="A73" s="4" t="s">
        <v>841</v>
      </c>
      <c r="B73" t="str">
        <f>VLOOKUP(A73,'Full Inventory'!F:F,1,0)</f>
        <v>THH917Z07A</v>
      </c>
    </row>
    <row r="74" spans="1:2" x14ac:dyDescent="0.3">
      <c r="B74" t="e">
        <f>VLOOKUP(A74,'Full Inventory'!F:F,1,0)</f>
        <v>#N/A</v>
      </c>
    </row>
    <row r="75" spans="1:2" x14ac:dyDescent="0.3">
      <c r="B75" t="e">
        <f>VLOOKUP(A75,'Full Inventory'!F:F,1,0)</f>
        <v>#N/A</v>
      </c>
    </row>
    <row r="76" spans="1:2" x14ac:dyDescent="0.3">
      <c r="B76" t="e">
        <f>VLOOKUP(A76,'Full Inventory'!F:F,1,0)</f>
        <v>#N/A</v>
      </c>
    </row>
    <row r="77" spans="1:2" x14ac:dyDescent="0.3">
      <c r="B77" t="e">
        <f>VLOOKUP(A77,'Full Inventory'!F:F,1,0)</f>
        <v>#N/A</v>
      </c>
    </row>
    <row r="78" spans="1:2" x14ac:dyDescent="0.3">
      <c r="B78" t="e">
        <f>VLOOKUP(A78,'Full Inventory'!F:F,1,0)</f>
        <v>#N/A</v>
      </c>
    </row>
    <row r="79" spans="1:2" x14ac:dyDescent="0.3">
      <c r="B79" t="e">
        <f>VLOOKUP(A79,'Full Inventory'!F:F,1,0)</f>
        <v>#N/A</v>
      </c>
    </row>
    <row r="80" spans="1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10" priority="6"/>
  </conditionalFormatting>
  <conditionalFormatting sqref="A1 A20:A1048576">
    <cfRule type="duplicateValues" dxfId="9" priority="5"/>
  </conditionalFormatting>
  <conditionalFormatting sqref="A2:A19">
    <cfRule type="duplicateValues" dxfId="8" priority="4"/>
  </conditionalFormatting>
  <conditionalFormatting sqref="D53">
    <cfRule type="duplicateValues" dxfId="7" priority="3"/>
  </conditionalFormatting>
  <conditionalFormatting sqref="D54">
    <cfRule type="duplicateValues" dxfId="6" priority="2"/>
  </conditionalFormatting>
  <conditionalFormatting sqref="C30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9"/>
  <dimension ref="A1:D414"/>
  <sheetViews>
    <sheetView workbookViewId="0">
      <selection activeCell="A2" sqref="A2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254</v>
      </c>
      <c r="B2" t="str">
        <f>VLOOKUP(A2,'Full Inventory'!F:F,1,0)</f>
        <v>FOC2307U0FG</v>
      </c>
    </row>
    <row r="3" spans="1:2" x14ac:dyDescent="0.3">
      <c r="A3" s="4" t="s">
        <v>248</v>
      </c>
      <c r="B3" t="str">
        <f>VLOOKUP(A3,'Full Inventory'!F:F,1,0)</f>
        <v>CZJ91702JH</v>
      </c>
    </row>
    <row r="4" spans="1:2" x14ac:dyDescent="0.3">
      <c r="A4" s="4" t="s">
        <v>243</v>
      </c>
      <c r="B4" t="str">
        <f>VLOOKUP(A4,'Full Inventory'!F:F,1,0)</f>
        <v>CZJ91702JG</v>
      </c>
    </row>
    <row r="5" spans="1:2" x14ac:dyDescent="0.3">
      <c r="A5" s="4" t="s">
        <v>268</v>
      </c>
      <c r="B5" t="str">
        <f>VLOOKUP(A5,'Full Inventory'!F:F,1,0)</f>
        <v>FOC2309U027</v>
      </c>
    </row>
    <row r="6" spans="1:2" x14ac:dyDescent="0.3">
      <c r="A6" s="4" t="s">
        <v>375</v>
      </c>
      <c r="B6" t="str">
        <f>VLOOKUP(A6,'Full Inventory'!F:F,1,0)</f>
        <v>3C88140789</v>
      </c>
    </row>
    <row r="7" spans="1:2" x14ac:dyDescent="0.3">
      <c r="A7" s="4" t="s">
        <v>317</v>
      </c>
      <c r="B7" t="str">
        <f>VLOOKUP(A7,'Full Inventory'!F:F,1,0)</f>
        <v>2S6912D144</v>
      </c>
    </row>
    <row r="8" spans="1:2" x14ac:dyDescent="0.3">
      <c r="A8" s="4" t="s">
        <v>281</v>
      </c>
      <c r="B8" t="str">
        <f>VLOOKUP(A8,'Full Inventory'!F:F,1,0)</f>
        <v>2S6910B089</v>
      </c>
    </row>
    <row r="9" spans="1:2" x14ac:dyDescent="0.3">
      <c r="A9" s="4" t="s">
        <v>345</v>
      </c>
      <c r="B9" t="str">
        <f>VLOOKUP(A9,'Full Inventory'!F:F,1,0)</f>
        <v>2S6912D142</v>
      </c>
    </row>
    <row r="10" spans="1:2" x14ac:dyDescent="0.3">
      <c r="A10" s="4" t="s">
        <v>373</v>
      </c>
      <c r="B10" t="str">
        <f>VLOOKUP(A10,'Full Inventory'!F:F,1,0)</f>
        <v>0814298</v>
      </c>
    </row>
    <row r="11" spans="1:2" x14ac:dyDescent="0.3">
      <c r="A11" s="4" t="s">
        <v>319</v>
      </c>
      <c r="B11" t="str">
        <f>VLOOKUP(A11,'Full Inventory'!F:F,1,0)</f>
        <v>7CE909G709</v>
      </c>
    </row>
    <row r="12" spans="1:2" x14ac:dyDescent="0.3">
      <c r="A12" s="4" t="s">
        <v>320</v>
      </c>
      <c r="B12" t="str">
        <f>VLOOKUP(A12,'Full Inventory'!F:F,1,0)</f>
        <v>7CE909G912</v>
      </c>
    </row>
    <row r="13" spans="1:2" x14ac:dyDescent="0.3">
      <c r="A13" s="4" t="s">
        <v>283</v>
      </c>
      <c r="B13" t="str">
        <f>VLOOKUP(A13,'Full Inventory'!F:F,1,0)</f>
        <v>7CE903M549</v>
      </c>
    </row>
    <row r="14" spans="1:2" x14ac:dyDescent="0.3">
      <c r="A14" s="4" t="s">
        <v>284</v>
      </c>
      <c r="B14" t="str">
        <f>VLOOKUP(A14,'Full Inventory'!F:F,1,0)</f>
        <v>7CE901M900</v>
      </c>
    </row>
    <row r="15" spans="1:2" x14ac:dyDescent="0.3">
      <c r="A15" s="4" t="s">
        <v>347</v>
      </c>
      <c r="B15" t="str">
        <f>VLOOKUP(A15,'Full Inventory'!F:F,1,0)</f>
        <v>7CE909G710</v>
      </c>
    </row>
    <row r="16" spans="1:2" x14ac:dyDescent="0.3">
      <c r="A16" s="4" t="s">
        <v>348</v>
      </c>
      <c r="B16" t="str">
        <f>VLOOKUP(A16,'Full Inventory'!F:F,1,0)</f>
        <v>7CE909G719</v>
      </c>
    </row>
    <row r="17" spans="1:2" x14ac:dyDescent="0.3">
      <c r="A17" s="4" t="s">
        <v>309</v>
      </c>
      <c r="B17" t="str">
        <f>VLOOKUP(A17,'Full Inventory'!F:F,1,0)</f>
        <v>MY8905122U</v>
      </c>
    </row>
    <row r="18" spans="1:2" x14ac:dyDescent="0.3">
      <c r="A18" s="4" t="s">
        <v>310</v>
      </c>
      <c r="B18" t="str">
        <f>VLOOKUP(A18,'Full Inventory'!F:F,1,0)</f>
        <v>MY8905123G</v>
      </c>
    </row>
    <row r="19" spans="1:2" x14ac:dyDescent="0.3">
      <c r="A19" s="4" t="s">
        <v>311</v>
      </c>
      <c r="B19" t="str">
        <f>VLOOKUP(A19,'Full Inventory'!F:F,1,0)</f>
        <v>MY890511G5</v>
      </c>
    </row>
    <row r="20" spans="1:2" x14ac:dyDescent="0.3">
      <c r="A20" s="4" t="s">
        <v>312</v>
      </c>
      <c r="B20" t="str">
        <f>VLOOKUP(A20,'Full Inventory'!F:F,1,0)</f>
        <v>MY890511G7</v>
      </c>
    </row>
    <row r="21" spans="1:2" x14ac:dyDescent="0.3">
      <c r="A21" s="4" t="s">
        <v>313</v>
      </c>
      <c r="B21" t="str">
        <f>VLOOKUP(A21,'Full Inventory'!F:F,1,0)</f>
        <v>MY890511YF</v>
      </c>
    </row>
    <row r="22" spans="1:2" x14ac:dyDescent="0.3">
      <c r="A22" s="4" t="s">
        <v>314</v>
      </c>
      <c r="B22" t="str">
        <f>VLOOKUP(A22,'Full Inventory'!F:F,1,0)</f>
        <v>MY89051235</v>
      </c>
    </row>
    <row r="23" spans="1:2" x14ac:dyDescent="0.3">
      <c r="A23" s="4" t="s">
        <v>315</v>
      </c>
      <c r="B23" t="str">
        <f>VLOOKUP(A23,'Full Inventory'!F:F,1,0)</f>
        <v>MY890511F8</v>
      </c>
    </row>
    <row r="24" spans="1:2" x14ac:dyDescent="0.3">
      <c r="A24" s="4" t="s">
        <v>316</v>
      </c>
      <c r="B24" t="str">
        <f>VLOOKUP(A24,'Full Inventory'!F:F,1,0)</f>
        <v>MY890511GE</v>
      </c>
    </row>
    <row r="25" spans="1:2" x14ac:dyDescent="0.3">
      <c r="A25" s="4" t="s">
        <v>256</v>
      </c>
      <c r="B25" t="str">
        <f>VLOOKUP(A25,'Full Inventory'!F:F,1,0)</f>
        <v>AVD2305D1NC</v>
      </c>
    </row>
    <row r="26" spans="1:2" x14ac:dyDescent="0.3">
      <c r="A26" s="4" t="s">
        <v>257</v>
      </c>
      <c r="B26" t="str">
        <f>VLOOKUP(A26,'Full Inventory'!F:F,1,0)</f>
        <v>AVD2305D7H5</v>
      </c>
    </row>
    <row r="27" spans="1:2" x14ac:dyDescent="0.3">
      <c r="A27" s="4" t="s">
        <v>258</v>
      </c>
      <c r="B27" t="str">
        <f>VLOOKUP(A27,'Full Inventory'!F:F,1,0)</f>
        <v>AVD2305D7GK</v>
      </c>
    </row>
    <row r="28" spans="1:2" x14ac:dyDescent="0.3">
      <c r="A28" s="4" t="s">
        <v>259</v>
      </c>
      <c r="B28" t="str">
        <f>VLOOKUP(A28,'Full Inventory'!F:F,1,0)</f>
        <v>ACW23040Z9S</v>
      </c>
    </row>
    <row r="29" spans="1:2" x14ac:dyDescent="0.3">
      <c r="A29" s="4" t="s">
        <v>260</v>
      </c>
      <c r="B29" t="str">
        <f>VLOOKUP(A29,'Full Inventory'!F:F,1,0)</f>
        <v>ACW23040ZDW</v>
      </c>
    </row>
    <row r="30" spans="1:2" x14ac:dyDescent="0.3">
      <c r="A30" s="4" t="s">
        <v>261</v>
      </c>
      <c r="B30" t="str">
        <f>VLOOKUP(A30,'Full Inventory'!F:F,1,0)</f>
        <v>ACW23040YW4</v>
      </c>
    </row>
    <row r="31" spans="1:2" x14ac:dyDescent="0.3">
      <c r="A31" s="4" t="s">
        <v>262</v>
      </c>
      <c r="B31" t="str">
        <f>VLOOKUP(A31,'Full Inventory'!F:F,1,0)</f>
        <v>ACW23031MX0</v>
      </c>
    </row>
    <row r="32" spans="1:2" x14ac:dyDescent="0.3">
      <c r="A32" s="4" t="s">
        <v>264</v>
      </c>
      <c r="B32" t="str">
        <f>VLOOKUP(A32,'Full Inventory'!F:F,1,0)</f>
        <v>ACW23040YW3</v>
      </c>
    </row>
    <row r="33" spans="1:2" x14ac:dyDescent="0.3">
      <c r="A33" s="4" t="s">
        <v>263</v>
      </c>
      <c r="B33" t="str">
        <f>VLOOKUP(A33,'Full Inventory'!F:F,1,0)</f>
        <v>ACW23031NRX</v>
      </c>
    </row>
    <row r="34" spans="1:2" x14ac:dyDescent="0.3">
      <c r="A34" s="4" t="s">
        <v>265</v>
      </c>
      <c r="B34" t="str">
        <f>VLOOKUP(A34,'Full Inventory'!F:F,1,0)</f>
        <v>AVC230721F8</v>
      </c>
    </row>
    <row r="35" spans="1:2" x14ac:dyDescent="0.3">
      <c r="A35" s="4" t="s">
        <v>266</v>
      </c>
      <c r="B35" t="str">
        <f>VLOOKUP(A35,'Full Inventory'!F:F,1,0)</f>
        <v>AVC230721FA</v>
      </c>
    </row>
    <row r="36" spans="1:2" x14ac:dyDescent="0.3">
      <c r="A36" s="4" t="s">
        <v>267</v>
      </c>
      <c r="B36" t="str">
        <f>VLOOKUP(A36,'Full Inventory'!F:F,1,0)</f>
        <v>AVC230721FN</v>
      </c>
    </row>
    <row r="37" spans="1:2" x14ac:dyDescent="0.3">
      <c r="A37" s="4" t="s">
        <v>270</v>
      </c>
      <c r="B37" t="str">
        <f>VLOOKUP(A37,'Full Inventory'!F:F,1,0)</f>
        <v>AVD2305D7G9</v>
      </c>
    </row>
    <row r="38" spans="1:2" x14ac:dyDescent="0.3">
      <c r="A38" s="4" t="s">
        <v>271</v>
      </c>
      <c r="B38" t="str">
        <f>VLOOKUP(A38,'Full Inventory'!F:F,1,0)</f>
        <v>AVD2305D7GE</v>
      </c>
    </row>
    <row r="39" spans="1:2" x14ac:dyDescent="0.3">
      <c r="A39" s="4" t="s">
        <v>272</v>
      </c>
      <c r="B39" t="str">
        <f>VLOOKUP(A39,'Full Inventory'!F:F,1,0)</f>
        <v>AVD2305D7GT</v>
      </c>
    </row>
    <row r="40" spans="1:2" x14ac:dyDescent="0.3">
      <c r="A40" s="4" t="s">
        <v>273</v>
      </c>
      <c r="B40" t="str">
        <f>VLOOKUP(A40,'Full Inventory'!F:F,1,0)</f>
        <v>ACW23040ZA3</v>
      </c>
    </row>
    <row r="41" spans="1:2" x14ac:dyDescent="0.3">
      <c r="A41" s="4" t="s">
        <v>274</v>
      </c>
      <c r="B41" t="str">
        <f>VLOOKUP(A41,'Full Inventory'!F:F,1,0)</f>
        <v>ACW23040YM0</v>
      </c>
    </row>
    <row r="42" spans="1:2" x14ac:dyDescent="0.3">
      <c r="A42" s="4" t="s">
        <v>275</v>
      </c>
      <c r="B42" t="str">
        <f>VLOOKUP(A42,'Full Inventory'!F:F,1,0)</f>
        <v>ACW23040YS0</v>
      </c>
    </row>
    <row r="43" spans="1:2" x14ac:dyDescent="0.3">
      <c r="A43" s="4" t="s">
        <v>276</v>
      </c>
      <c r="B43" t="str">
        <f>VLOOKUP(A43,'Full Inventory'!F:F,1,0)</f>
        <v>ACW23040ZAG</v>
      </c>
    </row>
    <row r="44" spans="1:2" x14ac:dyDescent="0.3">
      <c r="A44" s="4" t="s">
        <v>277</v>
      </c>
      <c r="B44" t="str">
        <f>VLOOKUP(A44,'Full Inventory'!F:F,1,0)</f>
        <v>ACW2304168L</v>
      </c>
    </row>
    <row r="45" spans="1:2" x14ac:dyDescent="0.3">
      <c r="A45" s="4" t="s">
        <v>278</v>
      </c>
      <c r="B45" t="str">
        <f>VLOOKUP(A45,'Full Inventory'!F:F,1,0)</f>
        <v>AVC230721F9</v>
      </c>
    </row>
    <row r="46" spans="1:2" x14ac:dyDescent="0.3">
      <c r="A46" s="4" t="s">
        <v>279</v>
      </c>
      <c r="B46" t="str">
        <f>VLOOKUP(A46,'Full Inventory'!F:F,1,0)</f>
        <v>AVC230721EX</v>
      </c>
    </row>
    <row r="47" spans="1:2" x14ac:dyDescent="0.3">
      <c r="A47" s="4" t="s">
        <v>280</v>
      </c>
      <c r="B47" t="str">
        <f>VLOOKUP(A47,'Full Inventory'!F:F,1,0)</f>
        <v>AVC230721EU</v>
      </c>
    </row>
    <row r="48" spans="1:2" x14ac:dyDescent="0.3">
      <c r="A48" s="4" t="s">
        <v>252</v>
      </c>
      <c r="B48" t="str">
        <f>VLOOKUP(A48,'Full Inventory'!F:F,1,0)</f>
        <v>MY8911120N</v>
      </c>
    </row>
    <row r="49" spans="1:4" x14ac:dyDescent="0.3">
      <c r="A49" s="4" t="s">
        <v>253</v>
      </c>
      <c r="B49" t="str">
        <f>VLOOKUP(A49,'Full Inventory'!F:F,1,0)</f>
        <v>MY8911123B</v>
      </c>
    </row>
    <row r="50" spans="1:4" x14ac:dyDescent="0.3">
      <c r="A50" s="4" t="s">
        <v>247</v>
      </c>
      <c r="B50" t="str">
        <f>VLOOKUP(A50,'Full Inventory'!F:F,1,0)</f>
        <v>MY8911123X</v>
      </c>
    </row>
    <row r="51" spans="1:4" x14ac:dyDescent="0.3">
      <c r="A51" s="4" t="s">
        <v>246</v>
      </c>
      <c r="B51" t="str">
        <f>VLOOKUP(A51,'Full Inventory'!F:F,1,0)</f>
        <v>MY8911123R</v>
      </c>
    </row>
    <row r="52" spans="1:4" x14ac:dyDescent="0.3">
      <c r="A52" s="4" t="s">
        <v>251</v>
      </c>
      <c r="B52" t="str">
        <f>VLOOKUP(A52,'Full Inventory'!F:F,1,0)</f>
        <v>7CR8394312</v>
      </c>
    </row>
    <row r="53" spans="1:4" x14ac:dyDescent="0.3">
      <c r="A53" s="20" t="s">
        <v>955</v>
      </c>
      <c r="B53" t="str">
        <f>VLOOKUP(A53,'Full Inventory'!F:F,1,0)</f>
        <v>7CR83941ZR</v>
      </c>
      <c r="C53" t="s">
        <v>956</v>
      </c>
      <c r="D53" s="20" t="s">
        <v>250</v>
      </c>
    </row>
    <row r="54" spans="1:4" x14ac:dyDescent="0.3">
      <c r="A54" s="4" t="s">
        <v>957</v>
      </c>
      <c r="B54" t="str">
        <f>VLOOKUP(A54,'Full Inventory'!F:F,1,0)</f>
        <v>7CR83941ZH</v>
      </c>
      <c r="C54" t="s">
        <v>956</v>
      </c>
      <c r="D54" s="4" t="s">
        <v>958</v>
      </c>
    </row>
    <row r="55" spans="1:4" x14ac:dyDescent="0.3">
      <c r="A55" s="4" t="s">
        <v>245</v>
      </c>
      <c r="B55" t="str">
        <f>VLOOKUP(A55,'Full Inventory'!F:F,1,0)</f>
        <v>7CR839442G</v>
      </c>
    </row>
    <row r="56" spans="1:4" x14ac:dyDescent="0.3">
      <c r="A56" s="4" t="s">
        <v>321</v>
      </c>
      <c r="B56" t="str">
        <f>VLOOKUP(A56,'Full Inventory'!F:F,1,0)</f>
        <v>THH923Z06Z</v>
      </c>
    </row>
    <row r="57" spans="1:4" x14ac:dyDescent="0.3">
      <c r="A57" s="4" t="s">
        <v>323</v>
      </c>
      <c r="B57" t="str">
        <f>VLOOKUP(A57,'Full Inventory'!F:F,1,0)</f>
        <v>THH923Z094</v>
      </c>
    </row>
    <row r="58" spans="1:4" x14ac:dyDescent="0.3">
      <c r="A58" s="4" t="s">
        <v>325</v>
      </c>
      <c r="B58" t="str">
        <f>VLOOKUP(A58,'Full Inventory'!F:F,1,0)</f>
        <v>THH923Z05L</v>
      </c>
    </row>
    <row r="59" spans="1:4" x14ac:dyDescent="0.3">
      <c r="A59" s="4" t="s">
        <v>327</v>
      </c>
      <c r="B59" t="str">
        <f>VLOOKUP(A59,'Full Inventory'!F:F,1,0)</f>
        <v>THH923Z070</v>
      </c>
    </row>
    <row r="60" spans="1:4" x14ac:dyDescent="0.3">
      <c r="A60" s="4" t="s">
        <v>329</v>
      </c>
      <c r="B60" t="str">
        <f>VLOOKUP(A60,'Full Inventory'!F:F,1,0)</f>
        <v>THH923Z093</v>
      </c>
    </row>
    <row r="61" spans="1:4" x14ac:dyDescent="0.3">
      <c r="A61" s="4" t="s">
        <v>331</v>
      </c>
      <c r="B61" t="str">
        <f>VLOOKUP(A61,'Full Inventory'!F:F,1,0)</f>
        <v>THH923Z05J</v>
      </c>
    </row>
    <row r="62" spans="1:4" x14ac:dyDescent="0.3">
      <c r="A62" s="4" t="s">
        <v>333</v>
      </c>
      <c r="B62" t="str">
        <f>VLOOKUP(A62,'Full Inventory'!F:F,1,0)</f>
        <v>THH923Z071</v>
      </c>
    </row>
    <row r="63" spans="1:4" x14ac:dyDescent="0.3">
      <c r="A63" s="4" t="s">
        <v>335</v>
      </c>
      <c r="B63" t="str">
        <f>VLOOKUP(A63,'Full Inventory'!F:F,1,0)</f>
        <v>THH923Z092</v>
      </c>
    </row>
    <row r="64" spans="1:4" x14ac:dyDescent="0.3">
      <c r="A64" s="4" t="s">
        <v>337</v>
      </c>
      <c r="B64" t="str">
        <f>VLOOKUP(A64,'Full Inventory'!F:F,1,0)</f>
        <v>THH923Z05G</v>
      </c>
    </row>
    <row r="65" spans="1:2" x14ac:dyDescent="0.3">
      <c r="A65" s="4" t="s">
        <v>339</v>
      </c>
      <c r="B65" t="str">
        <f>VLOOKUP(A65,'Full Inventory'!F:F,1,0)</f>
        <v>THH923Z072</v>
      </c>
    </row>
    <row r="66" spans="1:2" x14ac:dyDescent="0.3">
      <c r="A66" s="4" t="s">
        <v>341</v>
      </c>
      <c r="B66" t="str">
        <f>VLOOKUP(A66,'Full Inventory'!F:F,1,0)</f>
        <v>THH923Z091</v>
      </c>
    </row>
    <row r="67" spans="1:2" x14ac:dyDescent="0.3">
      <c r="A67" s="4" t="s">
        <v>343</v>
      </c>
      <c r="B67" t="str">
        <f>VLOOKUP(A67,'Full Inventory'!F:F,1,0)</f>
        <v>THH923Z05H</v>
      </c>
    </row>
    <row r="68" spans="1:2" x14ac:dyDescent="0.3">
      <c r="A68" s="4" t="s">
        <v>285</v>
      </c>
      <c r="B68" t="str">
        <f>VLOOKUP(A68,'Full Inventory'!F:F,1,0)</f>
        <v>THH917Z0DA</v>
      </c>
    </row>
    <row r="69" spans="1:2" x14ac:dyDescent="0.3">
      <c r="A69" s="4" t="s">
        <v>287</v>
      </c>
      <c r="B69" t="str">
        <f>VLOOKUP(A69,'Full Inventory'!F:F,1,0)</f>
        <v>THH917Z08V</v>
      </c>
    </row>
    <row r="70" spans="1:2" x14ac:dyDescent="0.3">
      <c r="A70" s="4" t="s">
        <v>289</v>
      </c>
      <c r="B70" t="str">
        <f>VLOOKUP(A70,'Full Inventory'!F:F,1,0)</f>
        <v>THH917Z093</v>
      </c>
    </row>
    <row r="71" spans="1:2" x14ac:dyDescent="0.3">
      <c r="A71" s="4" t="s">
        <v>291</v>
      </c>
      <c r="B71" t="str">
        <f>VLOOKUP(A71,'Full Inventory'!F:F,1,0)</f>
        <v>THH917Z0D9</v>
      </c>
    </row>
    <row r="72" spans="1:2" x14ac:dyDescent="0.3">
      <c r="A72" s="4" t="s">
        <v>293</v>
      </c>
      <c r="B72" t="str">
        <f>VLOOKUP(A72,'Full Inventory'!F:F,1,0)</f>
        <v>THH917Z0CT</v>
      </c>
    </row>
    <row r="73" spans="1:2" x14ac:dyDescent="0.3">
      <c r="A73" s="4" t="s">
        <v>295</v>
      </c>
      <c r="B73" t="str">
        <f>VLOOKUP(A73,'Full Inventory'!F:F,1,0)</f>
        <v>THH917Z08W</v>
      </c>
    </row>
    <row r="74" spans="1:2" x14ac:dyDescent="0.3">
      <c r="A74" s="4" t="s">
        <v>297</v>
      </c>
      <c r="B74" t="str">
        <f>VLOOKUP(A74,'Full Inventory'!F:F,1,0)</f>
        <v>THH917Z0D8</v>
      </c>
    </row>
    <row r="75" spans="1:2" x14ac:dyDescent="0.3">
      <c r="A75" s="4" t="s">
        <v>299</v>
      </c>
      <c r="B75" t="str">
        <f>VLOOKUP(A75,'Full Inventory'!F:F,1,0)</f>
        <v>THH917Z0DC</v>
      </c>
    </row>
    <row r="76" spans="1:2" x14ac:dyDescent="0.3">
      <c r="A76" s="4" t="s">
        <v>301</v>
      </c>
      <c r="B76" t="str">
        <f>VLOOKUP(A76,'Full Inventory'!F:F,1,0)</f>
        <v>THH917Z08E</v>
      </c>
    </row>
    <row r="77" spans="1:2" x14ac:dyDescent="0.3">
      <c r="A77" s="4" t="s">
        <v>303</v>
      </c>
      <c r="B77" t="str">
        <f>VLOOKUP(A77,'Full Inventory'!F:F,1,0)</f>
        <v>THH917Z0DB</v>
      </c>
    </row>
    <row r="78" spans="1:2" x14ac:dyDescent="0.3">
      <c r="A78" s="4" t="s">
        <v>305</v>
      </c>
      <c r="B78" t="str">
        <f>VLOOKUP(A78,'Full Inventory'!F:F,1,0)</f>
        <v>THH917Z098</v>
      </c>
    </row>
    <row r="79" spans="1:2" x14ac:dyDescent="0.3">
      <c r="A79" s="4" t="s">
        <v>307</v>
      </c>
      <c r="B79" t="str">
        <f>VLOOKUP(A79,'Full Inventory'!F:F,1,0)</f>
        <v>THH917Z09F</v>
      </c>
    </row>
    <row r="80" spans="1:2" x14ac:dyDescent="0.3">
      <c r="A80" s="4" t="s">
        <v>349</v>
      </c>
      <c r="B80" t="str">
        <f>VLOOKUP(A80,'Full Inventory'!F:F,1,0)</f>
        <v>THH923Z06L</v>
      </c>
    </row>
    <row r="81" spans="1:2" x14ac:dyDescent="0.3">
      <c r="A81" s="4" t="s">
        <v>351</v>
      </c>
      <c r="B81" t="str">
        <f>VLOOKUP(A81,'Full Inventory'!F:F,1,0)</f>
        <v>THH923Z068</v>
      </c>
    </row>
    <row r="82" spans="1:2" x14ac:dyDescent="0.3">
      <c r="A82" s="4" t="s">
        <v>353</v>
      </c>
      <c r="B82" t="str">
        <f>VLOOKUP(A82,'Full Inventory'!F:F,1,0)</f>
        <v>THH923Z06W</v>
      </c>
    </row>
    <row r="83" spans="1:2" x14ac:dyDescent="0.3">
      <c r="A83" s="4" t="s">
        <v>359</v>
      </c>
      <c r="B83" t="str">
        <f>VLOOKUP(A83,'Full Inventory'!F:F,1,0)</f>
        <v>THH923Z06X</v>
      </c>
    </row>
    <row r="84" spans="1:2" x14ac:dyDescent="0.3">
      <c r="A84" s="4" t="s">
        <v>357</v>
      </c>
      <c r="B84" t="str">
        <f>VLOOKUP(A84,'Full Inventory'!F:F,1,0)</f>
        <v>THH923Z06T</v>
      </c>
    </row>
    <row r="85" spans="1:2" x14ac:dyDescent="0.3">
      <c r="A85" s="4" t="s">
        <v>355</v>
      </c>
      <c r="B85" t="str">
        <f>VLOOKUP(A85,'Full Inventory'!F:F,1,0)</f>
        <v>THH923Z06M</v>
      </c>
    </row>
    <row r="86" spans="1:2" x14ac:dyDescent="0.3">
      <c r="A86" s="4" t="s">
        <v>361</v>
      </c>
      <c r="B86" t="str">
        <f>VLOOKUP(A86,'Full Inventory'!F:F,1,0)</f>
        <v>THH923Z06N</v>
      </c>
    </row>
    <row r="87" spans="1:2" x14ac:dyDescent="0.3">
      <c r="A87" s="4" t="s">
        <v>363</v>
      </c>
      <c r="B87" t="str">
        <f>VLOOKUP(A87,'Full Inventory'!F:F,1,0)</f>
        <v>THH923Z06S</v>
      </c>
    </row>
    <row r="88" spans="1:2" x14ac:dyDescent="0.3">
      <c r="A88" s="4" t="s">
        <v>365</v>
      </c>
      <c r="B88" t="str">
        <f>VLOOKUP(A88,'Full Inventory'!F:F,1,0)</f>
        <v>THH923Z06Y</v>
      </c>
    </row>
    <row r="89" spans="1:2" x14ac:dyDescent="0.3">
      <c r="A89" s="4" t="s">
        <v>367</v>
      </c>
      <c r="B89" t="str">
        <f>VLOOKUP(A89,'Full Inventory'!F:F,1,0)</f>
        <v>THH923Z06P</v>
      </c>
    </row>
    <row r="90" spans="1:2" x14ac:dyDescent="0.3">
      <c r="A90" s="4" t="s">
        <v>369</v>
      </c>
      <c r="B90" t="str">
        <f>VLOOKUP(A90,'Full Inventory'!F:F,1,0)</f>
        <v>THH923Z06R</v>
      </c>
    </row>
    <row r="91" spans="1:2" x14ac:dyDescent="0.3">
      <c r="A91" s="4" t="s">
        <v>371</v>
      </c>
      <c r="B91" t="str">
        <f>VLOOKUP(A91,'Full Inventory'!F:F,1,0)</f>
        <v>THH923Z06V</v>
      </c>
    </row>
    <row r="92" spans="1:2" x14ac:dyDescent="0.3">
      <c r="B92" t="e">
        <f>VLOOKUP(A92,'Full Inventory'!F:F,1,0)</f>
        <v>#N/A</v>
      </c>
    </row>
    <row r="93" spans="1:2" x14ac:dyDescent="0.3">
      <c r="B93" t="e">
        <f>VLOOKUP(A93,'Full Inventory'!F:F,1,0)</f>
        <v>#N/A</v>
      </c>
    </row>
    <row r="94" spans="1:2" x14ac:dyDescent="0.3">
      <c r="B94" t="e">
        <f>VLOOKUP(A94,'Full Inventory'!F:F,1,0)</f>
        <v>#N/A</v>
      </c>
    </row>
    <row r="95" spans="1:2" x14ac:dyDescent="0.3">
      <c r="B95" t="e">
        <f>VLOOKUP(A95,'Full Inventory'!F:F,1,0)</f>
        <v>#N/A</v>
      </c>
    </row>
    <row r="96" spans="1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4" priority="5"/>
  </conditionalFormatting>
  <conditionalFormatting sqref="A1 A20:A1048576">
    <cfRule type="duplicateValues" dxfId="3" priority="4"/>
  </conditionalFormatting>
  <conditionalFormatting sqref="A2:A19">
    <cfRule type="duplicateValues" dxfId="2" priority="3"/>
  </conditionalFormatting>
  <conditionalFormatting sqref="D53">
    <cfRule type="duplicateValues" dxfId="1" priority="2"/>
  </conditionalFormatting>
  <conditionalFormatting sqref="D5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9</vt:i4>
      </vt:variant>
    </vt:vector>
  </HeadingPairs>
  <TitlesOfParts>
    <vt:vector size="9" baseType="lpstr">
      <vt:lpstr>Scan</vt:lpstr>
      <vt:lpstr>Inventory</vt:lpstr>
      <vt:lpstr>Full Inventory</vt:lpstr>
      <vt:lpstr>Full Inventory (2)</vt:lpstr>
      <vt:lpstr>Stat</vt:lpstr>
      <vt:lpstr>Munka1</vt:lpstr>
      <vt:lpstr>Munka1 (4)</vt:lpstr>
      <vt:lpstr>Munka1 (3)</vt:lpstr>
      <vt:lpstr>Munka1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2020-03-26T08:51:37Z</dcterms:modified>
</cp:coreProperties>
</file>